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1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NDF" sheetId="1" state="visible" r:id="rId3"/>
    <sheet name="opete" sheetId="2" state="visible" r:id="rId4"/>
    <sheet name="etf" sheetId="3" state="visible" r:id="rId5"/>
    <sheet name="Hoja1" sheetId="4" state="visible" r:id="rId6"/>
    <sheet name="UF" sheetId="5" state="visible" r:id="rId7"/>
    <sheet name="t10y" sheetId="6" state="visible" r:id="rId8"/>
    <sheet name="cartera" sheetId="7" state="visible" r:id="rId9"/>
    <sheet name="Equity" sheetId="8" state="visible" r:id="rId10"/>
    <sheet name="registro" sheetId="9" state="visible" r:id="rId11"/>
    <sheet name="registro rf" sheetId="10" state="visible" r:id="rId12"/>
    <sheet name="JEBPOS" sheetId="11" state="visible" r:id="rId13"/>
    <sheet name="RIESGO" sheetId="12" state="visible" r:id="rId14"/>
  </sheets>
  <definedNames>
    <definedName function="false" hidden="true" localSheetId="6" name="_xlnm._FilterDatabase" vbProcedure="false">cartera!$A$3:$AJ$54</definedName>
    <definedName function="false" hidden="true" localSheetId="7" name="_xlnm._FilterDatabase" vbProcedure="false">Equity!$M$8:$O$39</definedName>
    <definedName function="false" hidden="false" localSheetId="2" name="_xlnm.Print_Area" vbProcedure="false">etf!$A$1:$M$55</definedName>
    <definedName function="false" hidden="true" localSheetId="2" name="_xlnm._FilterDatabase" vbProcedure="false">etf!$B$7:$M$48</definedName>
    <definedName function="false" hidden="false" localSheetId="0" name="_xlnm.Print_Area" vbProcedure="false">NDF!$A$35:$L$174</definedName>
    <definedName function="false" hidden="false" localSheetId="1" name="_xlnm.Print_Area" vbProcedure="false">opete!$A$268:$N$367</definedName>
    <definedName function="false" hidden="true" localSheetId="1" name="_xlnm._FilterDatabase" vbProcedure="false">opete!$A$7:$N$79</definedName>
    <definedName function="false" hidden="true" localSheetId="8" name="_xlnm._FilterDatabase" vbProcedure="false">registro!$A$137:$M$161</definedName>
    <definedName function="false" hidden="false" localSheetId="5" name="_xlnm.Print_Area" vbProcedure="false">t10y!$A$1:$L$88</definedName>
    <definedName function="false" hidden="true" localSheetId="5" name="_xlnm._FilterDatabase" vbProcedure="false">t10y!$A$6:$J$6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9" authorId="0">
      <text>
        <r>
          <rPr>
            <sz val="10"/>
            <rFont val="Arial"/>
            <family val="2"/>
          </rPr>
          <t xml:space="preserve">Escribe: Vol +5, Vol +10 o Vol +20</t>
        </r>
      </text>
    </comment>
  </commentList>
</comments>
</file>

<file path=xl/sharedStrings.xml><?xml version="1.0" encoding="utf-8"?>
<sst xmlns="http://schemas.openxmlformats.org/spreadsheetml/2006/main" count="3387" uniqueCount="745">
  <si>
    <t xml:space="preserve">MONEDAS</t>
  </si>
  <si>
    <t xml:space="preserve">##REALIZADAS</t>
  </si>
  <si>
    <t xml:space="preserve">Fecha Aper</t>
  </si>
  <si>
    <t xml:space="preserve">Contraparte</t>
  </si>
  <si>
    <t xml:space="preserve">Fecha cierre</t>
  </si>
  <si>
    <t xml:space="preserve">ticker</t>
  </si>
  <si>
    <t xml:space="preserve">País</t>
  </si>
  <si>
    <t xml:space="preserve">Monto</t>
  </si>
  <si>
    <t xml:space="preserve">Precio Inicial</t>
  </si>
  <si>
    <t xml:space="preserve">Precio Cierre</t>
  </si>
  <si>
    <t xml:space="preserve">MTM</t>
  </si>
  <si>
    <t xml:space="preserve">Rent</t>
  </si>
  <si>
    <t xml:space="preserve">Garantía</t>
  </si>
  <si>
    <t xml:space="preserve">Plazo</t>
  </si>
  <si>
    <t xml:space="preserve">Fix</t>
  </si>
  <si>
    <t xml:space="preserve">Settelment</t>
  </si>
  <si>
    <t xml:space="preserve">HSBC</t>
  </si>
  <si>
    <t xml:space="preserve">USDCLP</t>
  </si>
  <si>
    <t xml:space="preserve">CHILE</t>
  </si>
  <si>
    <t xml:space="preserve">#</t>
  </si>
  <si>
    <t xml:space="preserve">SAXO</t>
  </si>
  <si>
    <t xml:space="preserve">SCHWAB</t>
  </si>
  <si>
    <t xml:space="preserve">UBS</t>
  </si>
  <si>
    <t xml:space="preserve">SB</t>
  </si>
  <si>
    <t xml:space="preserve">##TRADING</t>
  </si>
  <si>
    <t xml:space="preserve">FECHA</t>
  </si>
  <si>
    <t xml:space="preserve">Pos</t>
  </si>
  <si>
    <t xml:space="preserve">Fix/Exp</t>
  </si>
  <si>
    <t xml:space="preserve">Val Date/Settlement</t>
  </si>
  <si>
    <t xml:space="preserve">BANCO DE TALCA</t>
  </si>
  <si>
    <t xml:space="preserve">Vcto x Ocurrir</t>
  </si>
  <si>
    <t xml:space="preserve">Resultado USD</t>
  </si>
  <si>
    <t xml:space="preserve">HEDGE</t>
  </si>
  <si>
    <t xml:space="preserve">DB</t>
  </si>
  <si>
    <t xml:space="preserve">##Brasil</t>
  </si>
  <si>
    <t xml:space="preserve">Settlement</t>
  </si>
  <si>
    <t xml:space="preserve">USDBRL</t>
  </si>
  <si>
    <t xml:space="preserve">Brasil</t>
  </si>
  <si>
    <t xml:space="preserve">##Mexico</t>
  </si>
  <si>
    <t xml:space="preserve">Fix 12:30</t>
  </si>
  <si>
    <t xml:space="preserve">USDMXN</t>
  </si>
  <si>
    <t xml:space="preserve">Mexico</t>
  </si>
  <si>
    <t xml:space="preserve">OP</t>
  </si>
  <si>
    <t xml:space="preserve">POS TOT</t>
  </si>
  <si>
    <t xml:space="preserve">##Sudafrica</t>
  </si>
  <si>
    <t xml:space="preserve">USDZAR</t>
  </si>
  <si>
    <t xml:space="preserve">Sudafrica</t>
  </si>
  <si>
    <t xml:space="preserve">##Europa</t>
  </si>
  <si>
    <t xml:space="preserve">EURUSD</t>
  </si>
  <si>
    <t xml:space="preserve">Europa</t>
  </si>
  <si>
    <t xml:space="preserve">op</t>
  </si>
  <si>
    <t xml:space="preserve">##Australia</t>
  </si>
  <si>
    <t xml:space="preserve">Exp Date</t>
  </si>
  <si>
    <t xml:space="preserve">AUDUSD</t>
  </si>
  <si>
    <t xml:space="preserve">Australia</t>
  </si>
  <si>
    <t xml:space="preserve">##Oro</t>
  </si>
  <si>
    <t xml:space="preserve">XAUUSD</t>
  </si>
  <si>
    <t xml:space="preserve">Oro</t>
  </si>
  <si>
    <t xml:space="preserve">OPCIONES</t>
  </si>
  <si>
    <t xml:space="preserve">REALIZADAS</t>
  </si>
  <si>
    <t xml:space="preserve">Estado</t>
  </si>
  <si>
    <t xml:space="preserve">PRIMAS</t>
  </si>
  <si>
    <t xml:space="preserve">STRIKE</t>
  </si>
  <si>
    <t xml:space="preserve">Prob. Ocurrencia</t>
  </si>
  <si>
    <t xml:space="preserve">Exposición</t>
  </si>
  <si>
    <t xml:space="preserve">EXPIRACIÖN</t>
  </si>
  <si>
    <t xml:space="preserve">DIAS</t>
  </si>
  <si>
    <t xml:space="preserve">banco ohiggings</t>
  </si>
  <si>
    <t xml:space="preserve">VTA CALL</t>
  </si>
  <si>
    <t xml:space="preserve">VTA PUT</t>
  </si>
  <si>
    <t xml:space="preserve">PUP</t>
  </si>
  <si>
    <t xml:space="preserve">QQQ</t>
  </si>
  <si>
    <t xml:space="preserve">NASDAQ</t>
  </si>
  <si>
    <t xml:space="preserve">SPY</t>
  </si>
  <si>
    <t xml:space="preserve">USA</t>
  </si>
  <si>
    <t xml:space="preserve">GS</t>
  </si>
  <si>
    <t xml:space="preserve">GoldmanSachs</t>
  </si>
  <si>
    <t xml:space="preserve">SSCH</t>
  </si>
  <si>
    <t xml:space="preserve">AAPL</t>
  </si>
  <si>
    <t xml:space="preserve">MBbva</t>
  </si>
  <si>
    <t xml:space="preserve">MongoBbva</t>
  </si>
  <si>
    <t xml:space="preserve">CS-K</t>
  </si>
  <si>
    <t xml:space="preserve">COMPRA PUT</t>
  </si>
  <si>
    <t xml:space="preserve">Morgan Stanley</t>
  </si>
  <si>
    <t xml:space="preserve">JPM</t>
  </si>
  <si>
    <t xml:space="preserve">Bbva</t>
  </si>
  <si>
    <t xml:space="preserve">NVDA</t>
  </si>
  <si>
    <t xml:space="preserve">Nvidia</t>
  </si>
  <si>
    <t xml:space="preserve">PUPFT</t>
  </si>
  <si>
    <t xml:space="preserve">Microsoft</t>
  </si>
  <si>
    <t xml:space="preserve">compra CALL</t>
  </si>
  <si>
    <t xml:space="preserve">TSLA</t>
  </si>
  <si>
    <t xml:space="preserve">Tesla</t>
  </si>
  <si>
    <t xml:space="preserve">NEVASA</t>
  </si>
  <si>
    <t xml:space="preserve">BAC</t>
  </si>
  <si>
    <t xml:space="preserve">Bofa</t>
  </si>
  <si>
    <t xml:space="preserve">compra PUT</t>
  </si>
  <si>
    <t xml:space="preserve">META</t>
  </si>
  <si>
    <t xml:space="preserve">Exp/Fix</t>
  </si>
  <si>
    <t xml:space="preserve">CALL</t>
  </si>
  <si>
    <t xml:space="preserve">EUROPA</t>
  </si>
  <si>
    <t xml:space="preserve">BCI</t>
  </si>
  <si>
    <t xml:space="preserve">compra call</t>
  </si>
  <si>
    <t xml:space="preserve">USBbvaRL</t>
  </si>
  <si>
    <t xml:space="preserve">Brazil</t>
  </si>
  <si>
    <t xml:space="preserve">México</t>
  </si>
  <si>
    <t xml:space="preserve">Sudáfrica</t>
  </si>
  <si>
    <t xml:space="preserve">Gold</t>
  </si>
  <si>
    <t xml:space="preserve">PUT</t>
  </si>
  <si>
    <t xml:space="preserve">PAYOUT</t>
  </si>
  <si>
    <t xml:space="preserve">ETF</t>
  </si>
  <si>
    <t xml:space="preserve">Deursche Bank</t>
  </si>
  <si>
    <t xml:space="preserve">GOOG</t>
  </si>
  <si>
    <t xml:space="preserve">Google</t>
  </si>
  <si>
    <t xml:space="preserve">FXI</t>
  </si>
  <si>
    <t xml:space="preserve">China</t>
  </si>
  <si>
    <t xml:space="preserve">BABA</t>
  </si>
  <si>
    <t xml:space="preserve">Alibaba</t>
  </si>
  <si>
    <t xml:space="preserve">LIT</t>
  </si>
  <si>
    <t xml:space="preserve">Lithium ETF</t>
  </si>
  <si>
    <t xml:space="preserve">AMZN</t>
  </si>
  <si>
    <t xml:space="preserve">Amazon</t>
  </si>
  <si>
    <t xml:space="preserve">C</t>
  </si>
  <si>
    <t xml:space="preserve">Citybank</t>
  </si>
  <si>
    <t xml:space="preserve">put etf</t>
  </si>
  <si>
    <t xml:space="preserve">call etf</t>
  </si>
  <si>
    <t xml:space="preserve">##CARTERA DELTA EQUITY</t>
  </si>
  <si>
    <t xml:space="preserve">Fecha</t>
  </si>
  <si>
    <t xml:space="preserve">RSI</t>
  </si>
  <si>
    <t xml:space="preserve">VP</t>
  </si>
  <si>
    <t xml:space="preserve">E</t>
  </si>
  <si>
    <t xml:space="preserve">DBA</t>
  </si>
  <si>
    <t xml:space="preserve">Agriculture</t>
  </si>
  <si>
    <t xml:space="preserve">Apple</t>
  </si>
  <si>
    <t xml:space="preserve">GLD</t>
  </si>
  <si>
    <t xml:space="preserve">ETF Oro</t>
  </si>
  <si>
    <t xml:space="preserve">CRSP</t>
  </si>
  <si>
    <t xml:space="preserve">CRISPR THERAPEUTICS AG</t>
  </si>
  <si>
    <t xml:space="preserve">DIA</t>
  </si>
  <si>
    <t xml:space="preserve">DOW JONES</t>
  </si>
  <si>
    <t xml:space="preserve">BOTZ</t>
  </si>
  <si>
    <t xml:space="preserve">ETF AI</t>
  </si>
  <si>
    <t xml:space="preserve">MDB</t>
  </si>
  <si>
    <t xml:space="preserve">AIQ</t>
  </si>
  <si>
    <t xml:space="preserve">S&amp;P500</t>
  </si>
  <si>
    <t xml:space="preserve">MSFT</t>
  </si>
  <si>
    <t xml:space="preserve">COPX</t>
  </si>
  <si>
    <t xml:space="preserve">Cobre</t>
  </si>
  <si>
    <t xml:space="preserve">XLF</t>
  </si>
  <si>
    <t xml:space="preserve">ETF Finance</t>
  </si>
  <si>
    <t xml:space="preserve">FUT S&amp;P</t>
  </si>
  <si>
    <t xml:space="preserve">ESM5</t>
  </si>
  <si>
    <t xml:space="preserve">ESU4</t>
  </si>
  <si>
    <t xml:space="preserve">FUT Nasdaq</t>
  </si>
  <si>
    <t xml:space="preserve">NQU4</t>
  </si>
  <si>
    <t xml:space="preserve">Trading</t>
  </si>
  <si>
    <t xml:space="preserve">Cash</t>
  </si>
  <si>
    <t xml:space="preserve">TOTAL ETF</t>
  </si>
  <si>
    <t xml:space="preserve">Fecha Cierre</t>
  </si>
  <si>
    <t xml:space="preserve">Caida</t>
  </si>
  <si>
    <t xml:space="preserve">Bid</t>
  </si>
  <si>
    <t xml:space="preserve">Ask</t>
  </si>
  <si>
    <t xml:space="preserve">mid</t>
  </si>
  <si>
    <t xml:space="preserve">Betas</t>
  </si>
  <si>
    <t xml:space="preserve">BETA</t>
  </si>
  <si>
    <t xml:space="preserve">Precio Final</t>
  </si>
  <si>
    <t xml:space="preserve">beta</t>
  </si>
  <si>
    <t xml:space="preserve">CLP=</t>
  </si>
  <si>
    <t xml:space="preserve">BRL=</t>
  </si>
  <si>
    <t xml:space="preserve">EUR=</t>
  </si>
  <si>
    <t xml:space="preserve">ARKF.K</t>
  </si>
  <si>
    <t xml:space="preserve">aud=</t>
  </si>
  <si>
    <t xml:space="preserve">xau=</t>
  </si>
  <si>
    <t xml:space="preserve">AAPL.O</t>
  </si>
  <si>
    <t xml:space="preserve">MXN=</t>
  </si>
  <si>
    <t xml:space="preserve">ZAR=</t>
  </si>
  <si>
    <t xml:space="preserve">JPY=</t>
  </si>
  <si>
    <t xml:space="preserve">ARKQ.K</t>
  </si>
  <si>
    <t xml:space="preserve">USO</t>
  </si>
  <si>
    <t xml:space="preserve">EWZ</t>
  </si>
  <si>
    <t xml:space="preserve">EEM</t>
  </si>
  <si>
    <t xml:space="preserve">ARKW.K</t>
  </si>
  <si>
    <t xml:space="preserve">GOOG.O</t>
  </si>
  <si>
    <t xml:space="preserve">ECH</t>
  </si>
  <si>
    <t xml:space="preserve">EPU</t>
  </si>
  <si>
    <t xml:space="preserve">EWW</t>
  </si>
  <si>
    <t xml:space="preserve">META.O</t>
  </si>
  <si>
    <t xml:space="preserve">ALV</t>
  </si>
  <si>
    <t xml:space="preserve">AMZN.O</t>
  </si>
  <si>
    <t xml:space="preserve">BABA.K</t>
  </si>
  <si>
    <t xml:space="preserve">LENZ.O</t>
  </si>
  <si>
    <t xml:space="preserve">MSFT.O</t>
  </si>
  <si>
    <t xml:space="preserve">BYND.O</t>
  </si>
  <si>
    <t xml:space="preserve">CRCL.P</t>
  </si>
  <si>
    <t xml:space="preserve">FCX</t>
  </si>
  <si>
    <t xml:space="preserve">ISRG.O</t>
  </si>
  <si>
    <t xml:space="preserve">ILMN.O</t>
  </si>
  <si>
    <t xml:space="preserve">UBER.K</t>
  </si>
  <si>
    <t xml:space="preserve">SHOP.O</t>
  </si>
  <si>
    <t xml:space="preserve">SPOT.K</t>
  </si>
  <si>
    <t xml:space="preserve">BCH</t>
  </si>
  <si>
    <t xml:space="preserve">NOW </t>
  </si>
  <si>
    <t xml:space="preserve">OKTA.O </t>
  </si>
  <si>
    <t xml:space="preserve">DXCM.O</t>
  </si>
  <si>
    <t xml:space="preserve">VEEV.K </t>
  </si>
  <si>
    <t xml:space="preserve">WDAY.O</t>
  </si>
  <si>
    <t xml:space="preserve">TWLO.K</t>
  </si>
  <si>
    <t xml:space="preserve">TTD.O</t>
  </si>
  <si>
    <t xml:space="preserve">IIF</t>
  </si>
  <si>
    <t xml:space="preserve">MELI.O </t>
  </si>
  <si>
    <t xml:space="preserve">ROKU.O</t>
  </si>
  <si>
    <t xml:space="preserve">XIACY.PQ</t>
  </si>
  <si>
    <t xml:space="preserve">GH.O </t>
  </si>
  <si>
    <t xml:space="preserve">SNAP.K</t>
  </si>
  <si>
    <t xml:space="preserve">Z.O </t>
  </si>
  <si>
    <t xml:space="preserve">MDB.O</t>
  </si>
  <si>
    <t xml:space="preserve">CHWY.K</t>
  </si>
  <si>
    <t xml:space="preserve">BYDDY.PQ</t>
  </si>
  <si>
    <t xml:space="preserve">TEAM.O</t>
  </si>
  <si>
    <t xml:space="preserve">ZM.O</t>
  </si>
  <si>
    <t xml:space="preserve">W</t>
  </si>
  <si>
    <t xml:space="preserve">CVNA.K</t>
  </si>
  <si>
    <t xml:space="preserve">QTUM.O</t>
  </si>
  <si>
    <t xml:space="preserve">TME</t>
  </si>
  <si>
    <t xml:space="preserve">ALNY.O</t>
  </si>
  <si>
    <t xml:space="preserve">MRNA.O</t>
  </si>
  <si>
    <t xml:space="preserve">TCEHY.PQ</t>
  </si>
  <si>
    <t xml:space="preserve">CRSP.O</t>
  </si>
  <si>
    <t xml:space="preserve">PYPL.O</t>
  </si>
  <si>
    <t xml:space="preserve">TSLA.O</t>
  </si>
  <si>
    <t xml:space="preserve">SLV</t>
  </si>
  <si>
    <t xml:space="preserve">COPX.K</t>
  </si>
  <si>
    <t xml:space="preserve">MTLS.O</t>
  </si>
  <si>
    <t xml:space="preserve">AVAV.O</t>
  </si>
  <si>
    <t xml:space="preserve">xag=</t>
  </si>
  <si>
    <t xml:space="preserve">JD.O</t>
  </si>
  <si>
    <t xml:space="preserve">CPER.K</t>
  </si>
  <si>
    <t xml:space="preserve">ARCT.O</t>
  </si>
  <si>
    <t xml:space="preserve">CGEN.O</t>
  </si>
  <si>
    <t xml:space="preserve">TWST.O</t>
  </si>
  <si>
    <t xml:space="preserve">TREE.O</t>
  </si>
  <si>
    <t xml:space="preserve">PINS.K</t>
  </si>
  <si>
    <t xml:space="preserve">FVRR.K</t>
  </si>
  <si>
    <t xml:space="preserve">SEDG.O</t>
  </si>
  <si>
    <t xml:space="preserve">SPNS.O</t>
  </si>
  <si>
    <t xml:space="preserve">CAMT.O</t>
  </si>
  <si>
    <t xml:space="preserve">ADSK.O</t>
  </si>
  <si>
    <t xml:space="preserve">AUDC.O</t>
  </si>
  <si>
    <t xml:space="preserve">CDNA.O</t>
  </si>
  <si>
    <t xml:space="preserve">EDIT.O</t>
  </si>
  <si>
    <t xml:space="preserve">HP</t>
  </si>
  <si>
    <t xml:space="preserve">IOVA.O</t>
  </si>
  <si>
    <t xml:space="preserve">NTLA.O</t>
  </si>
  <si>
    <t xml:space="preserve">NVMI.O</t>
  </si>
  <si>
    <t xml:space="preserve">PDD.O</t>
  </si>
  <si>
    <t xml:space="preserve">PTC.O</t>
  </si>
  <si>
    <t xml:space="preserve">SSYS.O</t>
  </si>
  <si>
    <t xml:space="preserve">TER.O</t>
  </si>
  <si>
    <t xml:space="preserve">TRMB.O</t>
  </si>
  <si>
    <t xml:space="preserve">WIX.O</t>
  </si>
  <si>
    <t xml:space="preserve">ABT</t>
  </si>
  <si>
    <t xml:space="preserve">AMN</t>
  </si>
  <si>
    <t xml:space="preserve">BLK</t>
  </si>
  <si>
    <t xml:space="preserve">BSX</t>
  </si>
  <si>
    <t xml:space="preserve">BX</t>
  </si>
  <si>
    <t xml:space="preserve">CHRS.O</t>
  </si>
  <si>
    <t xml:space="preserve">MRK</t>
  </si>
  <si>
    <t xml:space="preserve">VTRS.O</t>
  </si>
  <si>
    <t xml:space="preserve">TMO</t>
  </si>
  <si>
    <t xml:space="preserve">UNH</t>
  </si>
  <si>
    <t xml:space="preserve">ARKK.K</t>
  </si>
  <si>
    <t xml:space="preserve">ARKG.K</t>
  </si>
  <si>
    <t xml:space="preserve">DIS</t>
  </si>
  <si>
    <t xml:space="preserve">BUG.O</t>
  </si>
  <si>
    <t xml:space="preserve">PBW</t>
  </si>
  <si>
    <t xml:space="preserve">TAN</t>
  </si>
  <si>
    <t xml:space="preserve">XT.O</t>
  </si>
  <si>
    <t xml:space="preserve">TLRY.O</t>
  </si>
  <si>
    <t xml:space="preserve">XBI</t>
  </si>
  <si>
    <t xml:space="preserve">EA.O</t>
  </si>
  <si>
    <t xml:space="preserve">NVDA.O</t>
  </si>
  <si>
    <t xml:space="preserve">TTWO.O</t>
  </si>
  <si>
    <t xml:space="preserve">XLP</t>
  </si>
  <si>
    <t xml:space="preserve">RBOT.P</t>
  </si>
  <si>
    <t xml:space="preserve">EWY</t>
  </si>
  <si>
    <t xml:space="preserve">EWT</t>
  </si>
  <si>
    <t xml:space="preserve">EIDO.K</t>
  </si>
  <si>
    <t xml:space="preserve">EWM</t>
  </si>
  <si>
    <t xml:space="preserve">EWS</t>
  </si>
  <si>
    <t xml:space="preserve">VNM</t>
  </si>
  <si>
    <t xml:space="preserve">THD</t>
  </si>
  <si>
    <t xml:space="preserve">CRM</t>
  </si>
  <si>
    <t xml:space="preserve">TDOC.P</t>
  </si>
  <si>
    <t xml:space="preserve">PLTR.O</t>
  </si>
  <si>
    <t xml:space="preserve">CSCO.O</t>
  </si>
  <si>
    <t xml:space="preserve">QQQ.O</t>
  </si>
  <si>
    <t xml:space="preserve">RKLB.O</t>
  </si>
  <si>
    <t xml:space="preserve">PLTM.K</t>
  </si>
  <si>
    <t xml:space="preserve">RBLX.P</t>
  </si>
  <si>
    <t xml:space="preserve">AXP</t>
  </si>
  <si>
    <t xml:space="preserve">MOO</t>
  </si>
  <si>
    <t xml:space="preserve">KWEB.K</t>
  </si>
  <si>
    <t xml:space="preserve">PAVE.K</t>
  </si>
  <si>
    <t xml:space="preserve">VNQ</t>
  </si>
  <si>
    <t xml:space="preserve">BOTZ.O</t>
  </si>
  <si>
    <t xml:space="preserve">INTC.O</t>
  </si>
  <si>
    <t xml:space="preserve">TGS</t>
  </si>
  <si>
    <t xml:space="preserve">AIQ.O</t>
  </si>
  <si>
    <t xml:space="preserve">ARGT.K</t>
  </si>
  <si>
    <t xml:space="preserve">USCI.K</t>
  </si>
  <si>
    <t xml:space="preserve">MS</t>
  </si>
  <si>
    <t xml:space="preserve">BRKb</t>
  </si>
  <si>
    <t xml:space="preserve">LTM</t>
  </si>
  <si>
    <t xml:space="preserve">Monto UF</t>
  </si>
  <si>
    <t xml:space="preserve">Tasa Spot</t>
  </si>
  <si>
    <t xml:space="preserve">Dif Inicial</t>
  </si>
  <si>
    <t xml:space="preserve">vto</t>
  </si>
  <si>
    <t xml:space="preserve">Días</t>
  </si>
  <si>
    <t xml:space="preserve">REALIZADO</t>
  </si>
  <si>
    <t xml:space="preserve">FUTUROS T10Y</t>
  </si>
  <si>
    <t xml:space="preserve">Instumento</t>
  </si>
  <si>
    <t xml:space="preserve">fecha</t>
  </si>
  <si>
    <t xml:space="preserve">ytm inicial</t>
  </si>
  <si>
    <t xml:space="preserve">ytm merc</t>
  </si>
  <si>
    <t xml:space="preserve">result</t>
  </si>
  <si>
    <t xml:space="preserve">fecha cierre</t>
  </si>
  <si>
    <t xml:space="preserve">EXP</t>
  </si>
  <si>
    <t xml:space="preserve">WNH6</t>
  </si>
  <si>
    <t xml:space="preserve">##CARTERA RENTA FIJA</t>
  </si>
  <si>
    <t xml:space="preserve">BANCO</t>
  </si>
  <si>
    <t xml:space="preserve">ISIN</t>
  </si>
  <si>
    <t xml:space="preserve">Name</t>
  </si>
  <si>
    <t xml:space="preserve">Monto Compra</t>
  </si>
  <si>
    <t xml:space="preserve">Coupon</t>
  </si>
  <si>
    <t xml:space="preserve">Maturity</t>
  </si>
  <si>
    <t xml:space="preserve">PRECIO COMPRA</t>
  </si>
  <si>
    <t xml:space="preserve">Precio 31-Dic-2021</t>
  </si>
  <si>
    <t xml:space="preserve">Precio 31-Dic-2025</t>
  </si>
  <si>
    <t xml:space="preserve">Precio Mercado (29-05)</t>
  </si>
  <si>
    <t xml:space="preserve">CurrYield</t>
  </si>
  <si>
    <t xml:space="preserve">YLD_YTM_ask</t>
  </si>
  <si>
    <t xml:space="preserve">DUR_MID</t>
  </si>
  <si>
    <t xml:space="preserve">rtg_sp</t>
  </si>
  <si>
    <t xml:space="preserve">rtg_moody</t>
  </si>
  <si>
    <t xml:space="preserve">rtg_fitch</t>
  </si>
  <si>
    <t xml:space="preserve">industry_subgroup</t>
  </si>
  <si>
    <t xml:space="preserve">PAIS</t>
  </si>
  <si>
    <t xml:space="preserve">crncy</t>
  </si>
  <si>
    <t xml:space="preserve">callable</t>
  </si>
  <si>
    <t xml:space="preserve">NXT_CALL_DT</t>
  </si>
  <si>
    <t xml:space="preserve">payment_rank</t>
  </si>
  <si>
    <t xml:space="preserve">Costo</t>
  </si>
  <si>
    <t xml:space="preserve">status</t>
  </si>
  <si>
    <t xml:space="preserve">MTM trib</t>
  </si>
  <si>
    <t xml:space="preserve">VPxYTM</t>
  </si>
  <si>
    <t xml:space="preserve">VPxDur</t>
  </si>
  <si>
    <t xml:space="preserve">Rt % año</t>
  </si>
  <si>
    <t xml:space="preserve">INTERESES x AÑO</t>
  </si>
  <si>
    <t xml:space="preserve">FECHA COMPRA</t>
  </si>
  <si>
    <t xml:space="preserve">VENTA</t>
  </si>
  <si>
    <t xml:space="preserve">compra</t>
  </si>
  <si>
    <t xml:space="preserve">LTV</t>
  </si>
  <si>
    <t xml:space="preserve">LTV usd</t>
  </si>
  <si>
    <t xml:space="preserve">SCH</t>
  </si>
  <si>
    <t xml:space="preserve">XS145DGFDJHDKJ</t>
  </si>
  <si>
    <t xml:space="preserve">bono1</t>
  </si>
  <si>
    <t xml:space="preserve">31-07-2040</t>
  </si>
  <si>
    <t xml:space="preserve">NR</t>
  </si>
  <si>
    <t xml:space="preserve">#N/A N/A</t>
  </si>
  <si>
    <t xml:space="preserve">WD</t>
  </si>
  <si>
    <t xml:space="preserve">Sovereign</t>
  </si>
  <si>
    <t xml:space="preserve">EC</t>
  </si>
  <si>
    <t xml:space="preserve">USD</t>
  </si>
  <si>
    <t xml:space="preserve">SINKABLE</t>
  </si>
  <si>
    <t xml:space="preserve">Sr Unsecured</t>
  </si>
  <si>
    <t xml:space="preserve">bono2</t>
  </si>
  <si>
    <t xml:space="preserve">US</t>
  </si>
  <si>
    <t xml:space="preserve">NORMAL</t>
  </si>
  <si>
    <t xml:space="preserve">Unsecured</t>
  </si>
  <si>
    <t xml:space="preserve">bono3</t>
  </si>
  <si>
    <t xml:space="preserve">LTV RF</t>
  </si>
  <si>
    <t xml:space="preserve">bono4</t>
  </si>
  <si>
    <t xml:space="preserve">bono5</t>
  </si>
  <si>
    <t xml:space="preserve">MS-K</t>
  </si>
  <si>
    <t xml:space="preserve">bono6</t>
  </si>
  <si>
    <t xml:space="preserve">bono7</t>
  </si>
  <si>
    <t xml:space="preserve">UBS-H</t>
  </si>
  <si>
    <t xml:space="preserve">bono8</t>
  </si>
  <si>
    <t xml:space="preserve">bono9</t>
  </si>
  <si>
    <t xml:space="preserve">17-01-2034</t>
  </si>
  <si>
    <t xml:space="preserve">BBB-</t>
  </si>
  <si>
    <t xml:space="preserve">Baa3</t>
  </si>
  <si>
    <t xml:space="preserve">BBB</t>
  </si>
  <si>
    <t xml:space="preserve">Metal-Iron</t>
  </si>
  <si>
    <t xml:space="preserve">BR</t>
  </si>
  <si>
    <t xml:space="preserve">AT MATURITY</t>
  </si>
  <si>
    <t xml:space="preserve">bono10</t>
  </si>
  <si>
    <t xml:space="preserve">07-13-2027</t>
  </si>
  <si>
    <t xml:space="preserve">CCC+</t>
  </si>
  <si>
    <t xml:space="preserve">CCC-</t>
  </si>
  <si>
    <t xml:space="preserve">Oil Comp-Integrated</t>
  </si>
  <si>
    <t xml:space="preserve">AR</t>
  </si>
  <si>
    <t xml:space="preserve">bono11</t>
  </si>
  <si>
    <t xml:space="preserve">B3</t>
  </si>
  <si>
    <t xml:space="preserve">B</t>
  </si>
  <si>
    <t xml:space="preserve">TR</t>
  </si>
  <si>
    <t xml:space="preserve">bono12</t>
  </si>
  <si>
    <t xml:space="preserve">Perpetuo</t>
  </si>
  <si>
    <t xml:space="preserve">BB+</t>
  </si>
  <si>
    <t xml:space="preserve">Ba1</t>
  </si>
  <si>
    <t xml:space="preserve">Banks</t>
  </si>
  <si>
    <t xml:space="preserve">CL</t>
  </si>
  <si>
    <t xml:space="preserve">CALLABLE</t>
  </si>
  <si>
    <t xml:space="preserve">Jr Subordinated</t>
  </si>
  <si>
    <t xml:space="preserve">bono13</t>
  </si>
  <si>
    <t xml:space="preserve">20-01-2034</t>
  </si>
  <si>
    <t xml:space="preserve">BB-</t>
  </si>
  <si>
    <t xml:space="preserve">Ba2</t>
  </si>
  <si>
    <t xml:space="preserve">bono14</t>
  </si>
  <si>
    <t xml:space="preserve">Líneas Aéreas</t>
  </si>
  <si>
    <t xml:space="preserve">Secured</t>
  </si>
  <si>
    <t xml:space="preserve">bono15</t>
  </si>
  <si>
    <t xml:space="preserve">15-12-2030</t>
  </si>
  <si>
    <t xml:space="preserve">A-</t>
  </si>
  <si>
    <t xml:space="preserve">A2</t>
  </si>
  <si>
    <t xml:space="preserve">Property/Casualty Ins</t>
  </si>
  <si>
    <t xml:space="preserve">FR</t>
  </si>
  <si>
    <t xml:space="preserve">Subordinated</t>
  </si>
  <si>
    <t xml:space="preserve">bono16</t>
  </si>
  <si>
    <t xml:space="preserve">02-06-2041</t>
  </si>
  <si>
    <t xml:space="preserve">B1</t>
  </si>
  <si>
    <t xml:space="preserve">BB-u</t>
  </si>
  <si>
    <t xml:space="preserve">MX</t>
  </si>
  <si>
    <t xml:space="preserve">bono17</t>
  </si>
  <si>
    <t xml:space="preserve">bono18</t>
  </si>
  <si>
    <t xml:space="preserve">bono19</t>
  </si>
  <si>
    <t xml:space="preserve">01-08-2039</t>
  </si>
  <si>
    <t xml:space="preserve">Baa2</t>
  </si>
  <si>
    <t xml:space="preserve">Multi-line Insurance</t>
  </si>
  <si>
    <t xml:space="preserve">CALL/EXT</t>
  </si>
  <si>
    <t xml:space="preserve">bono20</t>
  </si>
  <si>
    <t xml:space="preserve">30-06-2031</t>
  </si>
  <si>
    <t xml:space="preserve">Ba3</t>
  </si>
  <si>
    <t xml:space="preserve">Oil Refining&amp;Marketing</t>
  </si>
  <si>
    <t xml:space="preserve">bono21</t>
  </si>
  <si>
    <t xml:space="preserve">#N/A Field Not Applicable</t>
  </si>
  <si>
    <t xml:space="preserve">PERP/CALL</t>
  </si>
  <si>
    <t xml:space="preserve">bono22</t>
  </si>
  <si>
    <t xml:space="preserve">B2</t>
  </si>
  <si>
    <t xml:space="preserve">GB</t>
  </si>
  <si>
    <t xml:space="preserve">IRR</t>
  </si>
  <si>
    <t xml:space="preserve">Dur</t>
  </si>
  <si>
    <t xml:space="preserve">##RENTA FIJA (BANCO MALO)</t>
  </si>
  <si>
    <t xml:space="preserve">Precio 31-Dic-2024</t>
  </si>
  <si>
    <t xml:space="preserve">17-02-2022</t>
  </si>
  <si>
    <t xml:space="preserve">VE</t>
  </si>
  <si>
    <t xml:space="preserve">bono23</t>
  </si>
  <si>
    <t xml:space="preserve">20-01-2016</t>
  </si>
  <si>
    <t xml:space="preserve">WR</t>
  </si>
  <si>
    <t xml:space="preserve">Commer Banks Non-US</t>
  </si>
  <si>
    <t xml:space="preserve">bono24</t>
  </si>
  <si>
    <t xml:space="preserve">23-05-2023</t>
  </si>
  <si>
    <t xml:space="preserve">RU</t>
  </si>
  <si>
    <t xml:space="preserve">bono25</t>
  </si>
  <si>
    <t xml:space="preserve">15-03-2023</t>
  </si>
  <si>
    <t xml:space="preserve">bono26</t>
  </si>
  <si>
    <t xml:space="preserve">bono27</t>
  </si>
  <si>
    <t xml:space="preserve">04-05-2013</t>
  </si>
  <si>
    <t xml:space="preserve">Steel Pipe&amp;Tube</t>
  </si>
  <si>
    <t xml:space="preserve">BG</t>
  </si>
  <si>
    <t xml:space="preserve">EUR</t>
  </si>
  <si>
    <t xml:space="preserve">bono28</t>
  </si>
  <si>
    <t xml:space="preserve">25-06-2024</t>
  </si>
  <si>
    <t xml:space="preserve">bono29</t>
  </si>
  <si>
    <t xml:space="preserve">17-05-2035</t>
  </si>
  <si>
    <t xml:space="preserve">bono30</t>
  </si>
  <si>
    <t xml:space="preserve">29-01-2025</t>
  </si>
  <si>
    <t xml:space="preserve">bono31</t>
  </si>
  <si>
    <t xml:space="preserve">13-01-2034</t>
  </si>
  <si>
    <t xml:space="preserve">Cu</t>
  </si>
  <si>
    <t xml:space="preserve">bono32</t>
  </si>
  <si>
    <t xml:space="preserve">bono33</t>
  </si>
  <si>
    <t xml:space="preserve">bono34</t>
  </si>
  <si>
    <t xml:space="preserve">15-09-2027</t>
  </si>
  <si>
    <t xml:space="preserve">bono35</t>
  </si>
  <si>
    <t xml:space="preserve"> </t>
  </si>
  <si>
    <t xml:space="preserve">31-03-2038</t>
  </si>
  <si>
    <t xml:space="preserve">bono36</t>
  </si>
  <si>
    <t xml:space="preserve">23-03-2027</t>
  </si>
  <si>
    <t xml:space="preserve">Oil Comp-Explor&amp;Prodtn</t>
  </si>
  <si>
    <t xml:space="preserve">bono37</t>
  </si>
  <si>
    <t xml:space="preserve">25-09-2034</t>
  </si>
  <si>
    <t xml:space="preserve">CC</t>
  </si>
  <si>
    <t xml:space="preserve">UA</t>
  </si>
  <si>
    <t xml:space="preserve">bono38</t>
  </si>
  <si>
    <t xml:space="preserve">06-02-2028</t>
  </si>
  <si>
    <t xml:space="preserve">bono39</t>
  </si>
  <si>
    <t xml:space="preserve">30-06-2035</t>
  </si>
  <si>
    <t xml:space="preserve">PUTABLE</t>
  </si>
  <si>
    <t xml:space="preserve">bono40</t>
  </si>
  <si>
    <t xml:space="preserve">16-08-2037</t>
  </si>
  <si>
    <t xml:space="preserve">bono41</t>
  </si>
  <si>
    <t xml:space="preserve">10-05-2016</t>
  </si>
  <si>
    <t xml:space="preserve">##FONDOS</t>
  </si>
  <si>
    <t xml:space="preserve">NOMBRE</t>
  </si>
  <si>
    <t xml:space="preserve">CANTIDAD</t>
  </si>
  <si>
    <t xml:space="preserve">PRECIO 31-12-2025</t>
  </si>
  <si>
    <t xml:space="preserve">PRECIO ACTUAL</t>
  </si>
  <si>
    <t xml:space="preserve">DIVIDENDOS</t>
  </si>
  <si>
    <t xml:space="preserve">MTM Trib</t>
  </si>
  <si>
    <t xml:space="preserve">FAMILIA</t>
  </si>
  <si>
    <t xml:space="preserve">FONDO 1</t>
  </si>
  <si>
    <t xml:space="preserve">LU05ERGERF</t>
  </si>
  <si>
    <t xml:space="preserve">reinvierte</t>
  </si>
  <si>
    <t xml:space="preserve">mantener</t>
  </si>
  <si>
    <t xml:space="preserve">RENTA FIJA</t>
  </si>
  <si>
    <t xml:space="preserve">FONDO 2</t>
  </si>
  <si>
    <t xml:space="preserve">paga div</t>
  </si>
  <si>
    <t xml:space="preserve">FONDO 3</t>
  </si>
  <si>
    <t xml:space="preserve">FONDO 4</t>
  </si>
  <si>
    <t xml:space="preserve">##ORO + PLATA</t>
  </si>
  <si>
    <t xml:space="preserve">XAGUSD</t>
  </si>
  <si>
    <t xml:space="preserve">CPER</t>
  </si>
  <si>
    <t xml:space="preserve">TICKER</t>
  </si>
  <si>
    <t xml:space="preserve">COSTO</t>
  </si>
  <si>
    <t xml:space="preserve">Retorno</t>
  </si>
  <si>
    <t xml:space="preserve">Plazo </t>
  </si>
  <si>
    <t xml:space="preserve">Vencimiento</t>
  </si>
  <si>
    <t xml:space="preserve">PLATA</t>
  </si>
  <si>
    <t xml:space="preserve">ORO</t>
  </si>
  <si>
    <t xml:space="preserve">ETF COBRE (EMPRESAS)</t>
  </si>
  <si>
    <t xml:space="preserve">ETF COBRE</t>
  </si>
  <si>
    <t xml:space="preserve">##EQUITY</t>
  </si>
  <si>
    <t xml:space="preserve">ARGT</t>
  </si>
  <si>
    <t xml:space="preserve">BRK/B</t>
  </si>
  <si>
    <t xml:space="preserve">CRCL</t>
  </si>
  <si>
    <t xml:space="preserve">ESM6</t>
  </si>
  <si>
    <t xml:space="preserve">USCI</t>
  </si>
  <si>
    <t xml:space="preserve">PLTR</t>
  </si>
  <si>
    <t xml:space="preserve">ARKK</t>
  </si>
  <si>
    <t xml:space="preserve">QTUM</t>
  </si>
  <si>
    <t xml:space="preserve">RKLB</t>
  </si>
  <si>
    <t xml:space="preserve">XIACY </t>
  </si>
  <si>
    <t xml:space="preserve">BYDDY</t>
  </si>
  <si>
    <t xml:space="preserve">JD</t>
  </si>
  <si>
    <t xml:space="preserve">TCEHY </t>
  </si>
  <si>
    <t xml:space="preserve">precio 31-12-2025</t>
  </si>
  <si>
    <t xml:space="preserve">VP Cierre 2025</t>
  </si>
  <si>
    <t xml:space="preserve">Monto LTV</t>
  </si>
  <si>
    <t xml:space="preserve">ETF Argentina</t>
  </si>
  <si>
    <t xml:space="preserve">Banco de Chile</t>
  </si>
  <si>
    <t xml:space="preserve">Black Rock</t>
  </si>
  <si>
    <t xml:space="preserve">Berkshire</t>
  </si>
  <si>
    <t xml:space="preserve">Circle Internet Group</t>
  </si>
  <si>
    <t xml:space="preserve">LTV EQUITY</t>
  </si>
  <si>
    <t xml:space="preserve">ETF Nasdaq</t>
  </si>
  <si>
    <t xml:space="preserve">Futuro S&amp;P</t>
  </si>
  <si>
    <t xml:space="preserve">S&amp;P</t>
  </si>
  <si>
    <t xml:space="preserve">Latam</t>
  </si>
  <si>
    <t xml:space="preserve">Transportadora de gas</t>
  </si>
  <si>
    <t xml:space="preserve">ETF commodities</t>
  </si>
  <si>
    <t xml:space="preserve">Palantir</t>
  </si>
  <si>
    <t xml:space="preserve">Freeport_Mcmoran (COBRE)</t>
  </si>
  <si>
    <t xml:space="preserve">Biotech ETF</t>
  </si>
  <si>
    <t xml:space="preserve">ARK Innovation</t>
  </si>
  <si>
    <t xml:space="preserve">ETF Chile</t>
  </si>
  <si>
    <t xml:space="preserve">Quantum ETF</t>
  </si>
  <si>
    <t xml:space="preserve">ETF Plata</t>
  </si>
  <si>
    <t xml:space="preserve">ETF INDIA</t>
  </si>
  <si>
    <t xml:space="preserve">ROCKET LAB CORP</t>
  </si>
  <si>
    <t xml:space="preserve">XIAOMI ADR</t>
  </si>
  <si>
    <t xml:space="preserve">BYD COMPANY</t>
  </si>
  <si>
    <t xml:space="preserve">JD COM INC </t>
  </si>
  <si>
    <t xml:space="preserve">ALIBABA</t>
  </si>
  <si>
    <t xml:space="preserve">Tencent</t>
  </si>
  <si>
    <t xml:space="preserve">Vol</t>
  </si>
  <si>
    <t xml:space="preserve">Sharpe</t>
  </si>
  <si>
    <t xml:space="preserve">RT SPY</t>
  </si>
  <si>
    <t xml:space="preserve">RT QQQ</t>
  </si>
  <si>
    <t xml:space="preserve">RT AIQ</t>
  </si>
  <si>
    <t xml:space="preserve">GOLD</t>
  </si>
  <si>
    <t xml:space="preserve">##FUTURO TREASURY</t>
  </si>
  <si>
    <t xml:space="preserve">exp</t>
  </si>
  <si>
    <t xml:space="preserve">TYM6</t>
  </si>
  <si>
    <t xml:space="preserve">WNM6</t>
  </si>
  <si>
    <t xml:space="preserve">TC</t>
  </si>
  <si>
    <t xml:space="preserve">##Resumen</t>
  </si>
  <si>
    <t xml:space="preserve">FECHA APORTE</t>
  </si>
  <si>
    <t xml:space="preserve">EMPRESA</t>
  </si>
  <si>
    <t xml:space="preserve">GESTOR</t>
  </si>
  <si>
    <t xml:space="preserve">NOMBRE FONDO</t>
  </si>
  <si>
    <t xml:space="preserve">MONTO APORTADO</t>
  </si>
  <si>
    <t xml:space="preserve">VALOR MERCADO</t>
  </si>
  <si>
    <t xml:space="preserve">%</t>
  </si>
  <si>
    <t xml:space="preserve">MONEDA</t>
  </si>
  <si>
    <t xml:space="preserve">SECTOR</t>
  </si>
  <si>
    <t xml:space="preserve">TIEMPO INV.</t>
  </si>
  <si>
    <t xml:space="preserve">RETORNO</t>
  </si>
  <si>
    <t xml:space="preserve">RETORNO ANUALIZADO</t>
  </si>
  <si>
    <t xml:space="preserve">SHC</t>
  </si>
  <si>
    <t xml:space="preserve">GESTOR 1</t>
  </si>
  <si>
    <t xml:space="preserve">JUAN 1</t>
  </si>
  <si>
    <t xml:space="preserve">Venture Capital</t>
  </si>
  <si>
    <t xml:space="preserve">ok</t>
  </si>
  <si>
    <t xml:space="preserve">GESTOR 2</t>
  </si>
  <si>
    <t xml:space="preserve">JUAN 2</t>
  </si>
  <si>
    <t xml:space="preserve">GESTOR 3</t>
  </si>
  <si>
    <t xml:space="preserve">JUAN 3</t>
  </si>
  <si>
    <t xml:space="preserve">Inmobiliario</t>
  </si>
  <si>
    <t xml:space="preserve">GESTOR 4</t>
  </si>
  <si>
    <t xml:space="preserve">JUAN 4</t>
  </si>
  <si>
    <t xml:space="preserve">GESTOR 5</t>
  </si>
  <si>
    <t xml:space="preserve">JUAN 5</t>
  </si>
  <si>
    <t xml:space="preserve">GESTOR 6</t>
  </si>
  <si>
    <t xml:space="preserve">JUAN 6</t>
  </si>
  <si>
    <t xml:space="preserve">GESTOR 7</t>
  </si>
  <si>
    <t xml:space="preserve">JUAN 7</t>
  </si>
  <si>
    <t xml:space="preserve">GESTOR 8</t>
  </si>
  <si>
    <t xml:space="preserve">JUAN 8</t>
  </si>
  <si>
    <t xml:space="preserve">GESTOR 9</t>
  </si>
  <si>
    <t xml:space="preserve">JUAN 9</t>
  </si>
  <si>
    <t xml:space="preserve">GESTOR 10</t>
  </si>
  <si>
    <t xml:space="preserve">JUAN 10</t>
  </si>
  <si>
    <t xml:space="preserve">GESTOR 11</t>
  </si>
  <si>
    <t xml:space="preserve">JUAN 11</t>
  </si>
  <si>
    <t xml:space="preserve">GESTOR 12</t>
  </si>
  <si>
    <t xml:space="preserve">JUAN 12</t>
  </si>
  <si>
    <t xml:space="preserve">GESTOR 13</t>
  </si>
  <si>
    <t xml:space="preserve">JUAN 13</t>
  </si>
  <si>
    <t xml:space="preserve">GESTOR 14</t>
  </si>
  <si>
    <t xml:space="preserve">JUAN 14</t>
  </si>
  <si>
    <t xml:space="preserve">PESOS</t>
  </si>
  <si>
    <t xml:space="preserve">GESTOR 15</t>
  </si>
  <si>
    <t xml:space="preserve">JUAN 15</t>
  </si>
  <si>
    <t xml:space="preserve">Multi-Sectorial</t>
  </si>
  <si>
    <t xml:space="preserve">GESTOR 16</t>
  </si>
  <si>
    <t xml:space="preserve">JUAN 16</t>
  </si>
  <si>
    <t xml:space="preserve">Criptomonedas</t>
  </si>
  <si>
    <t xml:space="preserve">VP FINAL 2025</t>
  </si>
  <si>
    <t xml:space="preserve">INTERESES</t>
  </si>
  <si>
    <t xml:space="preserve">TOTAL</t>
  </si>
  <si>
    <t xml:space="preserve">FONDOS</t>
  </si>
  <si>
    <t xml:space="preserve">ORO, PLATA y COBRE</t>
  </si>
  <si>
    <t xml:space="preserve">EQUITY</t>
  </si>
  <si>
    <t xml:space="preserve">FUT TREASURY</t>
  </si>
  <si>
    <t xml:space="preserve">FONDOS INMOB</t>
  </si>
  <si>
    <t xml:space="preserve">VP USD</t>
  </si>
  <si>
    <t xml:space="preserve">Rt 2026</t>
  </si>
  <si>
    <t xml:space="preserve">FECHA CIERRE</t>
  </si>
  <si>
    <t xml:space="preserve">ESH6</t>
  </si>
  <si>
    <t xml:space="preserve">PRECIO VENTA</t>
  </si>
  <si>
    <t xml:space="preserve">Resultado</t>
  </si>
  <si>
    <t xml:space="preserve">CS-M</t>
  </si>
  <si>
    <t xml:space="preserve">FUTURO TREASURY</t>
  </si>
  <si>
    <t xml:space="preserve">Precio 31-Dic-2023</t>
  </si>
  <si>
    <t xml:space="preserve">Precio Venta</t>
  </si>
  <si>
    <t xml:space="preserve">FECHA VENTA</t>
  </si>
  <si>
    <t xml:space="preserve">US46625HLL23</t>
  </si>
  <si>
    <t xml:space="preserve">JPMORGAN CHASE</t>
  </si>
  <si>
    <t xml:space="preserve">01-06-2045</t>
  </si>
  <si>
    <t xml:space="preserve">BBB+</t>
  </si>
  <si>
    <t xml:space="preserve">A3</t>
  </si>
  <si>
    <t xml:space="preserve">A</t>
  </si>
  <si>
    <t xml:space="preserve">Diversified Banking Inst</t>
  </si>
  <si>
    <t xml:space="preserve">US172967KR13</t>
  </si>
  <si>
    <t xml:space="preserve">CITIGROUP</t>
  </si>
  <si>
    <t xml:space="preserve">18-05-2046</t>
  </si>
  <si>
    <t xml:space="preserve">US05567SAA06</t>
  </si>
  <si>
    <t xml:space="preserve">BNSF FUNDING TRUST I</t>
  </si>
  <si>
    <t xml:space="preserve">15-12-2055</t>
  </si>
  <si>
    <t xml:space="preserve">Transport-Rail</t>
  </si>
  <si>
    <t xml:space="preserve">US912810TJ79</t>
  </si>
  <si>
    <t xml:space="preserve">US TREASURY N/B</t>
  </si>
  <si>
    <t xml:space="preserve">15-08-2052</t>
  </si>
  <si>
    <t xml:space="preserve">Aaa</t>
  </si>
  <si>
    <t xml:space="preserve">US61746BEG77</t>
  </si>
  <si>
    <t xml:space="preserve">MORGAN STANLEY</t>
  </si>
  <si>
    <t xml:space="preserve">22-01-2047</t>
  </si>
  <si>
    <t xml:space="preserve">A1</t>
  </si>
  <si>
    <t xml:space="preserve">A+</t>
  </si>
  <si>
    <t xml:space="preserve">CS-MCHT</t>
  </si>
  <si>
    <t xml:space="preserve">CS-MChT</t>
  </si>
  <si>
    <t xml:space="preserve">US912797SX61</t>
  </si>
  <si>
    <t xml:space="preserve">TREASURY BILLS</t>
  </si>
  <si>
    <t xml:space="preserve">DB-KIF</t>
  </si>
  <si>
    <t xml:space="preserve">UBS-MON</t>
  </si>
  <si>
    <t xml:space="preserve">UBS-KIF</t>
  </si>
  <si>
    <t xml:space="preserve">SAXO-MON</t>
  </si>
  <si>
    <t xml:space="preserve">SAXO-KIF</t>
  </si>
  <si>
    <t xml:space="preserve">Chile-Mon</t>
  </si>
  <si>
    <t xml:space="preserve">USDJPY</t>
  </si>
  <si>
    <t xml:space="preserve">GBPUSD</t>
  </si>
  <si>
    <t xml:space="preserve">TRADING</t>
  </si>
  <si>
    <t xml:space="preserve">NOCIONAL</t>
  </si>
  <si>
    <t xml:space="preserve">RIESGO</t>
  </si>
  <si>
    <t xml:space="preserve">DB-MON</t>
  </si>
  <si>
    <t xml:space="preserve">NDF</t>
  </si>
  <si>
    <t xml:space="preserve">POS TOTAL</t>
  </si>
  <si>
    <t xml:space="preserve">BUZIOS USD</t>
  </si>
  <si>
    <t xml:space="preserve">ACTIVOS</t>
  </si>
  <si>
    <t xml:space="preserve">PASIVOS</t>
  </si>
  <si>
    <t xml:space="preserve">Total</t>
  </si>
  <si>
    <t xml:space="preserve">POS</t>
  </si>
  <si>
    <t xml:space="preserve">Totales cartera (MTM firmado; short opciones = negativo)</t>
  </si>
  <si>
    <t xml:space="preserve">Resumen</t>
  </si>
  <si>
    <t xml:space="preserve">Base</t>
  </si>
  <si>
    <t xml:space="preserve">Vol +5</t>
  </si>
  <si>
    <t xml:space="preserve">Vol +10</t>
  </si>
  <si>
    <t xml:space="preserve">Vol +15</t>
  </si>
  <si>
    <t xml:space="preserve">Notas</t>
  </si>
  <si>
    <t xml:space="preserve">MTM total (USD)</t>
  </si>
  <si>
    <t xml:space="preserve">ΔMTM vs Base (USD)</t>
  </si>
  <si>
    <t xml:space="preserve">Vega aprox (USD por 1 vol pt)</t>
  </si>
  <si>
    <t xml:space="preserve">Aprox. usando ΔMTM/Δvol (positivo = corto vega si ΔMTM negativo)</t>
  </si>
  <si>
    <t xml:space="preserve">Delta aprox (USD por 1% pt base)</t>
  </si>
  <si>
    <t xml:space="preserve">Exposición ponderada por prob. ITM (|V|×Prob ITM)</t>
  </si>
  <si>
    <t xml:space="preserve">Suma (USD) IMPACTOS</t>
  </si>
  <si>
    <t xml:space="preserve">Proxy de “riesgo de ejercicio”</t>
  </si>
  <si>
    <t xml:space="preserve">MTM total (USD) BASE</t>
  </si>
  <si>
    <t xml:space="preserve">RESULTADO PRIMAS Y OTROS</t>
  </si>
  <si>
    <t xml:space="preserve">Contribución por posición (selecciona escenario)</t>
  </si>
  <si>
    <t xml:space="preserve">Escenario seleccionado:</t>
  </si>
  <si>
    <t xml:space="preserve">ID</t>
  </si>
  <si>
    <t xml:space="preserve">Underlying</t>
  </si>
  <si>
    <t xml:space="preserve">Type</t>
  </si>
  <si>
    <t xml:space="preserve">Δ Vol+5 (USD)</t>
  </si>
  <si>
    <t xml:space="preserve">Prob ITM +5</t>
  </si>
  <si>
    <t xml:space="preserve">Δ Vol+10 (USD)</t>
  </si>
  <si>
    <t xml:space="preserve">Prob ITM +10</t>
  </si>
  <si>
    <t xml:space="preserve">Δ Vol+20 (USD)</t>
  </si>
  <si>
    <t xml:space="preserve">Prob ITM +20</t>
  </si>
  <si>
    <t xml:space="preserve">FX1</t>
  </si>
  <si>
    <t xml:space="preserve">Call</t>
  </si>
  <si>
    <t xml:space="preserve">FX2</t>
  </si>
  <si>
    <t xml:space="preserve">Put</t>
  </si>
  <si>
    <t xml:space="preserve">FX3</t>
  </si>
  <si>
    <t xml:space="preserve">SPY-P25</t>
  </si>
  <si>
    <t xml:space="preserve">SPY-P30</t>
  </si>
  <si>
    <t xml:space="preserve">SPY-P35</t>
  </si>
  <si>
    <t xml:space="preserve">QQQ-P25</t>
  </si>
  <si>
    <t xml:space="preserve">QQQ-P30</t>
  </si>
  <si>
    <t xml:space="preserve">QQQ-P35</t>
  </si>
  <si>
    <t xml:space="preserve">NVDA-P25</t>
  </si>
  <si>
    <t xml:space="preserve">NVDA-P30</t>
  </si>
  <si>
    <t xml:space="preserve">NVDA-P35</t>
  </si>
</sst>
</file>

<file path=xl/styles.xml><?xml version="1.0" encoding="utf-8"?>
<styleSheet xmlns="http://schemas.openxmlformats.org/spreadsheetml/2006/main">
  <numFmts count="50">
    <numFmt numFmtId="164" formatCode="General"/>
    <numFmt numFmtId="165" formatCode="_-[$€-2]\ * #,##0.00_-;\-[$€-2]\ * #,##0.00_-;_-[$€-2]\ * \-??_-"/>
    <numFmt numFmtId="166" formatCode="0\ %"/>
    <numFmt numFmtId="167" formatCode="_-* #,##0.00_-;\-* #,##0.00_-;_-* \-??_-;_-@_-"/>
    <numFmt numFmtId="168" formatCode="_ * #,##0.00000_ ;_ * \-#,##0.00000_ ;_ * \-??_ ;_ @_ "/>
    <numFmt numFmtId="169" formatCode="_-* #,##0_-;\-* #,##0_-;_-* \-??_-;_-@_-"/>
    <numFmt numFmtId="170" formatCode="0.0%"/>
    <numFmt numFmtId="171" formatCode="#,##0_ ;[RED]\-#,##0\ "/>
    <numFmt numFmtId="172" formatCode="dd/mmm"/>
    <numFmt numFmtId="173" formatCode="#,##0.00%;[RED]\-#,##0.00%"/>
    <numFmt numFmtId="174" formatCode="_ * #,##0_ ;_ * \-#,##0_ ;_ * \-??_ ;_ @_ "/>
    <numFmt numFmtId="175" formatCode="_ * #,##0.00_ ;_ * \-#,##0.00_ ;_ * \-??_ ;_ @_ "/>
    <numFmt numFmtId="176" formatCode="0.00\ %"/>
    <numFmt numFmtId="177" formatCode="_ * #,##0.0_ ;_ * \-#,##0.0_ ;_ * \-??_ ;_ @_ "/>
    <numFmt numFmtId="178" formatCode="_-* #,##0.0_-;\-* #,##0.0_-;_-* \-?_-;_-@_-"/>
    <numFmt numFmtId="179" formatCode="_(* #,##0.00_);_(* \(#,##0.00\);_(* \-??_);_(@_)"/>
    <numFmt numFmtId="180" formatCode="_ * #,##0.000_ ;_ * \-#,##0.000_ ;_ * \-??_ ;_ @_ "/>
    <numFmt numFmtId="181" formatCode="#,##0_ ;\-#,##0\ "/>
    <numFmt numFmtId="182" formatCode="#,##0"/>
    <numFmt numFmtId="183" formatCode="_-* #,##0.0000_-;\-* #,##0.0000_-;_-* \-??_-;_-@_-"/>
    <numFmt numFmtId="184" formatCode="_ * #,##0.0000_ ;_ * \-#,##0.0000_ ;_ * \-??_ ;_ @_ "/>
    <numFmt numFmtId="185" formatCode="#,##0.0000_ ;[RED]\-#,##0.0000\ "/>
    <numFmt numFmtId="186" formatCode="#,##0.00_ ;[RED]\-#,##0.00\ "/>
    <numFmt numFmtId="187" formatCode="[$-409]d\-mmm;@"/>
    <numFmt numFmtId="188" formatCode="_-* #,##0_-;\-* #,##0_-;_-* \-_-;_-@_-"/>
    <numFmt numFmtId="189" formatCode="_-* #,##0.0000_-;\-* #,##0.0000_-;_-* \-_-;_-@_-"/>
    <numFmt numFmtId="190" formatCode="_-* #,##0.000_-;\-* #,##0.000_-;_-* \-??_-;_-@_-"/>
    <numFmt numFmtId="191" formatCode="General"/>
    <numFmt numFmtId="192" formatCode="#,##0.0_ ;[RED]\-#,##0.0\ "/>
    <numFmt numFmtId="193" formatCode="0.00"/>
    <numFmt numFmtId="194" formatCode="#,##0;[RED]\-#,##0"/>
    <numFmt numFmtId="195" formatCode="# ??/??"/>
    <numFmt numFmtId="196" formatCode="#,##0.00"/>
    <numFmt numFmtId="197" formatCode="0.00%;[RED]\-0.00%"/>
    <numFmt numFmtId="198" formatCode="_-* #,##0.0_-;\-* #,##0.0_-;_-* \-??_-;_-@_-"/>
    <numFmt numFmtId="199" formatCode="dd/mm/yyyy"/>
    <numFmt numFmtId="200" formatCode="_-* #,##0.00_-;\-* #,##0.00_-;_-* \-_-;_-@_-"/>
    <numFmt numFmtId="201" formatCode="_-* #,##0.000_-;\-* #,##0.000_-;_-* \-_-;_-@_-"/>
    <numFmt numFmtId="202" formatCode="#,##0.000_ ;[RED]\-#,##0.000\ "/>
    <numFmt numFmtId="203" formatCode="0.000%"/>
    <numFmt numFmtId="204" formatCode="@"/>
    <numFmt numFmtId="205" formatCode="0.000"/>
    <numFmt numFmtId="206" formatCode="#,##0.00;[RED]\-#,##0.00"/>
    <numFmt numFmtId="207" formatCode="_ * #,##0.00_ ;_ * \-#,##0.00_ ;_ * \-_ ;_ @_ "/>
    <numFmt numFmtId="208" formatCode="_ * #,##0.0_ ;_ * \-#,##0.0_ ;_ * \-?_ ;_ @_ "/>
    <numFmt numFmtId="209" formatCode="_-* #,##0.0_-;\-* #,##0.0_-;_-* \-_-;_-@_-"/>
    <numFmt numFmtId="210" formatCode="0"/>
    <numFmt numFmtId="211" formatCode="_-* #,##0.00\ _€_-;\-* #,##0.00\ _€_-;_-* \-??\ _€_-;_-@_-"/>
    <numFmt numFmtId="212" formatCode="_ * #,##0.0_ ;_ * \-#,##0.0_ ;_ * \-_ ;_ @_ "/>
    <numFmt numFmtId="213" formatCode="\$#,##0"/>
  </numFmts>
  <fonts count="72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sz val="11"/>
      <color rgb="FF9C6500"/>
      <name val="Calibri"/>
      <family val="2"/>
      <charset val="1"/>
    </font>
    <font>
      <sz val="10"/>
      <name val="Arial"/>
      <family val="2"/>
      <charset val="1"/>
    </font>
    <font>
      <sz val="14"/>
      <color rgb="FF0000FF"/>
      <name val="Calibri"/>
      <family val="2"/>
      <charset val="1"/>
    </font>
    <font>
      <b val="true"/>
      <sz val="18"/>
      <color theme="3"/>
      <name val="Cambria"/>
      <family val="2"/>
      <charset val="1"/>
    </font>
    <font>
      <sz val="9"/>
      <name val="Arial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2"/>
      <color rgb="FF000080"/>
      <name val="Arial"/>
      <family val="2"/>
      <charset val="1"/>
    </font>
    <font>
      <sz val="9"/>
      <color rgb="FF000080"/>
      <name val="Arial"/>
      <family val="2"/>
      <charset val="1"/>
    </font>
    <font>
      <b val="true"/>
      <sz val="12"/>
      <color rgb="FFFF0000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9"/>
      <color rgb="FF000080"/>
      <name val="Arial"/>
      <family val="2"/>
      <charset val="1"/>
    </font>
    <font>
      <sz val="10"/>
      <color rgb="FFFF000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sz val="8"/>
      <color rgb="FF000080"/>
      <name val="Arial"/>
      <family val="2"/>
      <charset val="1"/>
    </font>
    <font>
      <sz val="10"/>
      <color rgb="FF000080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0"/>
      <name val="Arial"/>
      <family val="2"/>
      <charset val="1"/>
    </font>
    <font>
      <b val="true"/>
      <u val="single"/>
      <sz val="10"/>
      <color rgb="FF000080"/>
      <name val="Arial"/>
      <family val="2"/>
      <charset val="1"/>
    </font>
    <font>
      <b val="true"/>
      <sz val="14"/>
      <color rgb="FF000080"/>
      <name val="Arial"/>
      <family val="2"/>
      <charset val="1"/>
    </font>
    <font>
      <b val="true"/>
      <sz val="8"/>
      <color rgb="FF000080"/>
      <name val="Arial"/>
      <family val="2"/>
      <charset val="1"/>
    </font>
    <font>
      <b val="true"/>
      <sz val="11"/>
      <color rgb="FF000080"/>
      <name val="Arial"/>
      <family val="2"/>
      <charset val="1"/>
    </font>
    <font>
      <b val="true"/>
      <sz val="13"/>
      <color rgb="FFFF0000"/>
      <name val="Arial"/>
      <family val="2"/>
      <charset val="1"/>
    </font>
    <font>
      <b val="true"/>
      <sz val="9"/>
      <color theme="0"/>
      <name val="Arial"/>
      <family val="2"/>
      <charset val="1"/>
    </font>
    <font>
      <b val="true"/>
      <sz val="8"/>
      <color rgb="FFFF0000"/>
      <name val="Arial"/>
      <family val="2"/>
      <charset val="1"/>
    </font>
    <font>
      <sz val="9"/>
      <color rgb="FFFF0000"/>
      <name val="Arial"/>
      <family val="2"/>
      <charset val="1"/>
    </font>
    <font>
      <b val="true"/>
      <sz val="14"/>
      <color rgb="FFFF0000"/>
      <name val="Arial"/>
      <family val="2"/>
      <charset val="1"/>
    </font>
    <font>
      <sz val="14"/>
      <color rgb="FFFF0000"/>
      <name val="Arial"/>
      <family val="2"/>
      <charset val="1"/>
    </font>
    <font>
      <sz val="8"/>
      <name val="Arial"/>
      <family val="2"/>
      <charset val="1"/>
    </font>
    <font>
      <b val="true"/>
      <i val="true"/>
      <sz val="8"/>
      <color rgb="FF000080"/>
      <name val="Arial"/>
      <family val="2"/>
      <charset val="1"/>
    </font>
    <font>
      <b val="true"/>
      <i val="true"/>
      <sz val="12"/>
      <color rgb="FF000080"/>
      <name val="Arial"/>
      <family val="2"/>
      <charset val="1"/>
    </font>
    <font>
      <b val="true"/>
      <i val="true"/>
      <sz val="14"/>
      <color rgb="FF0000FF"/>
      <name val="Arial"/>
      <family val="2"/>
      <charset val="1"/>
    </font>
    <font>
      <b val="true"/>
      <i val="true"/>
      <sz val="10"/>
      <color rgb="FF000080"/>
      <name val="Arial"/>
      <family val="2"/>
      <charset val="1"/>
    </font>
    <font>
      <b val="true"/>
      <i val="true"/>
      <sz val="10"/>
      <color rgb="FF0000FF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i val="true"/>
      <sz val="10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002060"/>
      <name val="Calibri"/>
      <family val="2"/>
      <charset val="1"/>
    </font>
    <font>
      <b val="true"/>
      <sz val="10"/>
      <color rgb="FF002060"/>
      <name val="Arial"/>
      <family val="2"/>
      <charset val="1"/>
    </font>
    <font>
      <sz val="11"/>
      <color rgb="FF002060"/>
      <name val="Calibri"/>
      <family val="2"/>
      <charset val="1"/>
    </font>
    <font>
      <sz val="10"/>
      <color rgb="FF002060"/>
      <name val="Inherit"/>
      <family val="0"/>
      <charset val="1"/>
    </font>
    <font>
      <sz val="10"/>
      <color rgb="FF002060"/>
      <name val="Arial"/>
      <family val="2"/>
      <charset val="1"/>
    </font>
    <font>
      <sz val="11"/>
      <color rgb="FFFF0000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4"/>
      <color rgb="FF595959"/>
      <name val="Calibri"/>
      <family val="2"/>
    </font>
    <font>
      <sz val="9"/>
      <color rgb="FF404040"/>
      <name val="Calibri"/>
      <family val="2"/>
    </font>
    <font>
      <sz val="9"/>
      <color rgb="FF595959"/>
      <name val="Calibri"/>
      <family val="2"/>
    </font>
    <font>
      <b val="true"/>
      <sz val="9"/>
      <color rgb="FFFFFFFF"/>
      <name val="Calibri"/>
      <family val="2"/>
    </font>
    <font>
      <b val="true"/>
      <i val="true"/>
      <sz val="11"/>
      <color rgb="FFFF0000"/>
      <name val="Arial"/>
      <family val="2"/>
      <charset val="1"/>
    </font>
    <font>
      <i val="true"/>
      <sz val="10"/>
      <color rgb="FFFF0000"/>
      <name val="Arial"/>
      <family val="2"/>
      <charset val="1"/>
    </font>
    <font>
      <b val="true"/>
      <i val="true"/>
      <sz val="10"/>
      <color rgb="FFFF0000"/>
      <name val="Arial"/>
      <family val="2"/>
      <charset val="1"/>
    </font>
    <font>
      <i val="true"/>
      <sz val="10"/>
      <color rgb="FF002060"/>
      <name val="Arial"/>
      <family val="2"/>
      <charset val="1"/>
    </font>
    <font>
      <b val="true"/>
      <sz val="14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b val="true"/>
      <sz val="9"/>
      <color theme="5"/>
      <name val="Arial"/>
      <family val="2"/>
      <charset val="1"/>
    </font>
    <font>
      <b val="true"/>
      <sz val="9"/>
      <color rgb="FF7030A0"/>
      <name val="Arial"/>
      <family val="2"/>
      <charset val="1"/>
    </font>
    <font>
      <b val="true"/>
      <sz val="9"/>
      <color rgb="FF7030A0"/>
      <name val="Calibri"/>
      <family val="2"/>
      <charset val="1"/>
    </font>
    <font>
      <sz val="9"/>
      <color rgb="FF404040"/>
      <name val="Calibri"/>
      <family val="2"/>
      <charset val="1"/>
    </font>
    <font>
      <b val="true"/>
      <sz val="10"/>
      <color theme="5"/>
      <name val="Arial"/>
      <family val="2"/>
      <charset val="1"/>
    </font>
    <font>
      <b val="true"/>
      <sz val="10"/>
      <color rgb="FF0000FF"/>
      <name val="Arial"/>
      <family val="2"/>
      <charset val="1"/>
    </font>
    <font>
      <sz val="11"/>
      <color rgb="FF0000FF"/>
      <name val="Calibri"/>
      <family val="2"/>
      <charset val="1"/>
    </font>
    <font>
      <sz val="9"/>
      <color rgb="FF666666"/>
      <name val="Calibri"/>
      <family val="2"/>
      <charset val="1"/>
    </font>
    <font>
      <sz val="10"/>
      <name val="Arial"/>
      <family val="2"/>
    </font>
  </fonts>
  <fills count="43">
    <fill>
      <patternFill patternType="none"/>
    </fill>
    <fill>
      <patternFill patternType="gray125"/>
    </fill>
    <fill>
      <patternFill patternType="solid">
        <fgColor theme="4" tint="0.7999"/>
        <bgColor rgb="FFD9E1F2"/>
      </patternFill>
    </fill>
    <fill>
      <patternFill patternType="solid">
        <fgColor theme="5" tint="0.7999"/>
        <bgColor rgb="FFE6E0EC"/>
      </patternFill>
    </fill>
    <fill>
      <patternFill patternType="solid">
        <fgColor theme="6" tint="0.7999"/>
        <bgColor rgb="FFF2F2F2"/>
      </patternFill>
    </fill>
    <fill>
      <patternFill patternType="solid">
        <fgColor theme="7" tint="0.7999"/>
        <bgColor rgb="FFDCE6F2"/>
      </patternFill>
    </fill>
    <fill>
      <patternFill patternType="solid">
        <fgColor theme="8" tint="0.7999"/>
        <bgColor rgb="FFDCE6F2"/>
      </patternFill>
    </fill>
    <fill>
      <patternFill patternType="solid">
        <fgColor theme="9" tint="0.7999"/>
        <bgColor rgb="FFEBF1DE"/>
      </patternFill>
    </fill>
    <fill>
      <patternFill patternType="solid">
        <fgColor theme="4" tint="0.5999"/>
        <bgColor rgb="FFC6D9F1"/>
      </patternFill>
    </fill>
    <fill>
      <patternFill patternType="solid">
        <fgColor theme="5" tint="0.5999"/>
        <bgColor rgb="FFFABE8B"/>
      </patternFill>
    </fill>
    <fill>
      <patternFill patternType="solid">
        <fgColor theme="6" tint="0.5999"/>
        <bgColor rgb="FFD9E1F2"/>
      </patternFill>
    </fill>
    <fill>
      <patternFill patternType="solid">
        <fgColor theme="7" tint="0.5999"/>
        <bgColor rgb="FFC0C0C0"/>
      </patternFill>
    </fill>
    <fill>
      <patternFill patternType="solid">
        <fgColor theme="8" tint="0.5999"/>
        <bgColor rgb="FFC6D9F1"/>
      </patternFill>
    </fill>
    <fill>
      <patternFill patternType="solid">
        <fgColor theme="9" tint="0.5999"/>
        <bgColor rgb="FFFFCC99"/>
      </patternFill>
    </fill>
    <fill>
      <patternFill patternType="solid">
        <fgColor theme="4" tint="0.3999"/>
        <bgColor rgb="FF8EB4E3"/>
      </patternFill>
    </fill>
    <fill>
      <patternFill patternType="solid">
        <fgColor theme="5" tint="0.3999"/>
        <bgColor rgb="FFFF99CC"/>
      </patternFill>
    </fill>
    <fill>
      <patternFill patternType="solid">
        <fgColor theme="6" tint="0.3999"/>
        <bgColor rgb="FFD7E4BD"/>
      </patternFill>
    </fill>
    <fill>
      <patternFill patternType="solid">
        <fgColor theme="7" tint="0.3999"/>
        <bgColor rgb="FFB2B2B2"/>
      </patternFill>
    </fill>
    <fill>
      <patternFill patternType="solid">
        <fgColor theme="8" tint="0.3999"/>
        <bgColor rgb="FF99CCFF"/>
      </patternFill>
    </fill>
    <fill>
      <patternFill patternType="darkGray">
        <fgColor theme="9" tint="0.3999"/>
        <bgColor rgb="FFFFCC99"/>
      </patternFill>
    </fill>
    <fill>
      <patternFill patternType="solid">
        <fgColor rgb="FFFFEB9C"/>
        <bgColor rgb="FFFCD5B5"/>
      </patternFill>
    </fill>
    <fill>
      <patternFill patternType="solid">
        <fgColor rgb="FFFFFFCC"/>
        <bgColor rgb="FFEBF1DE"/>
      </patternFill>
    </fill>
    <fill>
      <patternFill patternType="solid">
        <fgColor rgb="FFFFFF00"/>
        <bgColor rgb="FFFFCC00"/>
      </patternFill>
    </fill>
    <fill>
      <patternFill patternType="solid">
        <fgColor rgb="FFFF99CC"/>
        <bgColor rgb="FFD99694"/>
      </patternFill>
    </fill>
    <fill>
      <patternFill patternType="solid">
        <fgColor rgb="FFFFCC99"/>
        <bgColor rgb="FFFCD5B5"/>
      </patternFill>
    </fill>
    <fill>
      <patternFill patternType="solid">
        <fgColor rgb="FFCCFFFF"/>
        <bgColor rgb="FFDBEEF4"/>
      </patternFill>
    </fill>
    <fill>
      <patternFill patternType="solid">
        <fgColor rgb="FF00CCFF"/>
        <bgColor rgb="FF00FFFF"/>
      </patternFill>
    </fill>
    <fill>
      <patternFill patternType="solid">
        <fgColor theme="3" tint="0.7999"/>
        <bgColor rgb="FFB7DEE8"/>
      </patternFill>
    </fill>
    <fill>
      <patternFill patternType="solid">
        <fgColor rgb="FFFFFFFF"/>
        <bgColor rgb="FFF2F2F2"/>
      </patternFill>
    </fill>
    <fill>
      <patternFill patternType="solid">
        <fgColor theme="0" tint="-0.25"/>
        <bgColor rgb="FFC0C0C0"/>
      </patternFill>
    </fill>
    <fill>
      <patternFill patternType="solid">
        <fgColor rgb="FFFFCC00"/>
        <bgColor rgb="FFFFFF00"/>
      </patternFill>
    </fill>
    <fill>
      <patternFill patternType="solid">
        <fgColor rgb="FFCCFFCC"/>
        <bgColor rgb="FFCCFFFF"/>
      </patternFill>
    </fill>
    <fill>
      <patternFill patternType="solid">
        <fgColor rgb="FF00FFFF"/>
        <bgColor rgb="FF00CCFF"/>
      </patternFill>
    </fill>
    <fill>
      <patternFill patternType="solid">
        <fgColor rgb="FF0000FF"/>
        <bgColor rgb="FF000080"/>
      </patternFill>
    </fill>
    <fill>
      <patternFill patternType="solid">
        <fgColor rgb="FF99CCFF"/>
        <bgColor rgb="FF93CDDD"/>
      </patternFill>
    </fill>
    <fill>
      <patternFill patternType="solid">
        <fgColor rgb="FFC0C0C0"/>
        <bgColor rgb="FFBFBFBF"/>
      </patternFill>
    </fill>
    <fill>
      <patternFill patternType="solid">
        <fgColor theme="3" tint="0.5999"/>
        <bgColor rgb="FF95B3D7"/>
      </patternFill>
    </fill>
    <fill>
      <patternFill patternType="solid">
        <fgColor rgb="FFFF8078"/>
        <bgColor rgb="FFD99694"/>
      </patternFill>
    </fill>
    <fill>
      <patternFill patternType="solid">
        <fgColor rgb="FF3366FF"/>
        <bgColor rgb="FF4584B7"/>
      </patternFill>
    </fill>
    <fill>
      <patternFill patternType="solid">
        <fgColor theme="0" tint="-0.05"/>
        <bgColor rgb="FFEBF1DE"/>
      </patternFill>
    </fill>
    <fill>
      <patternFill patternType="solid">
        <fgColor rgb="FF92CF50"/>
        <bgColor rgb="FFC1D596"/>
      </patternFill>
    </fill>
    <fill>
      <patternFill patternType="solid">
        <fgColor rgb="FFD9E1F2"/>
        <bgColor rgb="FFDCE6F2"/>
      </patternFill>
    </fill>
    <fill>
      <patternFill patternType="solid">
        <fgColor rgb="FF20517B"/>
        <bgColor rgb="FF243B84"/>
      </patternFill>
    </fill>
  </fills>
  <borders count="34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>
        <color rgb="FF9E9D9F"/>
      </left>
      <right style="thin">
        <color rgb="FF9E9D9F"/>
      </right>
      <top style="thin">
        <color rgb="FF9E9D9F"/>
      </top>
      <bottom style="thin">
        <color rgb="FF9E9D9F"/>
      </bottom>
      <diagonal/>
    </border>
  </borders>
  <cellStyleXfs count="139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5" fillId="14" borderId="0" applyFont="true" applyBorder="false" applyAlignment="true" applyProtection="false">
      <alignment horizontal="general" vertical="bottom" textRotation="0" wrapText="false" indent="0" shrinkToFit="false"/>
    </xf>
    <xf numFmtId="164" fontId="5" fillId="15" borderId="0" applyFont="true" applyBorder="false" applyAlignment="true" applyProtection="false">
      <alignment horizontal="general" vertical="bottom" textRotation="0" wrapText="false" indent="0" shrinkToFit="false"/>
    </xf>
    <xf numFmtId="164" fontId="5" fillId="16" borderId="0" applyFont="true" applyBorder="false" applyAlignment="true" applyProtection="false">
      <alignment horizontal="general" vertical="bottom" textRotation="0" wrapText="false" indent="0" shrinkToFit="false"/>
    </xf>
    <xf numFmtId="164" fontId="5" fillId="17" borderId="0" applyFont="true" applyBorder="false" applyAlignment="true" applyProtection="false">
      <alignment horizontal="general" vertical="bottom" textRotation="0" wrapText="false" indent="0" shrinkToFit="false"/>
    </xf>
    <xf numFmtId="164" fontId="5" fillId="18" borderId="0" applyFont="true" applyBorder="false" applyAlignment="true" applyProtection="false">
      <alignment horizontal="general" vertical="bottom" textRotation="0" wrapText="false" indent="0" shrinkToFit="false"/>
    </xf>
    <xf numFmtId="164" fontId="5" fillId="19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0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4" fontId="0" fillId="21" borderId="1" applyFont="true" applyBorder="tru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0" borderId="0" applyFont="true" applyBorder="false" applyAlignment="true" applyProtection="false">
      <alignment horizontal="general" vertical="bottom" textRotation="0" wrapText="false" indent="0" shrinkToFit="false"/>
    </xf>
    <xf numFmtId="188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22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22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2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23" borderId="2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2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1" fillId="2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7" fillId="24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8" fillId="24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24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3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24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20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4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1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7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1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8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0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9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25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3" fillId="25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3" fillId="2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2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23" borderId="2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11" fillId="2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2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7" fillId="26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26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8" fillId="27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3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0" fillId="28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20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28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11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29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1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7" fillId="22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1" fillId="22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8" fillId="22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3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0" fillId="2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20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22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11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23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6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3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3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3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7" fillId="31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8" fillId="31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18" fillId="31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8" fillId="31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4" fontId="18" fillId="31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1" fillId="3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32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16" fillId="3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26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2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7" fillId="31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9" fillId="28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13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3" fillId="34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8" fillId="3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30" borderId="0" xfId="1168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24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7" fillId="3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8" fillId="31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7" fillId="22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6" fillId="26" borderId="2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84" fontId="16" fillId="26" borderId="2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84" fontId="16" fillId="26" borderId="3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6" fillId="31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3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7" fillId="34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1" fillId="25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6" fontId="13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9" fillId="28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3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3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8" fillId="25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18" fillId="25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28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9" fontId="18" fillId="25" borderId="0" xfId="139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26" fillId="28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7" fontId="16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8" fillId="25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18" fillId="25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6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23" fillId="28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5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26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0" fillId="28" borderId="0" xfId="139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3" fillId="28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28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3" fillId="28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19" fillId="28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8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4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6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4" fontId="16" fillId="28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7" fillId="28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3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3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29" fillId="33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31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8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8" fillId="25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6" fillId="2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1" fillId="22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18" fillId="22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18" fillId="22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19" fillId="2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6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6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2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1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31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8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7" fillId="34" borderId="1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1" fillId="25" borderId="1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18" fillId="25" borderId="1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18" fillId="25" borderId="1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3" fillId="28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9" fillId="28" borderId="1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3" fillId="28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3" fillId="28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8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28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8" fillId="28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18" fillId="28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4" fontId="13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28" borderId="0" xfId="1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4" fontId="11" fillId="28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3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3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3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4" fontId="16" fillId="33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3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8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8" fillId="22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3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7" fillId="4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1" fillId="4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8" fillId="4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9" fillId="4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6" fillId="31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4" fontId="20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8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6" fillId="2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3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33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3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3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4" fontId="16" fillId="33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25" borderId="1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4" fontId="20" fillId="28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3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33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33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33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4" fontId="16" fillId="33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31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31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8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7" fillId="34" borderId="8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1" fillId="25" borderId="8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8" fillId="25" borderId="8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3" fillId="28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9" fillId="28" borderId="8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3" fillId="28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3" fillId="28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8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8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30" fillId="28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28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9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31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34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20" fillId="3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18" fillId="3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11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9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3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26" fillId="3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5" fontId="26" fillId="3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6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26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26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8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3" fillId="31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96" fontId="11" fillId="25" borderId="8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4" fontId="13" fillId="28" borderId="8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7" fontId="19" fillId="28" borderId="8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13" fillId="28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28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3" fillId="31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96" fontId="11" fillId="25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4" fontId="13" fillId="28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7" fontId="19" fillId="28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13" fillId="28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3" fillId="3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93" fontId="13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31" fillId="31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96" fontId="11" fillId="25" borderId="1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4" fontId="13" fillId="28" borderId="1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7" fontId="19" fillId="28" borderId="1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13" fillId="28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0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3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4" fontId="16" fillId="26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11" fillId="3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8" fontId="13" fillId="28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13" fillId="28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8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38" fillId="3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8" fillId="35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39" fillId="3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0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9" fillId="34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28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40" fillId="3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3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0" fillId="38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41" fillId="31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7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7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17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9" fontId="12" fillId="3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3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9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9" fontId="13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9" fontId="16" fillId="35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35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3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99" fontId="16" fillId="2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2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13" fillId="28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0" fontId="13" fillId="28" borderId="0" xfId="139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5" fontId="13" fillId="28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1" fontId="0" fillId="28" borderId="0" xfId="139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5" fontId="13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2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3" fillId="28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13" fillId="28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3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9" fontId="13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99" fontId="16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92" fontId="13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3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28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9" fontId="23" fillId="28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9" fontId="0" fillId="28" borderId="2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99" fontId="23" fillId="28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9" fontId="18" fillId="28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9" fontId="23" fillId="28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3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3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2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8" fontId="13" fillId="28" borderId="0" xfId="139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82" fontId="13" fillId="28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16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203" fontId="13" fillId="28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2" xfId="116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2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00" fontId="23" fillId="2" borderId="0" xfId="139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9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1168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5" fillId="0" borderId="0" xfId="1168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39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04" fontId="47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05" fontId="48" fillId="0" borderId="0" xfId="19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48" fillId="0" borderId="0" xfId="1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05" fontId="7" fillId="0" borderId="0" xfId="1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05" fontId="48" fillId="0" borderId="0" xfId="1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23" fillId="39" borderId="0" xfId="1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6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6" fontId="46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46" fillId="0" borderId="0" xfId="139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9" fontId="7" fillId="0" borderId="0" xfId="1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45" fillId="39" borderId="0" xfId="1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9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7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7" fillId="0" borderId="0" xfId="139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2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9" fontId="7" fillId="0" borderId="0" xfId="139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05" fontId="18" fillId="0" borderId="0" xfId="1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06" fontId="23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9" fontId="46" fillId="0" borderId="0" xfId="139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46" fillId="0" borderId="0" xfId="139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23" fillId="0" borderId="0" xfId="1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8" fillId="0" borderId="0" xfId="1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18" fillId="0" borderId="0" xfId="1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0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6" fontId="5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50" fillId="0" borderId="0" xfId="139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9" fontId="7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07" fontId="0" fillId="0" borderId="0" xfId="139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0" fillId="0" borderId="0" xfId="139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7" fontId="7" fillId="0" borderId="0" xfId="139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0" fontId="23" fillId="0" borderId="0" xfId="139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0" fontId="7" fillId="0" borderId="0" xfId="139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7" fontId="7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07" fontId="23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08" fontId="7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09" fontId="23" fillId="0" borderId="0" xfId="139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23" fillId="0" borderId="0" xfId="139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7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09" fontId="7" fillId="0" borderId="0" xfId="139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7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3" fillId="0" borderId="0" xfId="139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0" fontId="7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3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23" fillId="39" borderId="0" xfId="139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23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1168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1" fillId="4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1" fillId="4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9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0" fillId="0" borderId="2" xfId="139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210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23" fillId="39" borderId="2" xfId="139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2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51" fillId="40" borderId="0" xfId="139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1" fillId="4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23" fillId="40" borderId="0" xfId="139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23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1168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8" fontId="23" fillId="0" borderId="0" xfId="1168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15" xfId="1168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206" fontId="7" fillId="0" borderId="16" xfId="1168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6" xfId="1168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0" borderId="16" xfId="139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17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27" xfId="1168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22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7" xfId="1168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22" xfId="1168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28" xfId="1168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29" xfId="1168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23" fillId="0" borderId="29" xfId="139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3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9" fontId="45" fillId="0" borderId="0" xfId="139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3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209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3" fillId="0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09" fontId="23" fillId="3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9" fontId="23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0" fontId="0" fillId="0" borderId="0" xfId="139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209" fontId="0" fillId="0" borderId="0" xfId="139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1" fontId="0" fillId="0" borderId="0" xfId="139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9" fontId="7" fillId="0" borderId="0" xfId="139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46" fillId="0" borderId="0" xfId="139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23" fillId="0" borderId="0" xfId="1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7" fillId="0" borderId="0" xfId="1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0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7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37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37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37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7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7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7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22" borderId="0" xfId="116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23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3" borderId="2" xfId="116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23" borderId="2" xfId="116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1" fillId="24" borderId="0" xfId="1168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3" fillId="24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0" fillId="24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24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1168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1168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3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0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3" fillId="25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1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7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22" borderId="0" xfId="116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11" fontId="7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7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22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22" borderId="0" xfId="116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22" borderId="0" xfId="1168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22" borderId="0" xfId="116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1" fillId="26" borderId="0" xfId="1168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26" borderId="0" xfId="1168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8" fillId="26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3" fillId="28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0" fillId="28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28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22" borderId="0" xfId="1168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22" borderId="0" xfId="1168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3" fillId="22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0" fillId="22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22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23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8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23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3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1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3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3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56" fillId="27" borderId="0" xfId="116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2" fontId="57" fillId="27" borderId="0" xfId="1168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2" fontId="58" fillId="27" borderId="6" xfId="116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8" fillId="27" borderId="6" xfId="116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9" fillId="0" borderId="27" xfId="1168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9" fillId="0" borderId="2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9" fillId="0" borderId="22" xfId="1168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9" fillId="0" borderId="31" xfId="1168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9" fillId="0" borderId="32" xfId="1168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9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9" fillId="0" borderId="0" xfId="11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1" fillId="41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2" fillId="42" borderId="3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12" fontId="63" fillId="0" borderId="33" xfId="1397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212" fontId="10" fillId="0" borderId="33" xfId="1397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88" fontId="10" fillId="0" borderId="33" xfId="1397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20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12" fontId="64" fillId="0" borderId="33" xfId="1397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212" fontId="65" fillId="0" borderId="33" xfId="1397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88" fontId="64" fillId="0" borderId="33" xfId="1397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7" fillId="4" borderId="3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12" fontId="31" fillId="0" borderId="33" xfId="1397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88" fontId="31" fillId="0" borderId="33" xfId="1397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62" fillId="42" borderId="3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210" fontId="10" fillId="0" borderId="3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10" borderId="3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10" fontId="3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12" fontId="18" fillId="39" borderId="0" xfId="139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3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212" fontId="0" fillId="0" borderId="0" xfId="139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2" fontId="67" fillId="39" borderId="0" xfId="139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8" fillId="3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12" fontId="68" fillId="39" borderId="0" xfId="139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1" fillId="4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9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2" fillId="4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213" fontId="0" fillId="0" borderId="33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76" fontId="0" fillId="0" borderId="33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70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38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Énfasis1 2" xfId="20"/>
    <cellStyle name="20% - Énfasis1 2 2" xfId="21"/>
    <cellStyle name="20% - Énfasis1 2 2 2" xfId="22"/>
    <cellStyle name="20% - Énfasis1 2 2 2 2" xfId="23"/>
    <cellStyle name="20% - Énfasis1 2 2 2 2 2" xfId="24"/>
    <cellStyle name="20% - Énfasis1 2 2 2 2 2 2" xfId="25"/>
    <cellStyle name="20% - Énfasis1 2 2 2 2 3" xfId="26"/>
    <cellStyle name="20% - Énfasis1 2 2 2 3" xfId="27"/>
    <cellStyle name="20% - Énfasis1 2 2 2 3 2" xfId="28"/>
    <cellStyle name="20% - Énfasis1 2 2 2 4" xfId="29"/>
    <cellStyle name="20% - Énfasis1 2 2 3" xfId="30"/>
    <cellStyle name="20% - Énfasis1 2 2 3 2" xfId="31"/>
    <cellStyle name="20% - Énfasis1 2 2 3 2 2" xfId="32"/>
    <cellStyle name="20% - Énfasis1 2 2 3 3" xfId="33"/>
    <cellStyle name="20% - Énfasis1 2 2 4" xfId="34"/>
    <cellStyle name="20% - Énfasis1 2 2 4 2" xfId="35"/>
    <cellStyle name="20% - Énfasis1 2 2 5" xfId="36"/>
    <cellStyle name="20% - Énfasis1 2 3" xfId="37"/>
    <cellStyle name="20% - Énfasis1 2 3 2" xfId="38"/>
    <cellStyle name="20% - Énfasis1 2 3 2 2" xfId="39"/>
    <cellStyle name="20% - Énfasis1 2 3 2 2 2" xfId="40"/>
    <cellStyle name="20% - Énfasis1 2 3 2 3" xfId="41"/>
    <cellStyle name="20% - Énfasis1 2 3 3" xfId="42"/>
    <cellStyle name="20% - Énfasis1 2 3 3 2" xfId="43"/>
    <cellStyle name="20% - Énfasis1 2 3 4" xfId="44"/>
    <cellStyle name="20% - Énfasis1 2 4" xfId="45"/>
    <cellStyle name="20% - Énfasis1 2 4 2" xfId="46"/>
    <cellStyle name="20% - Énfasis1 2 4 2 2" xfId="47"/>
    <cellStyle name="20% - Énfasis1 2 4 3" xfId="48"/>
    <cellStyle name="20% - Énfasis1 2 5" xfId="49"/>
    <cellStyle name="20% - Énfasis1 2 5 2" xfId="50"/>
    <cellStyle name="20% - Énfasis1 2 6" xfId="51"/>
    <cellStyle name="20% - Énfasis1 3" xfId="52"/>
    <cellStyle name="20% - Énfasis1 3 2" xfId="53"/>
    <cellStyle name="20% - Énfasis1 3 2 2" xfId="54"/>
    <cellStyle name="20% - Énfasis1 3 2 2 2" xfId="55"/>
    <cellStyle name="20% - Énfasis1 3 2 2 2 2" xfId="56"/>
    <cellStyle name="20% - Énfasis1 3 2 2 2 2 2" xfId="57"/>
    <cellStyle name="20% - Énfasis1 3 2 2 2 3" xfId="58"/>
    <cellStyle name="20% - Énfasis1 3 2 2 3" xfId="59"/>
    <cellStyle name="20% - Énfasis1 3 2 2 3 2" xfId="60"/>
    <cellStyle name="20% - Énfasis1 3 2 2 4" xfId="61"/>
    <cellStyle name="20% - Énfasis1 3 2 3" xfId="62"/>
    <cellStyle name="20% - Énfasis1 3 2 3 2" xfId="63"/>
    <cellStyle name="20% - Énfasis1 3 2 3 2 2" xfId="64"/>
    <cellStyle name="20% - Énfasis1 3 2 3 3" xfId="65"/>
    <cellStyle name="20% - Énfasis1 3 2 4" xfId="66"/>
    <cellStyle name="20% - Énfasis1 3 2 4 2" xfId="67"/>
    <cellStyle name="20% - Énfasis1 3 2 5" xfId="68"/>
    <cellStyle name="20% - Énfasis1 3 3" xfId="69"/>
    <cellStyle name="20% - Énfasis1 3 3 2" xfId="70"/>
    <cellStyle name="20% - Énfasis1 3 3 2 2" xfId="71"/>
    <cellStyle name="20% - Énfasis1 3 3 2 2 2" xfId="72"/>
    <cellStyle name="20% - Énfasis1 3 3 2 3" xfId="73"/>
    <cellStyle name="20% - Énfasis1 3 3 3" xfId="74"/>
    <cellStyle name="20% - Énfasis1 3 3 3 2" xfId="75"/>
    <cellStyle name="20% - Énfasis1 3 3 4" xfId="76"/>
    <cellStyle name="20% - Énfasis1 3 4" xfId="77"/>
    <cellStyle name="20% - Énfasis1 3 4 2" xfId="78"/>
    <cellStyle name="20% - Énfasis1 3 4 2 2" xfId="79"/>
    <cellStyle name="20% - Énfasis1 3 4 3" xfId="80"/>
    <cellStyle name="20% - Énfasis1 3 5" xfId="81"/>
    <cellStyle name="20% - Énfasis1 3 5 2" xfId="82"/>
    <cellStyle name="20% - Énfasis1 3 6" xfId="83"/>
    <cellStyle name="20% - Énfasis1 4" xfId="84"/>
    <cellStyle name="20% - Énfasis1 4 2" xfId="85"/>
    <cellStyle name="20% - Énfasis1 4 2 2" xfId="86"/>
    <cellStyle name="20% - Énfasis1 4 2 2 2" xfId="87"/>
    <cellStyle name="20% - Énfasis1 4 2 2 2 2" xfId="88"/>
    <cellStyle name="20% - Énfasis1 4 2 2 3" xfId="89"/>
    <cellStyle name="20% - Énfasis1 4 2 3" xfId="90"/>
    <cellStyle name="20% - Énfasis1 4 2 3 2" xfId="91"/>
    <cellStyle name="20% - Énfasis1 4 2 4" xfId="92"/>
    <cellStyle name="20% - Énfasis1 4 3" xfId="93"/>
    <cellStyle name="20% - Énfasis1 4 3 2" xfId="94"/>
    <cellStyle name="20% - Énfasis1 4 3 2 2" xfId="95"/>
    <cellStyle name="20% - Énfasis1 4 3 3" xfId="96"/>
    <cellStyle name="20% - Énfasis1 4 4" xfId="97"/>
    <cellStyle name="20% - Énfasis1 4 4 2" xfId="98"/>
    <cellStyle name="20% - Énfasis1 4 5" xfId="99"/>
    <cellStyle name="20% - Énfasis1 5" xfId="100"/>
    <cellStyle name="20% - Énfasis1 5 2" xfId="101"/>
    <cellStyle name="20% - Énfasis1 5 2 2" xfId="102"/>
    <cellStyle name="20% - Énfasis1 5 2 2 2" xfId="103"/>
    <cellStyle name="20% - Énfasis1 5 2 3" xfId="104"/>
    <cellStyle name="20% - Énfasis1 5 3" xfId="105"/>
    <cellStyle name="20% - Énfasis1 5 3 2" xfId="106"/>
    <cellStyle name="20% - Énfasis1 5 4" xfId="107"/>
    <cellStyle name="20% - Énfasis1 6" xfId="108"/>
    <cellStyle name="20% - Énfasis1 6 2" xfId="109"/>
    <cellStyle name="20% - Énfasis1 6 2 2" xfId="110"/>
    <cellStyle name="20% - Énfasis1 6 3" xfId="111"/>
    <cellStyle name="20% - Énfasis1 7" xfId="112"/>
    <cellStyle name="20% - Énfasis1 7 2" xfId="113"/>
    <cellStyle name="20% - Énfasis1 8" xfId="114"/>
    <cellStyle name="20% - Énfasis2 2" xfId="115"/>
    <cellStyle name="20% - Énfasis2 2 2" xfId="116"/>
    <cellStyle name="20% - Énfasis2 2 2 2" xfId="117"/>
    <cellStyle name="20% - Énfasis2 2 2 2 2" xfId="118"/>
    <cellStyle name="20% - Énfasis2 2 2 2 2 2" xfId="119"/>
    <cellStyle name="20% - Énfasis2 2 2 2 2 2 2" xfId="120"/>
    <cellStyle name="20% - Énfasis2 2 2 2 2 3" xfId="121"/>
    <cellStyle name="20% - Énfasis2 2 2 2 3" xfId="122"/>
    <cellStyle name="20% - Énfasis2 2 2 2 3 2" xfId="123"/>
    <cellStyle name="20% - Énfasis2 2 2 2 4" xfId="124"/>
    <cellStyle name="20% - Énfasis2 2 2 3" xfId="125"/>
    <cellStyle name="20% - Énfasis2 2 2 3 2" xfId="126"/>
    <cellStyle name="20% - Énfasis2 2 2 3 2 2" xfId="127"/>
    <cellStyle name="20% - Énfasis2 2 2 3 3" xfId="128"/>
    <cellStyle name="20% - Énfasis2 2 2 4" xfId="129"/>
    <cellStyle name="20% - Énfasis2 2 2 4 2" xfId="130"/>
    <cellStyle name="20% - Énfasis2 2 2 5" xfId="131"/>
    <cellStyle name="20% - Énfasis2 2 3" xfId="132"/>
    <cellStyle name="20% - Énfasis2 2 3 2" xfId="133"/>
    <cellStyle name="20% - Énfasis2 2 3 2 2" xfId="134"/>
    <cellStyle name="20% - Énfasis2 2 3 2 2 2" xfId="135"/>
    <cellStyle name="20% - Énfasis2 2 3 2 3" xfId="136"/>
    <cellStyle name="20% - Énfasis2 2 3 3" xfId="137"/>
    <cellStyle name="20% - Énfasis2 2 3 3 2" xfId="138"/>
    <cellStyle name="20% - Énfasis2 2 3 4" xfId="139"/>
    <cellStyle name="20% - Énfasis2 2 4" xfId="140"/>
    <cellStyle name="20% - Énfasis2 2 4 2" xfId="141"/>
    <cellStyle name="20% - Énfasis2 2 4 2 2" xfId="142"/>
    <cellStyle name="20% - Énfasis2 2 4 3" xfId="143"/>
    <cellStyle name="20% - Énfasis2 2 5" xfId="144"/>
    <cellStyle name="20% - Énfasis2 2 5 2" xfId="145"/>
    <cellStyle name="20% - Énfasis2 2 6" xfId="146"/>
    <cellStyle name="20% - Énfasis2 3" xfId="147"/>
    <cellStyle name="20% - Énfasis2 3 2" xfId="148"/>
    <cellStyle name="20% - Énfasis2 3 2 2" xfId="149"/>
    <cellStyle name="20% - Énfasis2 3 2 2 2" xfId="150"/>
    <cellStyle name="20% - Énfasis2 3 2 2 2 2" xfId="151"/>
    <cellStyle name="20% - Énfasis2 3 2 2 2 2 2" xfId="152"/>
    <cellStyle name="20% - Énfasis2 3 2 2 2 3" xfId="153"/>
    <cellStyle name="20% - Énfasis2 3 2 2 3" xfId="154"/>
    <cellStyle name="20% - Énfasis2 3 2 2 3 2" xfId="155"/>
    <cellStyle name="20% - Énfasis2 3 2 2 4" xfId="156"/>
    <cellStyle name="20% - Énfasis2 3 2 3" xfId="157"/>
    <cellStyle name="20% - Énfasis2 3 2 3 2" xfId="158"/>
    <cellStyle name="20% - Énfasis2 3 2 3 2 2" xfId="159"/>
    <cellStyle name="20% - Énfasis2 3 2 3 3" xfId="160"/>
    <cellStyle name="20% - Énfasis2 3 2 4" xfId="161"/>
    <cellStyle name="20% - Énfasis2 3 2 4 2" xfId="162"/>
    <cellStyle name="20% - Énfasis2 3 2 5" xfId="163"/>
    <cellStyle name="20% - Énfasis2 3 3" xfId="164"/>
    <cellStyle name="20% - Énfasis2 3 3 2" xfId="165"/>
    <cellStyle name="20% - Énfasis2 3 3 2 2" xfId="166"/>
    <cellStyle name="20% - Énfasis2 3 3 2 2 2" xfId="167"/>
    <cellStyle name="20% - Énfasis2 3 3 2 3" xfId="168"/>
    <cellStyle name="20% - Énfasis2 3 3 3" xfId="169"/>
    <cellStyle name="20% - Énfasis2 3 3 3 2" xfId="170"/>
    <cellStyle name="20% - Énfasis2 3 3 4" xfId="171"/>
    <cellStyle name="20% - Énfasis2 3 4" xfId="172"/>
    <cellStyle name="20% - Énfasis2 3 4 2" xfId="173"/>
    <cellStyle name="20% - Énfasis2 3 4 2 2" xfId="174"/>
    <cellStyle name="20% - Énfasis2 3 4 3" xfId="175"/>
    <cellStyle name="20% - Énfasis2 3 5" xfId="176"/>
    <cellStyle name="20% - Énfasis2 3 5 2" xfId="177"/>
    <cellStyle name="20% - Énfasis2 3 6" xfId="178"/>
    <cellStyle name="20% - Énfasis2 4" xfId="179"/>
    <cellStyle name="20% - Énfasis2 4 2" xfId="180"/>
    <cellStyle name="20% - Énfasis2 4 2 2" xfId="181"/>
    <cellStyle name="20% - Énfasis2 4 2 2 2" xfId="182"/>
    <cellStyle name="20% - Énfasis2 4 2 2 2 2" xfId="183"/>
    <cellStyle name="20% - Énfasis2 4 2 2 3" xfId="184"/>
    <cellStyle name="20% - Énfasis2 4 2 3" xfId="185"/>
    <cellStyle name="20% - Énfasis2 4 2 3 2" xfId="186"/>
    <cellStyle name="20% - Énfasis2 4 2 4" xfId="187"/>
    <cellStyle name="20% - Énfasis2 4 3" xfId="188"/>
    <cellStyle name="20% - Énfasis2 4 3 2" xfId="189"/>
    <cellStyle name="20% - Énfasis2 4 3 2 2" xfId="190"/>
    <cellStyle name="20% - Énfasis2 4 3 3" xfId="191"/>
    <cellStyle name="20% - Énfasis2 4 4" xfId="192"/>
    <cellStyle name="20% - Énfasis2 4 4 2" xfId="193"/>
    <cellStyle name="20% - Énfasis2 4 5" xfId="194"/>
    <cellStyle name="20% - Énfasis2 5" xfId="195"/>
    <cellStyle name="20% - Énfasis2 5 2" xfId="196"/>
    <cellStyle name="20% - Énfasis2 5 2 2" xfId="197"/>
    <cellStyle name="20% - Énfasis2 5 2 2 2" xfId="198"/>
    <cellStyle name="20% - Énfasis2 5 2 3" xfId="199"/>
    <cellStyle name="20% - Énfasis2 5 3" xfId="200"/>
    <cellStyle name="20% - Énfasis2 5 3 2" xfId="201"/>
    <cellStyle name="20% - Énfasis2 5 4" xfId="202"/>
    <cellStyle name="20% - Énfasis2 6" xfId="203"/>
    <cellStyle name="20% - Énfasis2 6 2" xfId="204"/>
    <cellStyle name="20% - Énfasis2 6 2 2" xfId="205"/>
    <cellStyle name="20% - Énfasis2 6 3" xfId="206"/>
    <cellStyle name="20% - Énfasis2 7" xfId="207"/>
    <cellStyle name="20% - Énfasis2 7 2" xfId="208"/>
    <cellStyle name="20% - Énfasis2 8" xfId="209"/>
    <cellStyle name="20% - Énfasis3 2" xfId="210"/>
    <cellStyle name="20% - Énfasis3 2 2" xfId="211"/>
    <cellStyle name="20% - Énfasis3 2 2 2" xfId="212"/>
    <cellStyle name="20% - Énfasis3 2 2 2 2" xfId="213"/>
    <cellStyle name="20% - Énfasis3 2 2 2 2 2" xfId="214"/>
    <cellStyle name="20% - Énfasis3 2 2 2 2 2 2" xfId="215"/>
    <cellStyle name="20% - Énfasis3 2 2 2 2 3" xfId="216"/>
    <cellStyle name="20% - Énfasis3 2 2 2 3" xfId="217"/>
    <cellStyle name="20% - Énfasis3 2 2 2 3 2" xfId="218"/>
    <cellStyle name="20% - Énfasis3 2 2 2 4" xfId="219"/>
    <cellStyle name="20% - Énfasis3 2 2 3" xfId="220"/>
    <cellStyle name="20% - Énfasis3 2 2 3 2" xfId="221"/>
    <cellStyle name="20% - Énfasis3 2 2 3 2 2" xfId="222"/>
    <cellStyle name="20% - Énfasis3 2 2 3 3" xfId="223"/>
    <cellStyle name="20% - Énfasis3 2 2 4" xfId="224"/>
    <cellStyle name="20% - Énfasis3 2 2 4 2" xfId="225"/>
    <cellStyle name="20% - Énfasis3 2 2 5" xfId="226"/>
    <cellStyle name="20% - Énfasis3 2 3" xfId="227"/>
    <cellStyle name="20% - Énfasis3 2 3 2" xfId="228"/>
    <cellStyle name="20% - Énfasis3 2 3 2 2" xfId="229"/>
    <cellStyle name="20% - Énfasis3 2 3 2 2 2" xfId="230"/>
    <cellStyle name="20% - Énfasis3 2 3 2 3" xfId="231"/>
    <cellStyle name="20% - Énfasis3 2 3 3" xfId="232"/>
    <cellStyle name="20% - Énfasis3 2 3 3 2" xfId="233"/>
    <cellStyle name="20% - Énfasis3 2 3 4" xfId="234"/>
    <cellStyle name="20% - Énfasis3 2 4" xfId="235"/>
    <cellStyle name="20% - Énfasis3 2 4 2" xfId="236"/>
    <cellStyle name="20% - Énfasis3 2 4 2 2" xfId="237"/>
    <cellStyle name="20% - Énfasis3 2 4 3" xfId="238"/>
    <cellStyle name="20% - Énfasis3 2 5" xfId="239"/>
    <cellStyle name="20% - Énfasis3 2 5 2" xfId="240"/>
    <cellStyle name="20% - Énfasis3 2 6" xfId="241"/>
    <cellStyle name="20% - Énfasis3 3" xfId="242"/>
    <cellStyle name="20% - Énfasis3 3 2" xfId="243"/>
    <cellStyle name="20% - Énfasis3 3 2 2" xfId="244"/>
    <cellStyle name="20% - Énfasis3 3 2 2 2" xfId="245"/>
    <cellStyle name="20% - Énfasis3 3 2 2 2 2" xfId="246"/>
    <cellStyle name="20% - Énfasis3 3 2 2 2 2 2" xfId="247"/>
    <cellStyle name="20% - Énfasis3 3 2 2 2 3" xfId="248"/>
    <cellStyle name="20% - Énfasis3 3 2 2 3" xfId="249"/>
    <cellStyle name="20% - Énfasis3 3 2 2 3 2" xfId="250"/>
    <cellStyle name="20% - Énfasis3 3 2 2 4" xfId="251"/>
    <cellStyle name="20% - Énfasis3 3 2 3" xfId="252"/>
    <cellStyle name="20% - Énfasis3 3 2 3 2" xfId="253"/>
    <cellStyle name="20% - Énfasis3 3 2 3 2 2" xfId="254"/>
    <cellStyle name="20% - Énfasis3 3 2 3 3" xfId="255"/>
    <cellStyle name="20% - Énfasis3 3 2 4" xfId="256"/>
    <cellStyle name="20% - Énfasis3 3 2 4 2" xfId="257"/>
    <cellStyle name="20% - Énfasis3 3 2 5" xfId="258"/>
    <cellStyle name="20% - Énfasis3 3 3" xfId="259"/>
    <cellStyle name="20% - Énfasis3 3 3 2" xfId="260"/>
    <cellStyle name="20% - Énfasis3 3 3 2 2" xfId="261"/>
    <cellStyle name="20% - Énfasis3 3 3 2 2 2" xfId="262"/>
    <cellStyle name="20% - Énfasis3 3 3 2 3" xfId="263"/>
    <cellStyle name="20% - Énfasis3 3 3 3" xfId="264"/>
    <cellStyle name="20% - Énfasis3 3 3 3 2" xfId="265"/>
    <cellStyle name="20% - Énfasis3 3 3 4" xfId="266"/>
    <cellStyle name="20% - Énfasis3 3 4" xfId="267"/>
    <cellStyle name="20% - Énfasis3 3 4 2" xfId="268"/>
    <cellStyle name="20% - Énfasis3 3 4 2 2" xfId="269"/>
    <cellStyle name="20% - Énfasis3 3 4 3" xfId="270"/>
    <cellStyle name="20% - Énfasis3 3 5" xfId="271"/>
    <cellStyle name="20% - Énfasis3 3 5 2" xfId="272"/>
    <cellStyle name="20% - Énfasis3 3 6" xfId="273"/>
    <cellStyle name="20% - Énfasis3 4" xfId="274"/>
    <cellStyle name="20% - Énfasis3 4 2" xfId="275"/>
    <cellStyle name="20% - Énfasis3 4 2 2" xfId="276"/>
    <cellStyle name="20% - Énfasis3 4 2 2 2" xfId="277"/>
    <cellStyle name="20% - Énfasis3 4 2 2 2 2" xfId="278"/>
    <cellStyle name="20% - Énfasis3 4 2 2 3" xfId="279"/>
    <cellStyle name="20% - Énfasis3 4 2 3" xfId="280"/>
    <cellStyle name="20% - Énfasis3 4 2 3 2" xfId="281"/>
    <cellStyle name="20% - Énfasis3 4 2 4" xfId="282"/>
    <cellStyle name="20% - Énfasis3 4 3" xfId="283"/>
    <cellStyle name="20% - Énfasis3 4 3 2" xfId="284"/>
    <cellStyle name="20% - Énfasis3 4 3 2 2" xfId="285"/>
    <cellStyle name="20% - Énfasis3 4 3 3" xfId="286"/>
    <cellStyle name="20% - Énfasis3 4 4" xfId="287"/>
    <cellStyle name="20% - Énfasis3 4 4 2" xfId="288"/>
    <cellStyle name="20% - Énfasis3 4 5" xfId="289"/>
    <cellStyle name="20% - Énfasis3 5" xfId="290"/>
    <cellStyle name="20% - Énfasis3 5 2" xfId="291"/>
    <cellStyle name="20% - Énfasis3 5 2 2" xfId="292"/>
    <cellStyle name="20% - Énfasis3 5 2 2 2" xfId="293"/>
    <cellStyle name="20% - Énfasis3 5 2 3" xfId="294"/>
    <cellStyle name="20% - Énfasis3 5 3" xfId="295"/>
    <cellStyle name="20% - Énfasis3 5 3 2" xfId="296"/>
    <cellStyle name="20% - Énfasis3 5 4" xfId="297"/>
    <cellStyle name="20% - Énfasis3 6" xfId="298"/>
    <cellStyle name="20% - Énfasis3 6 2" xfId="299"/>
    <cellStyle name="20% - Énfasis3 6 2 2" xfId="300"/>
    <cellStyle name="20% - Énfasis3 6 3" xfId="301"/>
    <cellStyle name="20% - Énfasis3 7" xfId="302"/>
    <cellStyle name="20% - Énfasis3 7 2" xfId="303"/>
    <cellStyle name="20% - Énfasis3 8" xfId="304"/>
    <cellStyle name="20% - Énfasis4 2" xfId="305"/>
    <cellStyle name="20% - Énfasis4 2 2" xfId="306"/>
    <cellStyle name="20% - Énfasis4 2 2 2" xfId="307"/>
    <cellStyle name="20% - Énfasis4 2 2 2 2" xfId="308"/>
    <cellStyle name="20% - Énfasis4 2 2 2 2 2" xfId="309"/>
    <cellStyle name="20% - Énfasis4 2 2 2 2 2 2" xfId="310"/>
    <cellStyle name="20% - Énfasis4 2 2 2 2 3" xfId="311"/>
    <cellStyle name="20% - Énfasis4 2 2 2 3" xfId="312"/>
    <cellStyle name="20% - Énfasis4 2 2 2 3 2" xfId="313"/>
    <cellStyle name="20% - Énfasis4 2 2 2 4" xfId="314"/>
    <cellStyle name="20% - Énfasis4 2 2 3" xfId="315"/>
    <cellStyle name="20% - Énfasis4 2 2 3 2" xfId="316"/>
    <cellStyle name="20% - Énfasis4 2 2 3 2 2" xfId="317"/>
    <cellStyle name="20% - Énfasis4 2 2 3 3" xfId="318"/>
    <cellStyle name="20% - Énfasis4 2 2 4" xfId="319"/>
    <cellStyle name="20% - Énfasis4 2 2 4 2" xfId="320"/>
    <cellStyle name="20% - Énfasis4 2 2 5" xfId="321"/>
    <cellStyle name="20% - Énfasis4 2 3" xfId="322"/>
    <cellStyle name="20% - Énfasis4 2 3 2" xfId="323"/>
    <cellStyle name="20% - Énfasis4 2 3 2 2" xfId="324"/>
    <cellStyle name="20% - Énfasis4 2 3 2 2 2" xfId="325"/>
    <cellStyle name="20% - Énfasis4 2 3 2 3" xfId="326"/>
    <cellStyle name="20% - Énfasis4 2 3 3" xfId="327"/>
    <cellStyle name="20% - Énfasis4 2 3 3 2" xfId="328"/>
    <cellStyle name="20% - Énfasis4 2 3 4" xfId="329"/>
    <cellStyle name="20% - Énfasis4 2 4" xfId="330"/>
    <cellStyle name="20% - Énfasis4 2 4 2" xfId="331"/>
    <cellStyle name="20% - Énfasis4 2 4 2 2" xfId="332"/>
    <cellStyle name="20% - Énfasis4 2 4 3" xfId="333"/>
    <cellStyle name="20% - Énfasis4 2 5" xfId="334"/>
    <cellStyle name="20% - Énfasis4 2 5 2" xfId="335"/>
    <cellStyle name="20% - Énfasis4 2 6" xfId="336"/>
    <cellStyle name="20% - Énfasis4 3" xfId="337"/>
    <cellStyle name="20% - Énfasis4 3 2" xfId="338"/>
    <cellStyle name="20% - Énfasis4 3 2 2" xfId="339"/>
    <cellStyle name="20% - Énfasis4 3 2 2 2" xfId="340"/>
    <cellStyle name="20% - Énfasis4 3 2 2 2 2" xfId="341"/>
    <cellStyle name="20% - Énfasis4 3 2 2 2 2 2" xfId="342"/>
    <cellStyle name="20% - Énfasis4 3 2 2 2 3" xfId="343"/>
    <cellStyle name="20% - Énfasis4 3 2 2 3" xfId="344"/>
    <cellStyle name="20% - Énfasis4 3 2 2 3 2" xfId="345"/>
    <cellStyle name="20% - Énfasis4 3 2 2 4" xfId="346"/>
    <cellStyle name="20% - Énfasis4 3 2 3" xfId="347"/>
    <cellStyle name="20% - Énfasis4 3 2 3 2" xfId="348"/>
    <cellStyle name="20% - Énfasis4 3 2 3 2 2" xfId="349"/>
    <cellStyle name="20% - Énfasis4 3 2 3 3" xfId="350"/>
    <cellStyle name="20% - Énfasis4 3 2 4" xfId="351"/>
    <cellStyle name="20% - Énfasis4 3 2 4 2" xfId="352"/>
    <cellStyle name="20% - Énfasis4 3 2 5" xfId="353"/>
    <cellStyle name="20% - Énfasis4 3 3" xfId="354"/>
    <cellStyle name="20% - Énfasis4 3 3 2" xfId="355"/>
    <cellStyle name="20% - Énfasis4 3 3 2 2" xfId="356"/>
    <cellStyle name="20% - Énfasis4 3 3 2 2 2" xfId="357"/>
    <cellStyle name="20% - Énfasis4 3 3 2 3" xfId="358"/>
    <cellStyle name="20% - Énfasis4 3 3 3" xfId="359"/>
    <cellStyle name="20% - Énfasis4 3 3 3 2" xfId="360"/>
    <cellStyle name="20% - Énfasis4 3 3 4" xfId="361"/>
    <cellStyle name="20% - Énfasis4 3 4" xfId="362"/>
    <cellStyle name="20% - Énfasis4 3 4 2" xfId="363"/>
    <cellStyle name="20% - Énfasis4 3 4 2 2" xfId="364"/>
    <cellStyle name="20% - Énfasis4 3 4 3" xfId="365"/>
    <cellStyle name="20% - Énfasis4 3 5" xfId="366"/>
    <cellStyle name="20% - Énfasis4 3 5 2" xfId="367"/>
    <cellStyle name="20% - Énfasis4 3 6" xfId="368"/>
    <cellStyle name="20% - Énfasis4 4" xfId="369"/>
    <cellStyle name="20% - Énfasis4 4 2" xfId="370"/>
    <cellStyle name="20% - Énfasis4 4 2 2" xfId="371"/>
    <cellStyle name="20% - Énfasis4 4 2 2 2" xfId="372"/>
    <cellStyle name="20% - Énfasis4 4 2 2 2 2" xfId="373"/>
    <cellStyle name="20% - Énfasis4 4 2 2 3" xfId="374"/>
    <cellStyle name="20% - Énfasis4 4 2 3" xfId="375"/>
    <cellStyle name="20% - Énfasis4 4 2 3 2" xfId="376"/>
    <cellStyle name="20% - Énfasis4 4 2 4" xfId="377"/>
    <cellStyle name="20% - Énfasis4 4 3" xfId="378"/>
    <cellStyle name="20% - Énfasis4 4 3 2" xfId="379"/>
    <cellStyle name="20% - Énfasis4 4 3 2 2" xfId="380"/>
    <cellStyle name="20% - Énfasis4 4 3 3" xfId="381"/>
    <cellStyle name="20% - Énfasis4 4 4" xfId="382"/>
    <cellStyle name="20% - Énfasis4 4 4 2" xfId="383"/>
    <cellStyle name="20% - Énfasis4 4 5" xfId="384"/>
    <cellStyle name="20% - Énfasis4 5" xfId="385"/>
    <cellStyle name="20% - Énfasis4 5 2" xfId="386"/>
    <cellStyle name="20% - Énfasis4 5 2 2" xfId="387"/>
    <cellStyle name="20% - Énfasis4 5 2 2 2" xfId="388"/>
    <cellStyle name="20% - Énfasis4 5 2 3" xfId="389"/>
    <cellStyle name="20% - Énfasis4 5 3" xfId="390"/>
    <cellStyle name="20% - Énfasis4 5 3 2" xfId="391"/>
    <cellStyle name="20% - Énfasis4 5 4" xfId="392"/>
    <cellStyle name="20% - Énfasis4 6" xfId="393"/>
    <cellStyle name="20% - Énfasis4 6 2" xfId="394"/>
    <cellStyle name="20% - Énfasis4 6 2 2" xfId="395"/>
    <cellStyle name="20% - Énfasis4 6 3" xfId="396"/>
    <cellStyle name="20% - Énfasis4 7" xfId="397"/>
    <cellStyle name="20% - Énfasis4 7 2" xfId="398"/>
    <cellStyle name="20% - Énfasis4 8" xfId="399"/>
    <cellStyle name="20% - Énfasis5 2" xfId="400"/>
    <cellStyle name="20% - Énfasis5 2 2" xfId="401"/>
    <cellStyle name="20% - Énfasis5 2 2 2" xfId="402"/>
    <cellStyle name="20% - Énfasis5 2 2 2 2" xfId="403"/>
    <cellStyle name="20% - Énfasis5 2 2 2 2 2" xfId="404"/>
    <cellStyle name="20% - Énfasis5 2 2 2 2 2 2" xfId="405"/>
    <cellStyle name="20% - Énfasis5 2 2 2 2 3" xfId="406"/>
    <cellStyle name="20% - Énfasis5 2 2 2 3" xfId="407"/>
    <cellStyle name="20% - Énfasis5 2 2 2 3 2" xfId="408"/>
    <cellStyle name="20% - Énfasis5 2 2 2 4" xfId="409"/>
    <cellStyle name="20% - Énfasis5 2 2 3" xfId="410"/>
    <cellStyle name="20% - Énfasis5 2 2 3 2" xfId="411"/>
    <cellStyle name="20% - Énfasis5 2 2 3 2 2" xfId="412"/>
    <cellStyle name="20% - Énfasis5 2 2 3 3" xfId="413"/>
    <cellStyle name="20% - Énfasis5 2 2 4" xfId="414"/>
    <cellStyle name="20% - Énfasis5 2 2 4 2" xfId="415"/>
    <cellStyle name="20% - Énfasis5 2 2 5" xfId="416"/>
    <cellStyle name="20% - Énfasis5 2 3" xfId="417"/>
    <cellStyle name="20% - Énfasis5 2 3 2" xfId="418"/>
    <cellStyle name="20% - Énfasis5 2 3 2 2" xfId="419"/>
    <cellStyle name="20% - Énfasis5 2 3 2 2 2" xfId="420"/>
    <cellStyle name="20% - Énfasis5 2 3 2 3" xfId="421"/>
    <cellStyle name="20% - Énfasis5 2 3 3" xfId="422"/>
    <cellStyle name="20% - Énfasis5 2 3 3 2" xfId="423"/>
    <cellStyle name="20% - Énfasis5 2 3 4" xfId="424"/>
    <cellStyle name="20% - Énfasis5 2 4" xfId="425"/>
    <cellStyle name="20% - Énfasis5 2 4 2" xfId="426"/>
    <cellStyle name="20% - Énfasis5 2 4 2 2" xfId="427"/>
    <cellStyle name="20% - Énfasis5 2 4 3" xfId="428"/>
    <cellStyle name="20% - Énfasis5 2 5" xfId="429"/>
    <cellStyle name="20% - Énfasis5 2 5 2" xfId="430"/>
    <cellStyle name="20% - Énfasis5 2 6" xfId="431"/>
    <cellStyle name="20% - Énfasis5 3" xfId="432"/>
    <cellStyle name="20% - Énfasis5 3 2" xfId="433"/>
    <cellStyle name="20% - Énfasis5 3 2 2" xfId="434"/>
    <cellStyle name="20% - Énfasis5 3 2 2 2" xfId="435"/>
    <cellStyle name="20% - Énfasis5 3 2 2 2 2" xfId="436"/>
    <cellStyle name="20% - Énfasis5 3 2 2 2 2 2" xfId="437"/>
    <cellStyle name="20% - Énfasis5 3 2 2 2 3" xfId="438"/>
    <cellStyle name="20% - Énfasis5 3 2 2 3" xfId="439"/>
    <cellStyle name="20% - Énfasis5 3 2 2 3 2" xfId="440"/>
    <cellStyle name="20% - Énfasis5 3 2 2 4" xfId="441"/>
    <cellStyle name="20% - Énfasis5 3 2 3" xfId="442"/>
    <cellStyle name="20% - Énfasis5 3 2 3 2" xfId="443"/>
    <cellStyle name="20% - Énfasis5 3 2 3 2 2" xfId="444"/>
    <cellStyle name="20% - Énfasis5 3 2 3 3" xfId="445"/>
    <cellStyle name="20% - Énfasis5 3 2 4" xfId="446"/>
    <cellStyle name="20% - Énfasis5 3 2 4 2" xfId="447"/>
    <cellStyle name="20% - Énfasis5 3 2 5" xfId="448"/>
    <cellStyle name="20% - Énfasis5 3 3" xfId="449"/>
    <cellStyle name="20% - Énfasis5 3 3 2" xfId="450"/>
    <cellStyle name="20% - Énfasis5 3 3 2 2" xfId="451"/>
    <cellStyle name="20% - Énfasis5 3 3 2 2 2" xfId="452"/>
    <cellStyle name="20% - Énfasis5 3 3 2 3" xfId="453"/>
    <cellStyle name="20% - Énfasis5 3 3 3" xfId="454"/>
    <cellStyle name="20% - Énfasis5 3 3 3 2" xfId="455"/>
    <cellStyle name="20% - Énfasis5 3 3 4" xfId="456"/>
    <cellStyle name="20% - Énfasis5 3 4" xfId="457"/>
    <cellStyle name="20% - Énfasis5 3 4 2" xfId="458"/>
    <cellStyle name="20% - Énfasis5 3 4 2 2" xfId="459"/>
    <cellStyle name="20% - Énfasis5 3 4 3" xfId="460"/>
    <cellStyle name="20% - Énfasis5 3 5" xfId="461"/>
    <cellStyle name="20% - Énfasis5 3 5 2" xfId="462"/>
    <cellStyle name="20% - Énfasis5 3 6" xfId="463"/>
    <cellStyle name="20% - Énfasis5 4" xfId="464"/>
    <cellStyle name="20% - Énfasis5 4 2" xfId="465"/>
    <cellStyle name="20% - Énfasis5 4 2 2" xfId="466"/>
    <cellStyle name="20% - Énfasis5 4 2 2 2" xfId="467"/>
    <cellStyle name="20% - Énfasis5 4 2 2 2 2" xfId="468"/>
    <cellStyle name="20% - Énfasis5 4 2 2 3" xfId="469"/>
    <cellStyle name="20% - Énfasis5 4 2 3" xfId="470"/>
    <cellStyle name="20% - Énfasis5 4 2 3 2" xfId="471"/>
    <cellStyle name="20% - Énfasis5 4 2 4" xfId="472"/>
    <cellStyle name="20% - Énfasis5 4 3" xfId="473"/>
    <cellStyle name="20% - Énfasis5 4 3 2" xfId="474"/>
    <cellStyle name="20% - Énfasis5 4 3 2 2" xfId="475"/>
    <cellStyle name="20% - Énfasis5 4 3 3" xfId="476"/>
    <cellStyle name="20% - Énfasis5 4 4" xfId="477"/>
    <cellStyle name="20% - Énfasis5 4 4 2" xfId="478"/>
    <cellStyle name="20% - Énfasis5 4 5" xfId="479"/>
    <cellStyle name="20% - Énfasis5 5" xfId="480"/>
    <cellStyle name="20% - Énfasis5 5 2" xfId="481"/>
    <cellStyle name="20% - Énfasis5 5 2 2" xfId="482"/>
    <cellStyle name="20% - Énfasis5 5 2 2 2" xfId="483"/>
    <cellStyle name="20% - Énfasis5 5 2 3" xfId="484"/>
    <cellStyle name="20% - Énfasis5 5 3" xfId="485"/>
    <cellStyle name="20% - Énfasis5 5 3 2" xfId="486"/>
    <cellStyle name="20% - Énfasis5 5 4" xfId="487"/>
    <cellStyle name="20% - Énfasis5 6" xfId="488"/>
    <cellStyle name="20% - Énfasis5 6 2" xfId="489"/>
    <cellStyle name="20% - Énfasis5 6 2 2" xfId="490"/>
    <cellStyle name="20% - Énfasis5 6 3" xfId="491"/>
    <cellStyle name="20% - Énfasis5 7" xfId="492"/>
    <cellStyle name="20% - Énfasis5 7 2" xfId="493"/>
    <cellStyle name="20% - Énfasis5 8" xfId="494"/>
    <cellStyle name="20% - Énfasis6 2" xfId="495"/>
    <cellStyle name="20% - Énfasis6 2 2" xfId="496"/>
    <cellStyle name="20% - Énfasis6 2 2 2" xfId="497"/>
    <cellStyle name="20% - Énfasis6 2 2 2 2" xfId="498"/>
    <cellStyle name="20% - Énfasis6 2 2 2 2 2" xfId="499"/>
    <cellStyle name="20% - Énfasis6 2 2 2 2 2 2" xfId="500"/>
    <cellStyle name="20% - Énfasis6 2 2 2 2 3" xfId="501"/>
    <cellStyle name="20% - Énfasis6 2 2 2 3" xfId="502"/>
    <cellStyle name="20% - Énfasis6 2 2 2 3 2" xfId="503"/>
    <cellStyle name="20% - Énfasis6 2 2 2 4" xfId="504"/>
    <cellStyle name="20% - Énfasis6 2 2 3" xfId="505"/>
    <cellStyle name="20% - Énfasis6 2 2 3 2" xfId="506"/>
    <cellStyle name="20% - Énfasis6 2 2 3 2 2" xfId="507"/>
    <cellStyle name="20% - Énfasis6 2 2 3 3" xfId="508"/>
    <cellStyle name="20% - Énfasis6 2 2 4" xfId="509"/>
    <cellStyle name="20% - Énfasis6 2 2 4 2" xfId="510"/>
    <cellStyle name="20% - Énfasis6 2 2 5" xfId="511"/>
    <cellStyle name="20% - Énfasis6 2 3" xfId="512"/>
    <cellStyle name="20% - Énfasis6 2 3 2" xfId="513"/>
    <cellStyle name="20% - Énfasis6 2 3 2 2" xfId="514"/>
    <cellStyle name="20% - Énfasis6 2 3 2 2 2" xfId="515"/>
    <cellStyle name="20% - Énfasis6 2 3 2 3" xfId="516"/>
    <cellStyle name="20% - Énfasis6 2 3 3" xfId="517"/>
    <cellStyle name="20% - Énfasis6 2 3 3 2" xfId="518"/>
    <cellStyle name="20% - Énfasis6 2 3 4" xfId="519"/>
    <cellStyle name="20% - Énfasis6 2 4" xfId="520"/>
    <cellStyle name="20% - Énfasis6 2 4 2" xfId="521"/>
    <cellStyle name="20% - Énfasis6 2 4 2 2" xfId="522"/>
    <cellStyle name="20% - Énfasis6 2 4 3" xfId="523"/>
    <cellStyle name="20% - Énfasis6 2 5" xfId="524"/>
    <cellStyle name="20% - Énfasis6 2 5 2" xfId="525"/>
    <cellStyle name="20% - Énfasis6 2 6" xfId="526"/>
    <cellStyle name="20% - Énfasis6 3" xfId="527"/>
    <cellStyle name="20% - Énfasis6 3 2" xfId="528"/>
    <cellStyle name="20% - Énfasis6 3 2 2" xfId="529"/>
    <cellStyle name="20% - Énfasis6 3 2 2 2" xfId="530"/>
    <cellStyle name="20% - Énfasis6 3 2 2 2 2" xfId="531"/>
    <cellStyle name="20% - Énfasis6 3 2 2 2 2 2" xfId="532"/>
    <cellStyle name="20% - Énfasis6 3 2 2 2 3" xfId="533"/>
    <cellStyle name="20% - Énfasis6 3 2 2 3" xfId="534"/>
    <cellStyle name="20% - Énfasis6 3 2 2 3 2" xfId="535"/>
    <cellStyle name="20% - Énfasis6 3 2 2 4" xfId="536"/>
    <cellStyle name="20% - Énfasis6 3 2 3" xfId="537"/>
    <cellStyle name="20% - Énfasis6 3 2 3 2" xfId="538"/>
    <cellStyle name="20% - Énfasis6 3 2 3 2 2" xfId="539"/>
    <cellStyle name="20% - Énfasis6 3 2 3 3" xfId="540"/>
    <cellStyle name="20% - Énfasis6 3 2 4" xfId="541"/>
    <cellStyle name="20% - Énfasis6 3 2 4 2" xfId="542"/>
    <cellStyle name="20% - Énfasis6 3 2 5" xfId="543"/>
    <cellStyle name="20% - Énfasis6 3 3" xfId="544"/>
    <cellStyle name="20% - Énfasis6 3 3 2" xfId="545"/>
    <cellStyle name="20% - Énfasis6 3 3 2 2" xfId="546"/>
    <cellStyle name="20% - Énfasis6 3 3 2 2 2" xfId="547"/>
    <cellStyle name="20% - Énfasis6 3 3 2 3" xfId="548"/>
    <cellStyle name="20% - Énfasis6 3 3 3" xfId="549"/>
    <cellStyle name="20% - Énfasis6 3 3 3 2" xfId="550"/>
    <cellStyle name="20% - Énfasis6 3 3 4" xfId="551"/>
    <cellStyle name="20% - Énfasis6 3 4" xfId="552"/>
    <cellStyle name="20% - Énfasis6 3 4 2" xfId="553"/>
    <cellStyle name="20% - Énfasis6 3 4 2 2" xfId="554"/>
    <cellStyle name="20% - Énfasis6 3 4 3" xfId="555"/>
    <cellStyle name="20% - Énfasis6 3 5" xfId="556"/>
    <cellStyle name="20% - Énfasis6 3 5 2" xfId="557"/>
    <cellStyle name="20% - Énfasis6 3 6" xfId="558"/>
    <cellStyle name="20% - Énfasis6 4" xfId="559"/>
    <cellStyle name="20% - Énfasis6 4 2" xfId="560"/>
    <cellStyle name="20% - Énfasis6 4 2 2" xfId="561"/>
    <cellStyle name="20% - Énfasis6 4 2 2 2" xfId="562"/>
    <cellStyle name="20% - Énfasis6 4 2 2 2 2" xfId="563"/>
    <cellStyle name="20% - Énfasis6 4 2 2 3" xfId="564"/>
    <cellStyle name="20% - Énfasis6 4 2 3" xfId="565"/>
    <cellStyle name="20% - Énfasis6 4 2 3 2" xfId="566"/>
    <cellStyle name="20% - Énfasis6 4 2 4" xfId="567"/>
    <cellStyle name="20% - Énfasis6 4 3" xfId="568"/>
    <cellStyle name="20% - Énfasis6 4 3 2" xfId="569"/>
    <cellStyle name="20% - Énfasis6 4 3 2 2" xfId="570"/>
    <cellStyle name="20% - Énfasis6 4 3 3" xfId="571"/>
    <cellStyle name="20% - Énfasis6 4 4" xfId="572"/>
    <cellStyle name="20% - Énfasis6 4 4 2" xfId="573"/>
    <cellStyle name="20% - Énfasis6 4 5" xfId="574"/>
    <cellStyle name="20% - Énfasis6 5" xfId="575"/>
    <cellStyle name="20% - Énfasis6 5 2" xfId="576"/>
    <cellStyle name="20% - Énfasis6 5 2 2" xfId="577"/>
    <cellStyle name="20% - Énfasis6 5 2 2 2" xfId="578"/>
    <cellStyle name="20% - Énfasis6 5 2 3" xfId="579"/>
    <cellStyle name="20% - Énfasis6 5 3" xfId="580"/>
    <cellStyle name="20% - Énfasis6 5 3 2" xfId="581"/>
    <cellStyle name="20% - Énfasis6 5 4" xfId="582"/>
    <cellStyle name="20% - Énfasis6 6" xfId="583"/>
    <cellStyle name="20% - Énfasis6 6 2" xfId="584"/>
    <cellStyle name="20% - Énfasis6 6 2 2" xfId="585"/>
    <cellStyle name="20% - Énfasis6 6 3" xfId="586"/>
    <cellStyle name="20% - Énfasis6 7" xfId="587"/>
    <cellStyle name="20% - Énfasis6 7 2" xfId="588"/>
    <cellStyle name="20% - Énfasis6 8" xfId="589"/>
    <cellStyle name="40% - Énfasis1 2" xfId="590"/>
    <cellStyle name="40% - Énfasis1 2 2" xfId="591"/>
    <cellStyle name="40% - Énfasis1 2 2 2" xfId="592"/>
    <cellStyle name="40% - Énfasis1 2 2 2 2" xfId="593"/>
    <cellStyle name="40% - Énfasis1 2 2 2 2 2" xfId="594"/>
    <cellStyle name="40% - Énfasis1 2 2 2 2 2 2" xfId="595"/>
    <cellStyle name="40% - Énfasis1 2 2 2 2 3" xfId="596"/>
    <cellStyle name="40% - Énfasis1 2 2 2 3" xfId="597"/>
    <cellStyle name="40% - Énfasis1 2 2 2 3 2" xfId="598"/>
    <cellStyle name="40% - Énfasis1 2 2 2 4" xfId="599"/>
    <cellStyle name="40% - Énfasis1 2 2 3" xfId="600"/>
    <cellStyle name="40% - Énfasis1 2 2 3 2" xfId="601"/>
    <cellStyle name="40% - Énfasis1 2 2 3 2 2" xfId="602"/>
    <cellStyle name="40% - Énfasis1 2 2 3 3" xfId="603"/>
    <cellStyle name="40% - Énfasis1 2 2 4" xfId="604"/>
    <cellStyle name="40% - Énfasis1 2 2 4 2" xfId="605"/>
    <cellStyle name="40% - Énfasis1 2 2 5" xfId="606"/>
    <cellStyle name="40% - Énfasis1 2 3" xfId="607"/>
    <cellStyle name="40% - Énfasis1 2 3 2" xfId="608"/>
    <cellStyle name="40% - Énfasis1 2 3 2 2" xfId="609"/>
    <cellStyle name="40% - Énfasis1 2 3 2 2 2" xfId="610"/>
    <cellStyle name="40% - Énfasis1 2 3 2 3" xfId="611"/>
    <cellStyle name="40% - Énfasis1 2 3 3" xfId="612"/>
    <cellStyle name="40% - Énfasis1 2 3 3 2" xfId="613"/>
    <cellStyle name="40% - Énfasis1 2 3 4" xfId="614"/>
    <cellStyle name="40% - Énfasis1 2 4" xfId="615"/>
    <cellStyle name="40% - Énfasis1 2 4 2" xfId="616"/>
    <cellStyle name="40% - Énfasis1 2 4 2 2" xfId="617"/>
    <cellStyle name="40% - Énfasis1 2 4 3" xfId="618"/>
    <cellStyle name="40% - Énfasis1 2 5" xfId="619"/>
    <cellStyle name="40% - Énfasis1 2 5 2" xfId="620"/>
    <cellStyle name="40% - Énfasis1 2 6" xfId="621"/>
    <cellStyle name="40% - Énfasis1 3" xfId="622"/>
    <cellStyle name="40% - Énfasis1 3 2" xfId="623"/>
    <cellStyle name="40% - Énfasis1 3 2 2" xfId="624"/>
    <cellStyle name="40% - Énfasis1 3 2 2 2" xfId="625"/>
    <cellStyle name="40% - Énfasis1 3 2 2 2 2" xfId="626"/>
    <cellStyle name="40% - Énfasis1 3 2 2 2 2 2" xfId="627"/>
    <cellStyle name="40% - Énfasis1 3 2 2 2 3" xfId="628"/>
    <cellStyle name="40% - Énfasis1 3 2 2 3" xfId="629"/>
    <cellStyle name="40% - Énfasis1 3 2 2 3 2" xfId="630"/>
    <cellStyle name="40% - Énfasis1 3 2 2 4" xfId="631"/>
    <cellStyle name="40% - Énfasis1 3 2 3" xfId="632"/>
    <cellStyle name="40% - Énfasis1 3 2 3 2" xfId="633"/>
    <cellStyle name="40% - Énfasis1 3 2 3 2 2" xfId="634"/>
    <cellStyle name="40% - Énfasis1 3 2 3 3" xfId="635"/>
    <cellStyle name="40% - Énfasis1 3 2 4" xfId="636"/>
    <cellStyle name="40% - Énfasis1 3 2 4 2" xfId="637"/>
    <cellStyle name="40% - Énfasis1 3 2 5" xfId="638"/>
    <cellStyle name="40% - Énfasis1 3 3" xfId="639"/>
    <cellStyle name="40% - Énfasis1 3 3 2" xfId="640"/>
    <cellStyle name="40% - Énfasis1 3 3 2 2" xfId="641"/>
    <cellStyle name="40% - Énfasis1 3 3 2 2 2" xfId="642"/>
    <cellStyle name="40% - Énfasis1 3 3 2 3" xfId="643"/>
    <cellStyle name="40% - Énfasis1 3 3 3" xfId="644"/>
    <cellStyle name="40% - Énfasis1 3 3 3 2" xfId="645"/>
    <cellStyle name="40% - Énfasis1 3 3 4" xfId="646"/>
    <cellStyle name="40% - Énfasis1 3 4" xfId="647"/>
    <cellStyle name="40% - Énfasis1 3 4 2" xfId="648"/>
    <cellStyle name="40% - Énfasis1 3 4 2 2" xfId="649"/>
    <cellStyle name="40% - Énfasis1 3 4 3" xfId="650"/>
    <cellStyle name="40% - Énfasis1 3 5" xfId="651"/>
    <cellStyle name="40% - Énfasis1 3 5 2" xfId="652"/>
    <cellStyle name="40% - Énfasis1 3 6" xfId="653"/>
    <cellStyle name="40% - Énfasis1 4" xfId="654"/>
    <cellStyle name="40% - Énfasis1 4 2" xfId="655"/>
    <cellStyle name="40% - Énfasis1 4 2 2" xfId="656"/>
    <cellStyle name="40% - Énfasis1 4 2 2 2" xfId="657"/>
    <cellStyle name="40% - Énfasis1 4 2 2 2 2" xfId="658"/>
    <cellStyle name="40% - Énfasis1 4 2 2 3" xfId="659"/>
    <cellStyle name="40% - Énfasis1 4 2 3" xfId="660"/>
    <cellStyle name="40% - Énfasis1 4 2 3 2" xfId="661"/>
    <cellStyle name="40% - Énfasis1 4 2 4" xfId="662"/>
    <cellStyle name="40% - Énfasis1 4 3" xfId="663"/>
    <cellStyle name="40% - Énfasis1 4 3 2" xfId="664"/>
    <cellStyle name="40% - Énfasis1 4 3 2 2" xfId="665"/>
    <cellStyle name="40% - Énfasis1 4 3 3" xfId="666"/>
    <cellStyle name="40% - Énfasis1 4 4" xfId="667"/>
    <cellStyle name="40% - Énfasis1 4 4 2" xfId="668"/>
    <cellStyle name="40% - Énfasis1 4 5" xfId="669"/>
    <cellStyle name="40% - Énfasis1 5" xfId="670"/>
    <cellStyle name="40% - Énfasis1 5 2" xfId="671"/>
    <cellStyle name="40% - Énfasis1 5 2 2" xfId="672"/>
    <cellStyle name="40% - Énfasis1 5 2 2 2" xfId="673"/>
    <cellStyle name="40% - Énfasis1 5 2 3" xfId="674"/>
    <cellStyle name="40% - Énfasis1 5 3" xfId="675"/>
    <cellStyle name="40% - Énfasis1 5 3 2" xfId="676"/>
    <cellStyle name="40% - Énfasis1 5 4" xfId="677"/>
    <cellStyle name="40% - Énfasis1 6" xfId="678"/>
    <cellStyle name="40% - Énfasis1 6 2" xfId="679"/>
    <cellStyle name="40% - Énfasis1 6 2 2" xfId="680"/>
    <cellStyle name="40% - Énfasis1 6 3" xfId="681"/>
    <cellStyle name="40% - Énfasis1 7" xfId="682"/>
    <cellStyle name="40% - Énfasis1 7 2" xfId="683"/>
    <cellStyle name="40% - Énfasis1 8" xfId="684"/>
    <cellStyle name="40% - Énfasis2 2" xfId="685"/>
    <cellStyle name="40% - Énfasis2 2 2" xfId="686"/>
    <cellStyle name="40% - Énfasis2 2 2 2" xfId="687"/>
    <cellStyle name="40% - Énfasis2 2 2 2 2" xfId="688"/>
    <cellStyle name="40% - Énfasis2 2 2 2 2 2" xfId="689"/>
    <cellStyle name="40% - Énfasis2 2 2 2 2 2 2" xfId="690"/>
    <cellStyle name="40% - Énfasis2 2 2 2 2 3" xfId="691"/>
    <cellStyle name="40% - Énfasis2 2 2 2 3" xfId="692"/>
    <cellStyle name="40% - Énfasis2 2 2 2 3 2" xfId="693"/>
    <cellStyle name="40% - Énfasis2 2 2 2 4" xfId="694"/>
    <cellStyle name="40% - Énfasis2 2 2 3" xfId="695"/>
    <cellStyle name="40% - Énfasis2 2 2 3 2" xfId="696"/>
    <cellStyle name="40% - Énfasis2 2 2 3 2 2" xfId="697"/>
    <cellStyle name="40% - Énfasis2 2 2 3 3" xfId="698"/>
    <cellStyle name="40% - Énfasis2 2 2 4" xfId="699"/>
    <cellStyle name="40% - Énfasis2 2 2 4 2" xfId="700"/>
    <cellStyle name="40% - Énfasis2 2 2 5" xfId="701"/>
    <cellStyle name="40% - Énfasis2 2 3" xfId="702"/>
    <cellStyle name="40% - Énfasis2 2 3 2" xfId="703"/>
    <cellStyle name="40% - Énfasis2 2 3 2 2" xfId="704"/>
    <cellStyle name="40% - Énfasis2 2 3 2 2 2" xfId="705"/>
    <cellStyle name="40% - Énfasis2 2 3 2 3" xfId="706"/>
    <cellStyle name="40% - Énfasis2 2 3 3" xfId="707"/>
    <cellStyle name="40% - Énfasis2 2 3 3 2" xfId="708"/>
    <cellStyle name="40% - Énfasis2 2 3 4" xfId="709"/>
    <cellStyle name="40% - Énfasis2 2 4" xfId="710"/>
    <cellStyle name="40% - Énfasis2 2 4 2" xfId="711"/>
    <cellStyle name="40% - Énfasis2 2 4 2 2" xfId="712"/>
    <cellStyle name="40% - Énfasis2 2 4 3" xfId="713"/>
    <cellStyle name="40% - Énfasis2 2 5" xfId="714"/>
    <cellStyle name="40% - Énfasis2 2 5 2" xfId="715"/>
    <cellStyle name="40% - Énfasis2 2 6" xfId="716"/>
    <cellStyle name="40% - Énfasis2 3" xfId="717"/>
    <cellStyle name="40% - Énfasis2 3 2" xfId="718"/>
    <cellStyle name="40% - Énfasis2 3 2 2" xfId="719"/>
    <cellStyle name="40% - Énfasis2 3 2 2 2" xfId="720"/>
    <cellStyle name="40% - Énfasis2 3 2 2 2 2" xfId="721"/>
    <cellStyle name="40% - Énfasis2 3 2 2 2 2 2" xfId="722"/>
    <cellStyle name="40% - Énfasis2 3 2 2 2 3" xfId="723"/>
    <cellStyle name="40% - Énfasis2 3 2 2 3" xfId="724"/>
    <cellStyle name="40% - Énfasis2 3 2 2 3 2" xfId="725"/>
    <cellStyle name="40% - Énfasis2 3 2 2 4" xfId="726"/>
    <cellStyle name="40% - Énfasis2 3 2 3" xfId="727"/>
    <cellStyle name="40% - Énfasis2 3 2 3 2" xfId="728"/>
    <cellStyle name="40% - Énfasis2 3 2 3 2 2" xfId="729"/>
    <cellStyle name="40% - Énfasis2 3 2 3 3" xfId="730"/>
    <cellStyle name="40% - Énfasis2 3 2 4" xfId="731"/>
    <cellStyle name="40% - Énfasis2 3 2 4 2" xfId="732"/>
    <cellStyle name="40% - Énfasis2 3 2 5" xfId="733"/>
    <cellStyle name="40% - Énfasis2 3 3" xfId="734"/>
    <cellStyle name="40% - Énfasis2 3 3 2" xfId="735"/>
    <cellStyle name="40% - Énfasis2 3 3 2 2" xfId="736"/>
    <cellStyle name="40% - Énfasis2 3 3 2 2 2" xfId="737"/>
    <cellStyle name="40% - Énfasis2 3 3 2 3" xfId="738"/>
    <cellStyle name="40% - Énfasis2 3 3 3" xfId="739"/>
    <cellStyle name="40% - Énfasis2 3 3 3 2" xfId="740"/>
    <cellStyle name="40% - Énfasis2 3 3 4" xfId="741"/>
    <cellStyle name="40% - Énfasis2 3 4" xfId="742"/>
    <cellStyle name="40% - Énfasis2 3 4 2" xfId="743"/>
    <cellStyle name="40% - Énfasis2 3 4 2 2" xfId="744"/>
    <cellStyle name="40% - Énfasis2 3 4 3" xfId="745"/>
    <cellStyle name="40% - Énfasis2 3 5" xfId="746"/>
    <cellStyle name="40% - Énfasis2 3 5 2" xfId="747"/>
    <cellStyle name="40% - Énfasis2 3 6" xfId="748"/>
    <cellStyle name="40% - Énfasis2 4" xfId="749"/>
    <cellStyle name="40% - Énfasis2 4 2" xfId="750"/>
    <cellStyle name="40% - Énfasis2 4 2 2" xfId="751"/>
    <cellStyle name="40% - Énfasis2 4 2 2 2" xfId="752"/>
    <cellStyle name="40% - Énfasis2 4 2 2 2 2" xfId="753"/>
    <cellStyle name="40% - Énfasis2 4 2 2 3" xfId="754"/>
    <cellStyle name="40% - Énfasis2 4 2 3" xfId="755"/>
    <cellStyle name="40% - Énfasis2 4 2 3 2" xfId="756"/>
    <cellStyle name="40% - Énfasis2 4 2 4" xfId="757"/>
    <cellStyle name="40% - Énfasis2 4 3" xfId="758"/>
    <cellStyle name="40% - Énfasis2 4 3 2" xfId="759"/>
    <cellStyle name="40% - Énfasis2 4 3 2 2" xfId="760"/>
    <cellStyle name="40% - Énfasis2 4 3 3" xfId="761"/>
    <cellStyle name="40% - Énfasis2 4 4" xfId="762"/>
    <cellStyle name="40% - Énfasis2 4 4 2" xfId="763"/>
    <cellStyle name="40% - Énfasis2 4 5" xfId="764"/>
    <cellStyle name="40% - Énfasis2 5" xfId="765"/>
    <cellStyle name="40% - Énfasis2 5 2" xfId="766"/>
    <cellStyle name="40% - Énfasis2 5 2 2" xfId="767"/>
    <cellStyle name="40% - Énfasis2 5 2 2 2" xfId="768"/>
    <cellStyle name="40% - Énfasis2 5 2 3" xfId="769"/>
    <cellStyle name="40% - Énfasis2 5 3" xfId="770"/>
    <cellStyle name="40% - Énfasis2 5 3 2" xfId="771"/>
    <cellStyle name="40% - Énfasis2 5 4" xfId="772"/>
    <cellStyle name="40% - Énfasis2 6" xfId="773"/>
    <cellStyle name="40% - Énfasis2 6 2" xfId="774"/>
    <cellStyle name="40% - Énfasis2 6 2 2" xfId="775"/>
    <cellStyle name="40% - Énfasis2 6 3" xfId="776"/>
    <cellStyle name="40% - Énfasis2 7" xfId="777"/>
    <cellStyle name="40% - Énfasis2 7 2" xfId="778"/>
    <cellStyle name="40% - Énfasis2 8" xfId="779"/>
    <cellStyle name="40% - Énfasis3 2" xfId="780"/>
    <cellStyle name="40% - Énfasis3 2 2" xfId="781"/>
    <cellStyle name="40% - Énfasis3 2 2 2" xfId="782"/>
    <cellStyle name="40% - Énfasis3 2 2 2 2" xfId="783"/>
    <cellStyle name="40% - Énfasis3 2 2 2 2 2" xfId="784"/>
    <cellStyle name="40% - Énfasis3 2 2 2 2 2 2" xfId="785"/>
    <cellStyle name="40% - Énfasis3 2 2 2 2 3" xfId="786"/>
    <cellStyle name="40% - Énfasis3 2 2 2 3" xfId="787"/>
    <cellStyle name="40% - Énfasis3 2 2 2 3 2" xfId="788"/>
    <cellStyle name="40% - Énfasis3 2 2 2 4" xfId="789"/>
    <cellStyle name="40% - Énfasis3 2 2 3" xfId="790"/>
    <cellStyle name="40% - Énfasis3 2 2 3 2" xfId="791"/>
    <cellStyle name="40% - Énfasis3 2 2 3 2 2" xfId="792"/>
    <cellStyle name="40% - Énfasis3 2 2 3 3" xfId="793"/>
    <cellStyle name="40% - Énfasis3 2 2 4" xfId="794"/>
    <cellStyle name="40% - Énfasis3 2 2 4 2" xfId="795"/>
    <cellStyle name="40% - Énfasis3 2 2 5" xfId="796"/>
    <cellStyle name="40% - Énfasis3 2 3" xfId="797"/>
    <cellStyle name="40% - Énfasis3 2 3 2" xfId="798"/>
    <cellStyle name="40% - Énfasis3 2 3 2 2" xfId="799"/>
    <cellStyle name="40% - Énfasis3 2 3 2 2 2" xfId="800"/>
    <cellStyle name="40% - Énfasis3 2 3 2 3" xfId="801"/>
    <cellStyle name="40% - Énfasis3 2 3 3" xfId="802"/>
    <cellStyle name="40% - Énfasis3 2 3 3 2" xfId="803"/>
    <cellStyle name="40% - Énfasis3 2 3 4" xfId="804"/>
    <cellStyle name="40% - Énfasis3 2 4" xfId="805"/>
    <cellStyle name="40% - Énfasis3 2 4 2" xfId="806"/>
    <cellStyle name="40% - Énfasis3 2 4 2 2" xfId="807"/>
    <cellStyle name="40% - Énfasis3 2 4 3" xfId="808"/>
    <cellStyle name="40% - Énfasis3 2 5" xfId="809"/>
    <cellStyle name="40% - Énfasis3 2 5 2" xfId="810"/>
    <cellStyle name="40% - Énfasis3 2 6" xfId="811"/>
    <cellStyle name="40% - Énfasis3 3" xfId="812"/>
    <cellStyle name="40% - Énfasis3 3 2" xfId="813"/>
    <cellStyle name="40% - Énfasis3 3 2 2" xfId="814"/>
    <cellStyle name="40% - Énfasis3 3 2 2 2" xfId="815"/>
    <cellStyle name="40% - Énfasis3 3 2 2 2 2" xfId="816"/>
    <cellStyle name="40% - Énfasis3 3 2 2 2 2 2" xfId="817"/>
    <cellStyle name="40% - Énfasis3 3 2 2 2 3" xfId="818"/>
    <cellStyle name="40% - Énfasis3 3 2 2 3" xfId="819"/>
    <cellStyle name="40% - Énfasis3 3 2 2 3 2" xfId="820"/>
    <cellStyle name="40% - Énfasis3 3 2 2 4" xfId="821"/>
    <cellStyle name="40% - Énfasis3 3 2 3" xfId="822"/>
    <cellStyle name="40% - Énfasis3 3 2 3 2" xfId="823"/>
    <cellStyle name="40% - Énfasis3 3 2 3 2 2" xfId="824"/>
    <cellStyle name="40% - Énfasis3 3 2 3 3" xfId="825"/>
    <cellStyle name="40% - Énfasis3 3 2 4" xfId="826"/>
    <cellStyle name="40% - Énfasis3 3 2 4 2" xfId="827"/>
    <cellStyle name="40% - Énfasis3 3 2 5" xfId="828"/>
    <cellStyle name="40% - Énfasis3 3 3" xfId="829"/>
    <cellStyle name="40% - Énfasis3 3 3 2" xfId="830"/>
    <cellStyle name="40% - Énfasis3 3 3 2 2" xfId="831"/>
    <cellStyle name="40% - Énfasis3 3 3 2 2 2" xfId="832"/>
    <cellStyle name="40% - Énfasis3 3 3 2 3" xfId="833"/>
    <cellStyle name="40% - Énfasis3 3 3 3" xfId="834"/>
    <cellStyle name="40% - Énfasis3 3 3 3 2" xfId="835"/>
    <cellStyle name="40% - Énfasis3 3 3 4" xfId="836"/>
    <cellStyle name="40% - Énfasis3 3 4" xfId="837"/>
    <cellStyle name="40% - Énfasis3 3 4 2" xfId="838"/>
    <cellStyle name="40% - Énfasis3 3 4 2 2" xfId="839"/>
    <cellStyle name="40% - Énfasis3 3 4 3" xfId="840"/>
    <cellStyle name="40% - Énfasis3 3 5" xfId="841"/>
    <cellStyle name="40% - Énfasis3 3 5 2" xfId="842"/>
    <cellStyle name="40% - Énfasis3 3 6" xfId="843"/>
    <cellStyle name="40% - Énfasis3 4" xfId="844"/>
    <cellStyle name="40% - Énfasis3 4 2" xfId="845"/>
    <cellStyle name="40% - Énfasis3 4 2 2" xfId="846"/>
    <cellStyle name="40% - Énfasis3 4 2 2 2" xfId="847"/>
    <cellStyle name="40% - Énfasis3 4 2 2 2 2" xfId="848"/>
    <cellStyle name="40% - Énfasis3 4 2 2 3" xfId="849"/>
    <cellStyle name="40% - Énfasis3 4 2 3" xfId="850"/>
    <cellStyle name="40% - Énfasis3 4 2 3 2" xfId="851"/>
    <cellStyle name="40% - Énfasis3 4 2 4" xfId="852"/>
    <cellStyle name="40% - Énfasis3 4 3" xfId="853"/>
    <cellStyle name="40% - Énfasis3 4 3 2" xfId="854"/>
    <cellStyle name="40% - Énfasis3 4 3 2 2" xfId="855"/>
    <cellStyle name="40% - Énfasis3 4 3 3" xfId="856"/>
    <cellStyle name="40% - Énfasis3 4 4" xfId="857"/>
    <cellStyle name="40% - Énfasis3 4 4 2" xfId="858"/>
    <cellStyle name="40% - Énfasis3 4 5" xfId="859"/>
    <cellStyle name="40% - Énfasis3 5" xfId="860"/>
    <cellStyle name="40% - Énfasis3 5 2" xfId="861"/>
    <cellStyle name="40% - Énfasis3 5 2 2" xfId="862"/>
    <cellStyle name="40% - Énfasis3 5 2 2 2" xfId="863"/>
    <cellStyle name="40% - Énfasis3 5 2 3" xfId="864"/>
    <cellStyle name="40% - Énfasis3 5 3" xfId="865"/>
    <cellStyle name="40% - Énfasis3 5 3 2" xfId="866"/>
    <cellStyle name="40% - Énfasis3 5 4" xfId="867"/>
    <cellStyle name="40% - Énfasis3 6" xfId="868"/>
    <cellStyle name="40% - Énfasis3 6 2" xfId="869"/>
    <cellStyle name="40% - Énfasis3 6 2 2" xfId="870"/>
    <cellStyle name="40% - Énfasis3 6 3" xfId="871"/>
    <cellStyle name="40% - Énfasis3 7" xfId="872"/>
    <cellStyle name="40% - Énfasis3 7 2" xfId="873"/>
    <cellStyle name="40% - Énfasis3 8" xfId="874"/>
    <cellStyle name="40% - Énfasis4 2" xfId="875"/>
    <cellStyle name="40% - Énfasis4 2 2" xfId="876"/>
    <cellStyle name="40% - Énfasis4 2 2 2" xfId="877"/>
    <cellStyle name="40% - Énfasis4 2 2 2 2" xfId="878"/>
    <cellStyle name="40% - Énfasis4 2 2 2 2 2" xfId="879"/>
    <cellStyle name="40% - Énfasis4 2 2 2 2 2 2" xfId="880"/>
    <cellStyle name="40% - Énfasis4 2 2 2 2 3" xfId="881"/>
    <cellStyle name="40% - Énfasis4 2 2 2 3" xfId="882"/>
    <cellStyle name="40% - Énfasis4 2 2 2 3 2" xfId="883"/>
    <cellStyle name="40% - Énfasis4 2 2 2 4" xfId="884"/>
    <cellStyle name="40% - Énfasis4 2 2 3" xfId="885"/>
    <cellStyle name="40% - Énfasis4 2 2 3 2" xfId="886"/>
    <cellStyle name="40% - Énfasis4 2 2 3 2 2" xfId="887"/>
    <cellStyle name="40% - Énfasis4 2 2 3 3" xfId="888"/>
    <cellStyle name="40% - Énfasis4 2 2 4" xfId="889"/>
    <cellStyle name="40% - Énfasis4 2 2 4 2" xfId="890"/>
    <cellStyle name="40% - Énfasis4 2 2 5" xfId="891"/>
    <cellStyle name="40% - Énfasis4 2 3" xfId="892"/>
    <cellStyle name="40% - Énfasis4 2 3 2" xfId="893"/>
    <cellStyle name="40% - Énfasis4 2 3 2 2" xfId="894"/>
    <cellStyle name="40% - Énfasis4 2 3 2 2 2" xfId="895"/>
    <cellStyle name="40% - Énfasis4 2 3 2 3" xfId="896"/>
    <cellStyle name="40% - Énfasis4 2 3 3" xfId="897"/>
    <cellStyle name="40% - Énfasis4 2 3 3 2" xfId="898"/>
    <cellStyle name="40% - Énfasis4 2 3 4" xfId="899"/>
    <cellStyle name="40% - Énfasis4 2 4" xfId="900"/>
    <cellStyle name="40% - Énfasis4 2 4 2" xfId="901"/>
    <cellStyle name="40% - Énfasis4 2 4 2 2" xfId="902"/>
    <cellStyle name="40% - Énfasis4 2 4 3" xfId="903"/>
    <cellStyle name="40% - Énfasis4 2 5" xfId="904"/>
    <cellStyle name="40% - Énfasis4 2 5 2" xfId="905"/>
    <cellStyle name="40% - Énfasis4 2 6" xfId="906"/>
    <cellStyle name="40% - Énfasis4 3" xfId="907"/>
    <cellStyle name="40% - Énfasis4 3 2" xfId="908"/>
    <cellStyle name="40% - Énfasis4 3 2 2" xfId="909"/>
    <cellStyle name="40% - Énfasis4 3 2 2 2" xfId="910"/>
    <cellStyle name="40% - Énfasis4 3 2 2 2 2" xfId="911"/>
    <cellStyle name="40% - Énfasis4 3 2 2 2 2 2" xfId="912"/>
    <cellStyle name="40% - Énfasis4 3 2 2 2 3" xfId="913"/>
    <cellStyle name="40% - Énfasis4 3 2 2 3" xfId="914"/>
    <cellStyle name="40% - Énfasis4 3 2 2 3 2" xfId="915"/>
    <cellStyle name="40% - Énfasis4 3 2 2 4" xfId="916"/>
    <cellStyle name="40% - Énfasis4 3 2 3" xfId="917"/>
    <cellStyle name="40% - Énfasis4 3 2 3 2" xfId="918"/>
    <cellStyle name="40% - Énfasis4 3 2 3 2 2" xfId="919"/>
    <cellStyle name="40% - Énfasis4 3 2 3 3" xfId="920"/>
    <cellStyle name="40% - Énfasis4 3 2 4" xfId="921"/>
    <cellStyle name="40% - Énfasis4 3 2 4 2" xfId="922"/>
    <cellStyle name="40% - Énfasis4 3 2 5" xfId="923"/>
    <cellStyle name="40% - Énfasis4 3 3" xfId="924"/>
    <cellStyle name="40% - Énfasis4 3 3 2" xfId="925"/>
    <cellStyle name="40% - Énfasis4 3 3 2 2" xfId="926"/>
    <cellStyle name="40% - Énfasis4 3 3 2 2 2" xfId="927"/>
    <cellStyle name="40% - Énfasis4 3 3 2 3" xfId="928"/>
    <cellStyle name="40% - Énfasis4 3 3 3" xfId="929"/>
    <cellStyle name="40% - Énfasis4 3 3 3 2" xfId="930"/>
    <cellStyle name="40% - Énfasis4 3 3 4" xfId="931"/>
    <cellStyle name="40% - Énfasis4 3 4" xfId="932"/>
    <cellStyle name="40% - Énfasis4 3 4 2" xfId="933"/>
    <cellStyle name="40% - Énfasis4 3 4 2 2" xfId="934"/>
    <cellStyle name="40% - Énfasis4 3 4 3" xfId="935"/>
    <cellStyle name="40% - Énfasis4 3 5" xfId="936"/>
    <cellStyle name="40% - Énfasis4 3 5 2" xfId="937"/>
    <cellStyle name="40% - Énfasis4 3 6" xfId="938"/>
    <cellStyle name="40% - Énfasis4 4" xfId="939"/>
    <cellStyle name="40% - Énfasis4 4 2" xfId="940"/>
    <cellStyle name="40% - Énfasis4 4 2 2" xfId="941"/>
    <cellStyle name="40% - Énfasis4 4 2 2 2" xfId="942"/>
    <cellStyle name="40% - Énfasis4 4 2 2 2 2" xfId="943"/>
    <cellStyle name="40% - Énfasis4 4 2 2 3" xfId="944"/>
    <cellStyle name="40% - Énfasis4 4 2 3" xfId="945"/>
    <cellStyle name="40% - Énfasis4 4 2 3 2" xfId="946"/>
    <cellStyle name="40% - Énfasis4 4 2 4" xfId="947"/>
    <cellStyle name="40% - Énfasis4 4 3" xfId="948"/>
    <cellStyle name="40% - Énfasis4 4 3 2" xfId="949"/>
    <cellStyle name="40% - Énfasis4 4 3 2 2" xfId="950"/>
    <cellStyle name="40% - Énfasis4 4 3 3" xfId="951"/>
    <cellStyle name="40% - Énfasis4 4 4" xfId="952"/>
    <cellStyle name="40% - Énfasis4 4 4 2" xfId="953"/>
    <cellStyle name="40% - Énfasis4 4 5" xfId="954"/>
    <cellStyle name="40% - Énfasis4 5" xfId="955"/>
    <cellStyle name="40% - Énfasis4 5 2" xfId="956"/>
    <cellStyle name="40% - Énfasis4 5 2 2" xfId="957"/>
    <cellStyle name="40% - Énfasis4 5 2 2 2" xfId="958"/>
    <cellStyle name="40% - Énfasis4 5 2 3" xfId="959"/>
    <cellStyle name="40% - Énfasis4 5 3" xfId="960"/>
    <cellStyle name="40% - Énfasis4 5 3 2" xfId="961"/>
    <cellStyle name="40% - Énfasis4 5 4" xfId="962"/>
    <cellStyle name="40% - Énfasis4 6" xfId="963"/>
    <cellStyle name="40% - Énfasis4 6 2" xfId="964"/>
    <cellStyle name="40% - Énfasis4 6 2 2" xfId="965"/>
    <cellStyle name="40% - Énfasis4 6 3" xfId="966"/>
    <cellStyle name="40% - Énfasis4 7" xfId="967"/>
    <cellStyle name="40% - Énfasis4 7 2" xfId="968"/>
    <cellStyle name="40% - Énfasis4 8" xfId="969"/>
    <cellStyle name="40% - Énfasis5 2" xfId="970"/>
    <cellStyle name="40% - Énfasis5 2 2" xfId="971"/>
    <cellStyle name="40% - Énfasis5 2 2 2" xfId="972"/>
    <cellStyle name="40% - Énfasis5 2 2 2 2" xfId="973"/>
    <cellStyle name="40% - Énfasis5 2 2 2 2 2" xfId="974"/>
    <cellStyle name="40% - Énfasis5 2 2 2 2 2 2" xfId="975"/>
    <cellStyle name="40% - Énfasis5 2 2 2 2 3" xfId="976"/>
    <cellStyle name="40% - Énfasis5 2 2 2 3" xfId="977"/>
    <cellStyle name="40% - Énfasis5 2 2 2 3 2" xfId="978"/>
    <cellStyle name="40% - Énfasis5 2 2 2 4" xfId="979"/>
    <cellStyle name="40% - Énfasis5 2 2 3" xfId="980"/>
    <cellStyle name="40% - Énfasis5 2 2 3 2" xfId="981"/>
    <cellStyle name="40% - Énfasis5 2 2 3 2 2" xfId="982"/>
    <cellStyle name="40% - Énfasis5 2 2 3 3" xfId="983"/>
    <cellStyle name="40% - Énfasis5 2 2 4" xfId="984"/>
    <cellStyle name="40% - Énfasis5 2 2 4 2" xfId="985"/>
    <cellStyle name="40% - Énfasis5 2 2 5" xfId="986"/>
    <cellStyle name="40% - Énfasis5 2 3" xfId="987"/>
    <cellStyle name="40% - Énfasis5 2 3 2" xfId="988"/>
    <cellStyle name="40% - Énfasis5 2 3 2 2" xfId="989"/>
    <cellStyle name="40% - Énfasis5 2 3 2 2 2" xfId="990"/>
    <cellStyle name="40% - Énfasis5 2 3 2 3" xfId="991"/>
    <cellStyle name="40% - Énfasis5 2 3 3" xfId="992"/>
    <cellStyle name="40% - Énfasis5 2 3 3 2" xfId="993"/>
    <cellStyle name="40% - Énfasis5 2 3 4" xfId="994"/>
    <cellStyle name="40% - Énfasis5 2 4" xfId="995"/>
    <cellStyle name="40% - Énfasis5 2 4 2" xfId="996"/>
    <cellStyle name="40% - Énfasis5 2 4 2 2" xfId="997"/>
    <cellStyle name="40% - Énfasis5 2 4 3" xfId="998"/>
    <cellStyle name="40% - Énfasis5 2 5" xfId="999"/>
    <cellStyle name="40% - Énfasis5 2 5 2" xfId="1000"/>
    <cellStyle name="40% - Énfasis5 2 6" xfId="1001"/>
    <cellStyle name="40% - Énfasis5 3" xfId="1002"/>
    <cellStyle name="40% - Énfasis5 3 2" xfId="1003"/>
    <cellStyle name="40% - Énfasis5 3 2 2" xfId="1004"/>
    <cellStyle name="40% - Énfasis5 3 2 2 2" xfId="1005"/>
    <cellStyle name="40% - Énfasis5 3 2 2 2 2" xfId="1006"/>
    <cellStyle name="40% - Énfasis5 3 2 2 2 2 2" xfId="1007"/>
    <cellStyle name="40% - Énfasis5 3 2 2 2 3" xfId="1008"/>
    <cellStyle name="40% - Énfasis5 3 2 2 3" xfId="1009"/>
    <cellStyle name="40% - Énfasis5 3 2 2 3 2" xfId="1010"/>
    <cellStyle name="40% - Énfasis5 3 2 2 4" xfId="1011"/>
    <cellStyle name="40% - Énfasis5 3 2 3" xfId="1012"/>
    <cellStyle name="40% - Énfasis5 3 2 3 2" xfId="1013"/>
    <cellStyle name="40% - Énfasis5 3 2 3 2 2" xfId="1014"/>
    <cellStyle name="40% - Énfasis5 3 2 3 3" xfId="1015"/>
    <cellStyle name="40% - Énfasis5 3 2 4" xfId="1016"/>
    <cellStyle name="40% - Énfasis5 3 2 4 2" xfId="1017"/>
    <cellStyle name="40% - Énfasis5 3 2 5" xfId="1018"/>
    <cellStyle name="40% - Énfasis5 3 3" xfId="1019"/>
    <cellStyle name="40% - Énfasis5 3 3 2" xfId="1020"/>
    <cellStyle name="40% - Énfasis5 3 3 2 2" xfId="1021"/>
    <cellStyle name="40% - Énfasis5 3 3 2 2 2" xfId="1022"/>
    <cellStyle name="40% - Énfasis5 3 3 2 3" xfId="1023"/>
    <cellStyle name="40% - Énfasis5 3 3 3" xfId="1024"/>
    <cellStyle name="40% - Énfasis5 3 3 3 2" xfId="1025"/>
    <cellStyle name="40% - Énfasis5 3 3 4" xfId="1026"/>
    <cellStyle name="40% - Énfasis5 3 4" xfId="1027"/>
    <cellStyle name="40% - Énfasis5 3 4 2" xfId="1028"/>
    <cellStyle name="40% - Énfasis5 3 4 2 2" xfId="1029"/>
    <cellStyle name="40% - Énfasis5 3 4 3" xfId="1030"/>
    <cellStyle name="40% - Énfasis5 3 5" xfId="1031"/>
    <cellStyle name="40% - Énfasis5 3 5 2" xfId="1032"/>
    <cellStyle name="40% - Énfasis5 3 6" xfId="1033"/>
    <cellStyle name="40% - Énfasis5 4" xfId="1034"/>
    <cellStyle name="40% - Énfasis5 4 2" xfId="1035"/>
    <cellStyle name="40% - Énfasis5 4 2 2" xfId="1036"/>
    <cellStyle name="40% - Énfasis5 4 2 2 2" xfId="1037"/>
    <cellStyle name="40% - Énfasis5 4 2 2 2 2" xfId="1038"/>
    <cellStyle name="40% - Énfasis5 4 2 2 3" xfId="1039"/>
    <cellStyle name="40% - Énfasis5 4 2 3" xfId="1040"/>
    <cellStyle name="40% - Énfasis5 4 2 3 2" xfId="1041"/>
    <cellStyle name="40% - Énfasis5 4 2 4" xfId="1042"/>
    <cellStyle name="40% - Énfasis5 4 3" xfId="1043"/>
    <cellStyle name="40% - Énfasis5 4 3 2" xfId="1044"/>
    <cellStyle name="40% - Énfasis5 4 3 2 2" xfId="1045"/>
    <cellStyle name="40% - Énfasis5 4 3 3" xfId="1046"/>
    <cellStyle name="40% - Énfasis5 4 4" xfId="1047"/>
    <cellStyle name="40% - Énfasis5 4 4 2" xfId="1048"/>
    <cellStyle name="40% - Énfasis5 4 5" xfId="1049"/>
    <cellStyle name="40% - Énfasis5 5" xfId="1050"/>
    <cellStyle name="40% - Énfasis5 5 2" xfId="1051"/>
    <cellStyle name="40% - Énfasis5 5 2 2" xfId="1052"/>
    <cellStyle name="40% - Énfasis5 5 2 2 2" xfId="1053"/>
    <cellStyle name="40% - Énfasis5 5 2 3" xfId="1054"/>
    <cellStyle name="40% - Énfasis5 5 3" xfId="1055"/>
    <cellStyle name="40% - Énfasis5 5 3 2" xfId="1056"/>
    <cellStyle name="40% - Énfasis5 5 4" xfId="1057"/>
    <cellStyle name="40% - Énfasis5 6" xfId="1058"/>
    <cellStyle name="40% - Énfasis5 6 2" xfId="1059"/>
    <cellStyle name="40% - Énfasis5 6 2 2" xfId="1060"/>
    <cellStyle name="40% - Énfasis5 6 3" xfId="1061"/>
    <cellStyle name="40% - Énfasis5 7" xfId="1062"/>
    <cellStyle name="40% - Énfasis5 7 2" xfId="1063"/>
    <cellStyle name="40% - Énfasis5 8" xfId="1064"/>
    <cellStyle name="40% - Énfasis6 2" xfId="1065"/>
    <cellStyle name="40% - Énfasis6 2 2" xfId="1066"/>
    <cellStyle name="40% - Énfasis6 2 2 2" xfId="1067"/>
    <cellStyle name="40% - Énfasis6 2 2 2 2" xfId="1068"/>
    <cellStyle name="40% - Énfasis6 2 2 2 2 2" xfId="1069"/>
    <cellStyle name="40% - Énfasis6 2 2 2 2 2 2" xfId="1070"/>
    <cellStyle name="40% - Énfasis6 2 2 2 2 3" xfId="1071"/>
    <cellStyle name="40% - Énfasis6 2 2 2 3" xfId="1072"/>
    <cellStyle name="40% - Énfasis6 2 2 2 3 2" xfId="1073"/>
    <cellStyle name="40% - Énfasis6 2 2 2 4" xfId="1074"/>
    <cellStyle name="40% - Énfasis6 2 2 3" xfId="1075"/>
    <cellStyle name="40% - Énfasis6 2 2 3 2" xfId="1076"/>
    <cellStyle name="40% - Énfasis6 2 2 3 2 2" xfId="1077"/>
    <cellStyle name="40% - Énfasis6 2 2 3 3" xfId="1078"/>
    <cellStyle name="40% - Énfasis6 2 2 4" xfId="1079"/>
    <cellStyle name="40% - Énfasis6 2 2 4 2" xfId="1080"/>
    <cellStyle name="40% - Énfasis6 2 2 5" xfId="1081"/>
    <cellStyle name="40% - Énfasis6 2 3" xfId="1082"/>
    <cellStyle name="40% - Énfasis6 2 3 2" xfId="1083"/>
    <cellStyle name="40% - Énfasis6 2 3 2 2" xfId="1084"/>
    <cellStyle name="40% - Énfasis6 2 3 2 2 2" xfId="1085"/>
    <cellStyle name="40% - Énfasis6 2 3 2 3" xfId="1086"/>
    <cellStyle name="40% - Énfasis6 2 3 3" xfId="1087"/>
    <cellStyle name="40% - Énfasis6 2 3 3 2" xfId="1088"/>
    <cellStyle name="40% - Énfasis6 2 3 4" xfId="1089"/>
    <cellStyle name="40% - Énfasis6 2 4" xfId="1090"/>
    <cellStyle name="40% - Énfasis6 2 4 2" xfId="1091"/>
    <cellStyle name="40% - Énfasis6 2 4 2 2" xfId="1092"/>
    <cellStyle name="40% - Énfasis6 2 4 3" xfId="1093"/>
    <cellStyle name="40% - Énfasis6 2 5" xfId="1094"/>
    <cellStyle name="40% - Énfasis6 2 5 2" xfId="1095"/>
    <cellStyle name="40% - Énfasis6 2 6" xfId="1096"/>
    <cellStyle name="40% - Énfasis6 3" xfId="1097"/>
    <cellStyle name="40% - Énfasis6 3 2" xfId="1098"/>
    <cellStyle name="40% - Énfasis6 3 2 2" xfId="1099"/>
    <cellStyle name="40% - Énfasis6 3 2 2 2" xfId="1100"/>
    <cellStyle name="40% - Énfasis6 3 2 2 2 2" xfId="1101"/>
    <cellStyle name="40% - Énfasis6 3 2 2 2 2 2" xfId="1102"/>
    <cellStyle name="40% - Énfasis6 3 2 2 2 3" xfId="1103"/>
    <cellStyle name="40% - Énfasis6 3 2 2 3" xfId="1104"/>
    <cellStyle name="40% - Énfasis6 3 2 2 3 2" xfId="1105"/>
    <cellStyle name="40% - Énfasis6 3 2 2 4" xfId="1106"/>
    <cellStyle name="40% - Énfasis6 3 2 3" xfId="1107"/>
    <cellStyle name="40% - Énfasis6 3 2 3 2" xfId="1108"/>
    <cellStyle name="40% - Énfasis6 3 2 3 2 2" xfId="1109"/>
    <cellStyle name="40% - Énfasis6 3 2 3 3" xfId="1110"/>
    <cellStyle name="40% - Énfasis6 3 2 4" xfId="1111"/>
    <cellStyle name="40% - Énfasis6 3 2 4 2" xfId="1112"/>
    <cellStyle name="40% - Énfasis6 3 2 5" xfId="1113"/>
    <cellStyle name="40% - Énfasis6 3 3" xfId="1114"/>
    <cellStyle name="40% - Énfasis6 3 3 2" xfId="1115"/>
    <cellStyle name="40% - Énfasis6 3 3 2 2" xfId="1116"/>
    <cellStyle name="40% - Énfasis6 3 3 2 2 2" xfId="1117"/>
    <cellStyle name="40% - Énfasis6 3 3 2 3" xfId="1118"/>
    <cellStyle name="40% - Énfasis6 3 3 3" xfId="1119"/>
    <cellStyle name="40% - Énfasis6 3 3 3 2" xfId="1120"/>
    <cellStyle name="40% - Énfasis6 3 3 4" xfId="1121"/>
    <cellStyle name="40% - Énfasis6 3 4" xfId="1122"/>
    <cellStyle name="40% - Énfasis6 3 4 2" xfId="1123"/>
    <cellStyle name="40% - Énfasis6 3 4 2 2" xfId="1124"/>
    <cellStyle name="40% - Énfasis6 3 4 3" xfId="1125"/>
    <cellStyle name="40% - Énfasis6 3 5" xfId="1126"/>
    <cellStyle name="40% - Énfasis6 3 5 2" xfId="1127"/>
    <cellStyle name="40% - Énfasis6 3 6" xfId="1128"/>
    <cellStyle name="40% - Énfasis6 4" xfId="1129"/>
    <cellStyle name="40% - Énfasis6 4 2" xfId="1130"/>
    <cellStyle name="40% - Énfasis6 4 2 2" xfId="1131"/>
    <cellStyle name="40% - Énfasis6 4 2 2 2" xfId="1132"/>
    <cellStyle name="40% - Énfasis6 4 2 2 2 2" xfId="1133"/>
    <cellStyle name="40% - Énfasis6 4 2 2 3" xfId="1134"/>
    <cellStyle name="40% - Énfasis6 4 2 3" xfId="1135"/>
    <cellStyle name="40% - Énfasis6 4 2 3 2" xfId="1136"/>
    <cellStyle name="40% - Énfasis6 4 2 4" xfId="1137"/>
    <cellStyle name="40% - Énfasis6 4 3" xfId="1138"/>
    <cellStyle name="40% - Énfasis6 4 3 2" xfId="1139"/>
    <cellStyle name="40% - Énfasis6 4 3 2 2" xfId="1140"/>
    <cellStyle name="40% - Énfasis6 4 3 3" xfId="1141"/>
    <cellStyle name="40% - Énfasis6 4 4" xfId="1142"/>
    <cellStyle name="40% - Énfasis6 4 4 2" xfId="1143"/>
    <cellStyle name="40% - Énfasis6 4 5" xfId="1144"/>
    <cellStyle name="40% - Énfasis6 5" xfId="1145"/>
    <cellStyle name="40% - Énfasis6 5 2" xfId="1146"/>
    <cellStyle name="40% - Énfasis6 5 2 2" xfId="1147"/>
    <cellStyle name="40% - Énfasis6 5 2 2 2" xfId="1148"/>
    <cellStyle name="40% - Énfasis6 5 2 3" xfId="1149"/>
    <cellStyle name="40% - Énfasis6 5 3" xfId="1150"/>
    <cellStyle name="40% - Énfasis6 5 3 2" xfId="1151"/>
    <cellStyle name="40% - Énfasis6 5 4" xfId="1152"/>
    <cellStyle name="40% - Énfasis6 6" xfId="1153"/>
    <cellStyle name="40% - Énfasis6 6 2" xfId="1154"/>
    <cellStyle name="40% - Énfasis6 6 2 2" xfId="1155"/>
    <cellStyle name="40% - Énfasis6 6 3" xfId="1156"/>
    <cellStyle name="40% - Énfasis6 7" xfId="1157"/>
    <cellStyle name="40% - Énfasis6 7 2" xfId="1158"/>
    <cellStyle name="40% - Énfasis6 8" xfId="1159"/>
    <cellStyle name="60% - Énfasis1 2" xfId="1160"/>
    <cellStyle name="60% - Énfasis2 2" xfId="1161"/>
    <cellStyle name="60% - Énfasis3 2" xfId="1162"/>
    <cellStyle name="60% - Énfasis4 2" xfId="1163"/>
    <cellStyle name="60% - Énfasis5 2" xfId="1164"/>
    <cellStyle name="60% - Énfasis6 2" xfId="1165"/>
    <cellStyle name="Euro" xfId="1166"/>
    <cellStyle name="Neutral 2" xfId="1167"/>
    <cellStyle name="Normal 2" xfId="1168"/>
    <cellStyle name="Normal 3" xfId="1169"/>
    <cellStyle name="Normal 4" xfId="1170"/>
    <cellStyle name="Normal 4 2" xfId="1171"/>
    <cellStyle name="Normal 4 2 2" xfId="1172"/>
    <cellStyle name="Normal 4 2 2 2" xfId="1173"/>
    <cellStyle name="Normal 4 2 2 2 2" xfId="1174"/>
    <cellStyle name="Normal 4 2 2 2 2 2" xfId="1175"/>
    <cellStyle name="Normal 4 2 2 2 3" xfId="1176"/>
    <cellStyle name="Normal 4 2 2 3" xfId="1177"/>
    <cellStyle name="Normal 4 2 2 3 2" xfId="1178"/>
    <cellStyle name="Normal 4 2 2 4" xfId="1179"/>
    <cellStyle name="Normal 4 2 3" xfId="1180"/>
    <cellStyle name="Normal 4 2 3 2" xfId="1181"/>
    <cellStyle name="Normal 4 2 3 2 2" xfId="1182"/>
    <cellStyle name="Normal 4 2 3 3" xfId="1183"/>
    <cellStyle name="Normal 4 2 4" xfId="1184"/>
    <cellStyle name="Normal 4 2 4 2" xfId="1185"/>
    <cellStyle name="Normal 4 2 5" xfId="1186"/>
    <cellStyle name="Normal 4 3" xfId="1187"/>
    <cellStyle name="Normal 4 3 2" xfId="1188"/>
    <cellStyle name="Normal 4 3 2 2" xfId="1189"/>
    <cellStyle name="Normal 4 3 2 2 2" xfId="1190"/>
    <cellStyle name="Normal 4 3 2 3" xfId="1191"/>
    <cellStyle name="Normal 4 3 3" xfId="1192"/>
    <cellStyle name="Normal 4 3 3 2" xfId="1193"/>
    <cellStyle name="Normal 4 3 4" xfId="1194"/>
    <cellStyle name="Normal 4 4" xfId="1195"/>
    <cellStyle name="Normal 4 4 2" xfId="1196"/>
    <cellStyle name="Normal 4 4 2 2" xfId="1197"/>
    <cellStyle name="Normal 4 4 3" xfId="1198"/>
    <cellStyle name="Normal 4 5" xfId="1199"/>
    <cellStyle name="Normal 4 5 2" xfId="1200"/>
    <cellStyle name="Normal 4 6" xfId="1201"/>
    <cellStyle name="Normal 5" xfId="1202"/>
    <cellStyle name="Normal 5 2" xfId="1203"/>
    <cellStyle name="Normal 5 2 2" xfId="1204"/>
    <cellStyle name="Normal 5 2 2 2" xfId="1205"/>
    <cellStyle name="Normal 5 2 2 2 2" xfId="1206"/>
    <cellStyle name="Normal 5 2 2 2 2 2" xfId="1207"/>
    <cellStyle name="Normal 5 2 2 2 3" xfId="1208"/>
    <cellStyle name="Normal 5 2 2 3" xfId="1209"/>
    <cellStyle name="Normal 5 2 2 3 2" xfId="1210"/>
    <cellStyle name="Normal 5 2 2 4" xfId="1211"/>
    <cellStyle name="Normal 5 2 3" xfId="1212"/>
    <cellStyle name="Normal 5 2 3 2" xfId="1213"/>
    <cellStyle name="Normal 5 2 3 2 2" xfId="1214"/>
    <cellStyle name="Normal 5 2 3 3" xfId="1215"/>
    <cellStyle name="Normal 5 2 4" xfId="1216"/>
    <cellStyle name="Normal 5 2 4 2" xfId="1217"/>
    <cellStyle name="Normal 5 2 5" xfId="1218"/>
    <cellStyle name="Normal 5 3" xfId="1219"/>
    <cellStyle name="Normal 5 3 2" xfId="1220"/>
    <cellStyle name="Normal 5 3 2 2" xfId="1221"/>
    <cellStyle name="Normal 5 3 2 2 2" xfId="1222"/>
    <cellStyle name="Normal 5 3 2 3" xfId="1223"/>
    <cellStyle name="Normal 5 3 3" xfId="1224"/>
    <cellStyle name="Normal 5 3 3 2" xfId="1225"/>
    <cellStyle name="Normal 5 3 4" xfId="1226"/>
    <cellStyle name="Normal 5 4" xfId="1227"/>
    <cellStyle name="Normal 5 4 2" xfId="1228"/>
    <cellStyle name="Normal 5 4 2 2" xfId="1229"/>
    <cellStyle name="Normal 5 4 3" xfId="1230"/>
    <cellStyle name="Normal 5 5" xfId="1231"/>
    <cellStyle name="Normal 5 5 2" xfId="1232"/>
    <cellStyle name="Normal 5 6" xfId="1233"/>
    <cellStyle name="Normal 6" xfId="1234"/>
    <cellStyle name="Normal 6 2" xfId="1235"/>
    <cellStyle name="Normal 6 2 2" xfId="1236"/>
    <cellStyle name="Normal 6 2 2 2" xfId="1237"/>
    <cellStyle name="Normal 6 2 2 2 2" xfId="1238"/>
    <cellStyle name="Normal 6 2 2 2 2 2" xfId="1239"/>
    <cellStyle name="Normal 6 2 2 2 3" xfId="1240"/>
    <cellStyle name="Normal 6 2 2 3" xfId="1241"/>
    <cellStyle name="Normal 6 2 2 3 2" xfId="1242"/>
    <cellStyle name="Normal 6 2 2 4" xfId="1243"/>
    <cellStyle name="Normal 6 2 3" xfId="1244"/>
    <cellStyle name="Normal 6 2 3 2" xfId="1245"/>
    <cellStyle name="Normal 6 2 3 2 2" xfId="1246"/>
    <cellStyle name="Normal 6 2 3 3" xfId="1247"/>
    <cellStyle name="Normal 6 2 4" xfId="1248"/>
    <cellStyle name="Normal 6 2 4 2" xfId="1249"/>
    <cellStyle name="Normal 6 2 5" xfId="1250"/>
    <cellStyle name="Normal 6 3" xfId="1251"/>
    <cellStyle name="Normal 6 3 2" xfId="1252"/>
    <cellStyle name="Normal 6 3 2 2" xfId="1253"/>
    <cellStyle name="Normal 6 3 2 2 2" xfId="1254"/>
    <cellStyle name="Normal 6 3 2 3" xfId="1255"/>
    <cellStyle name="Normal 6 3 3" xfId="1256"/>
    <cellStyle name="Normal 6 3 3 2" xfId="1257"/>
    <cellStyle name="Normal 6 3 4" xfId="1258"/>
    <cellStyle name="Normal 6 4" xfId="1259"/>
    <cellStyle name="Normal 6 4 2" xfId="1260"/>
    <cellStyle name="Normal 6 4 2 2" xfId="1261"/>
    <cellStyle name="Normal 6 4 3" xfId="1262"/>
    <cellStyle name="Normal 6 5" xfId="1263"/>
    <cellStyle name="Normal 6 5 2" xfId="1264"/>
    <cellStyle name="Normal 6 6" xfId="1265"/>
    <cellStyle name="Notas 2" xfId="1266"/>
    <cellStyle name="Notas 2 2" xfId="1267"/>
    <cellStyle name="Notas 2 2 2" xfId="1268"/>
    <cellStyle name="Notas 2 2 2 2" xfId="1269"/>
    <cellStyle name="Notas 2 2 2 2 2" xfId="1270"/>
    <cellStyle name="Notas 2 2 2 2 2 2" xfId="1271"/>
    <cellStyle name="Notas 2 2 2 2 3" xfId="1272"/>
    <cellStyle name="Notas 2 2 2 3" xfId="1273"/>
    <cellStyle name="Notas 2 2 2 3 2" xfId="1274"/>
    <cellStyle name="Notas 2 2 2 4" xfId="1275"/>
    <cellStyle name="Notas 2 2 3" xfId="1276"/>
    <cellStyle name="Notas 2 2 3 2" xfId="1277"/>
    <cellStyle name="Notas 2 2 3 2 2" xfId="1278"/>
    <cellStyle name="Notas 2 2 3 3" xfId="1279"/>
    <cellStyle name="Notas 2 2 4" xfId="1280"/>
    <cellStyle name="Notas 2 2 4 2" xfId="1281"/>
    <cellStyle name="Notas 2 2 5" xfId="1282"/>
    <cellStyle name="Notas 2 3" xfId="1283"/>
    <cellStyle name="Notas 2 3 2" xfId="1284"/>
    <cellStyle name="Notas 2 3 2 2" xfId="1285"/>
    <cellStyle name="Notas 2 3 2 2 2" xfId="1286"/>
    <cellStyle name="Notas 2 3 2 3" xfId="1287"/>
    <cellStyle name="Notas 2 3 3" xfId="1288"/>
    <cellStyle name="Notas 2 3 3 2" xfId="1289"/>
    <cellStyle name="Notas 2 3 4" xfId="1290"/>
    <cellStyle name="Notas 2 4" xfId="1291"/>
    <cellStyle name="Notas 2 4 2" xfId="1292"/>
    <cellStyle name="Notas 2 4 2 2" xfId="1293"/>
    <cellStyle name="Notas 2 4 3" xfId="1294"/>
    <cellStyle name="Notas 2 5" xfId="1295"/>
    <cellStyle name="Notas 2 5 2" xfId="1296"/>
    <cellStyle name="Notas 2 6" xfId="1297"/>
    <cellStyle name="Notas 3" xfId="1298"/>
    <cellStyle name="Notas 3 2" xfId="1299"/>
    <cellStyle name="Notas 3 2 2" xfId="1300"/>
    <cellStyle name="Notas 3 2 2 2" xfId="1301"/>
    <cellStyle name="Notas 3 2 2 2 2" xfId="1302"/>
    <cellStyle name="Notas 3 2 2 2 2 2" xfId="1303"/>
    <cellStyle name="Notas 3 2 2 2 3" xfId="1304"/>
    <cellStyle name="Notas 3 2 2 3" xfId="1305"/>
    <cellStyle name="Notas 3 2 2 3 2" xfId="1306"/>
    <cellStyle name="Notas 3 2 2 4" xfId="1307"/>
    <cellStyle name="Notas 3 2 3" xfId="1308"/>
    <cellStyle name="Notas 3 2 3 2" xfId="1309"/>
    <cellStyle name="Notas 3 2 3 2 2" xfId="1310"/>
    <cellStyle name="Notas 3 2 3 3" xfId="1311"/>
    <cellStyle name="Notas 3 2 4" xfId="1312"/>
    <cellStyle name="Notas 3 2 4 2" xfId="1313"/>
    <cellStyle name="Notas 3 2 5" xfId="1314"/>
    <cellStyle name="Notas 3 3" xfId="1315"/>
    <cellStyle name="Notas 3 3 2" xfId="1316"/>
    <cellStyle name="Notas 3 3 2 2" xfId="1317"/>
    <cellStyle name="Notas 3 3 2 2 2" xfId="1318"/>
    <cellStyle name="Notas 3 3 2 3" xfId="1319"/>
    <cellStyle name="Notas 3 3 3" xfId="1320"/>
    <cellStyle name="Notas 3 3 3 2" xfId="1321"/>
    <cellStyle name="Notas 3 3 4" xfId="1322"/>
    <cellStyle name="Notas 3 4" xfId="1323"/>
    <cellStyle name="Notas 3 4 2" xfId="1324"/>
    <cellStyle name="Notas 3 4 2 2" xfId="1325"/>
    <cellStyle name="Notas 3 4 3" xfId="1326"/>
    <cellStyle name="Notas 3 5" xfId="1327"/>
    <cellStyle name="Notas 3 5 2" xfId="1328"/>
    <cellStyle name="Notas 3 6" xfId="1329"/>
    <cellStyle name="Notas 4" xfId="1330"/>
    <cellStyle name="Notas 4 2" xfId="1331"/>
    <cellStyle name="Notas 4 2 2" xfId="1332"/>
    <cellStyle name="Notas 4 2 2 2" xfId="1333"/>
    <cellStyle name="Notas 4 2 2 2 2" xfId="1334"/>
    <cellStyle name="Notas 4 2 2 2 2 2" xfId="1335"/>
    <cellStyle name="Notas 4 2 2 2 3" xfId="1336"/>
    <cellStyle name="Notas 4 2 2 3" xfId="1337"/>
    <cellStyle name="Notas 4 2 2 3 2" xfId="1338"/>
    <cellStyle name="Notas 4 2 2 4" xfId="1339"/>
    <cellStyle name="Notas 4 2 3" xfId="1340"/>
    <cellStyle name="Notas 4 2 3 2" xfId="1341"/>
    <cellStyle name="Notas 4 2 3 2 2" xfId="1342"/>
    <cellStyle name="Notas 4 2 3 3" xfId="1343"/>
    <cellStyle name="Notas 4 2 4" xfId="1344"/>
    <cellStyle name="Notas 4 2 4 2" xfId="1345"/>
    <cellStyle name="Notas 4 2 5" xfId="1346"/>
    <cellStyle name="Notas 4 3" xfId="1347"/>
    <cellStyle name="Notas 4 3 2" xfId="1348"/>
    <cellStyle name="Notas 4 3 2 2" xfId="1349"/>
    <cellStyle name="Notas 4 3 2 2 2" xfId="1350"/>
    <cellStyle name="Notas 4 3 2 3" xfId="1351"/>
    <cellStyle name="Notas 4 3 3" xfId="1352"/>
    <cellStyle name="Notas 4 3 3 2" xfId="1353"/>
    <cellStyle name="Notas 4 3 4" xfId="1354"/>
    <cellStyle name="Notas 4 4" xfId="1355"/>
    <cellStyle name="Notas 4 4 2" xfId="1356"/>
    <cellStyle name="Notas 4 4 2 2" xfId="1357"/>
    <cellStyle name="Notas 4 4 3" xfId="1358"/>
    <cellStyle name="Notas 4 5" xfId="1359"/>
    <cellStyle name="Notas 4 5 2" xfId="1360"/>
    <cellStyle name="Notas 4 6" xfId="1361"/>
    <cellStyle name="Porcentaje 2" xfId="1362"/>
    <cellStyle name="Porcentaje 2 2" xfId="1363"/>
    <cellStyle name="Porcentaje 2 2 2" xfId="1364"/>
    <cellStyle name="Porcentaje 2 2 2 2" xfId="1365"/>
    <cellStyle name="Porcentaje 2 2 2 2 2" xfId="1366"/>
    <cellStyle name="Porcentaje 2 2 2 2 2 2" xfId="1367"/>
    <cellStyle name="Porcentaje 2 2 2 2 3" xfId="1368"/>
    <cellStyle name="Porcentaje 2 2 2 3" xfId="1369"/>
    <cellStyle name="Porcentaje 2 2 2 3 2" xfId="1370"/>
    <cellStyle name="Porcentaje 2 2 2 4" xfId="1371"/>
    <cellStyle name="Porcentaje 2 2 3" xfId="1372"/>
    <cellStyle name="Porcentaje 2 2 3 2" xfId="1373"/>
    <cellStyle name="Porcentaje 2 2 3 2 2" xfId="1374"/>
    <cellStyle name="Porcentaje 2 2 3 3" xfId="1375"/>
    <cellStyle name="Porcentaje 2 2 4" xfId="1376"/>
    <cellStyle name="Porcentaje 2 2 4 2" xfId="1377"/>
    <cellStyle name="Porcentaje 2 2 5" xfId="1378"/>
    <cellStyle name="Porcentaje 2 3" xfId="1379"/>
    <cellStyle name="Porcentaje 2 3 2" xfId="1380"/>
    <cellStyle name="Porcentaje 2 3 2 2" xfId="1381"/>
    <cellStyle name="Porcentaje 2 3 2 2 2" xfId="1382"/>
    <cellStyle name="Porcentaje 2 3 2 3" xfId="1383"/>
    <cellStyle name="Porcentaje 2 3 3" xfId="1384"/>
    <cellStyle name="Porcentaje 2 3 3 2" xfId="1385"/>
    <cellStyle name="Porcentaje 2 3 4" xfId="1386"/>
    <cellStyle name="Porcentaje 2 4" xfId="1387"/>
    <cellStyle name="Porcentaje 2 4 2" xfId="1388"/>
    <cellStyle name="Porcentaje 2 4 2 2" xfId="1389"/>
    <cellStyle name="Porcentaje 2 4 3" xfId="1390"/>
    <cellStyle name="Porcentaje 2 4 4" xfId="1391"/>
    <cellStyle name="Porcentaje 2 5" xfId="1392"/>
    <cellStyle name="Porcentaje 2 5 2" xfId="1393"/>
    <cellStyle name="Porcentaje 2 6" xfId="1394"/>
    <cellStyle name="Porcentaje 2 7" xfId="1395"/>
    <cellStyle name="Título 4" xfId="1396"/>
    <cellStyle name="Excel Built-in Comma [0]" xfId="1397"/>
  </cellStyles>
  <dxfs count="16">
    <dxf>
      <fill>
        <patternFill patternType="solid">
          <fgColor rgb="FFFF99CC"/>
          <bgColor rgb="FF000000"/>
        </patternFill>
      </fill>
    </dxf>
    <dxf>
      <fill>
        <patternFill patternType="solid">
          <fgColor rgb="FFFFCC99"/>
          <bgColor rgb="FF000000"/>
        </patternFill>
      </fill>
    </dxf>
    <dxf>
      <fill>
        <patternFill patternType="solid">
          <fgColor rgb="FF00008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CCFF"/>
          <bgColor rgb="FF000000"/>
        </patternFill>
      </fill>
    </dxf>
    <dxf>
      <fill>
        <patternFill patternType="solid">
          <fgColor rgb="FFCCFF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99CCFF"/>
          <bgColor rgb="FF000000"/>
        </patternFill>
      </fill>
    </dxf>
    <dxf>
      <fill>
        <patternFill patternType="solid">
          <fgColor rgb="FFCCFFFF"/>
          <bgColor rgb="FF000000"/>
        </patternFill>
      </fill>
    </dxf>
    <dxf>
      <fill>
        <patternFill patternType="solid">
          <fgColor rgb="FFC0C0C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206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DCE6F2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C1D596"/>
      <rgbColor rgb="FF0000FF"/>
      <rgbColor rgb="FFFFFF00"/>
      <rgbColor rgb="FFCCC1DA"/>
      <rgbColor rgb="FF00FFFF"/>
      <rgbColor rgb="FFE6E0EC"/>
      <rgbColor rgb="FFB9CDE5"/>
      <rgbColor rgb="FF000080"/>
      <rgbColor rgb="FFA36101"/>
      <rgbColor rgb="FFD7E4BD"/>
      <rgbColor rgb="FF95B3D7"/>
      <rgbColor rgb="FFC0C0C0"/>
      <rgbColor rgb="FF646A4E"/>
      <rgbColor rgb="FF8EB4E3"/>
      <rgbColor rgb="FFB94442"/>
      <rgbColor rgb="FFFFFFCC"/>
      <rgbColor rgb="FFCCFFFF"/>
      <rgbColor rgb="FFD9E1F2"/>
      <rgbColor rgb="FFFF8078"/>
      <rgbColor rgb="FF20517B"/>
      <rgbColor rgb="FFC6D9F1"/>
      <rgbColor rgb="FFF2F2F2"/>
      <rgbColor rgb="FFFCD5B5"/>
      <rgbColor rgb="FFFABE8B"/>
      <rgbColor rgb="FF93CDDD"/>
      <rgbColor rgb="FFF2DCDB"/>
      <rgbColor rgb="FFFDEADA"/>
      <rgbColor rgb="FFB2B2B2"/>
      <rgbColor rgb="FFEBF1DE"/>
      <rgbColor rgb="FF00CCFF"/>
      <rgbColor rgb="FFDBEEF4"/>
      <rgbColor rgb="FFCCFFCC"/>
      <rgbColor rgb="FFFFEB9C"/>
      <rgbColor rgb="FF99CCFF"/>
      <rgbColor rgb="FFFF99CC"/>
      <rgbColor rgb="FFB3A2C7"/>
      <rgbColor rgb="FFFFCC99"/>
      <rgbColor rgb="FF3366FF"/>
      <rgbColor rgb="FF64ACCC"/>
      <rgbColor rgb="FF92CF50"/>
      <rgbColor rgb="FFFFCC00"/>
      <rgbColor rgb="FFD99694"/>
      <rgbColor rgb="FFE6B9B8"/>
      <rgbColor rgb="FF625A6D"/>
      <rgbColor rgb="FF9E9D9F"/>
      <rgbColor rgb="FF002060"/>
      <rgbColor rgb="FF4584B7"/>
      <rgbColor rgb="FFDCE6F2"/>
      <rgbColor rgb="FFB7DEE8"/>
      <rgbColor rgb="FFBFBFBF"/>
      <rgbColor rgb="FF7030A0"/>
      <rgbColor rgb="FF243B84"/>
      <rgbColor rgb="FF423F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s-CL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es-CL" sz="1400" spc="-1" strike="noStrike">
                <a:solidFill>
                  <a:srgbClr val="595959"/>
                </a:solidFill>
                <a:latin typeface="Calibri"/>
              </a:rPr>
              <a:t>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"/>
            <c:spPr>
              <a:solidFill>
                <a:srgbClr val="c0504d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2"/>
            <c:spPr>
              <a:solidFill>
                <a:srgbClr val="9bbb59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3"/>
            <c:spPr>
              <a:solidFill>
                <a:srgbClr val="8064a2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4"/>
            <c:spPr>
              <a:solidFill>
                <a:srgbClr val="4bacc6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5"/>
            <c:spPr>
              <a:solidFill>
                <a:srgbClr val="f79646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6"/>
            <c:spPr>
              <a:solidFill>
                <a:srgbClr val="2c4d75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7"/>
            <c:spPr>
              <a:solidFill>
                <a:srgbClr val="772c2a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8"/>
            <c:spPr>
              <a:solidFill>
                <a:srgbClr val="5f7530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9"/>
            <c:spPr>
              <a:solidFill>
                <a:srgbClr val="4d3b62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0"/>
            <c:spPr>
              <a:solidFill>
                <a:srgbClr val="276a7c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1"/>
            <c:spPr>
              <a:solidFill>
                <a:srgbClr val="b65708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2"/>
            <c:spPr>
              <a:solidFill>
                <a:srgbClr val="729aca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3"/>
            <c:spPr>
              <a:solidFill>
                <a:srgbClr val="cd7371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4"/>
            <c:spPr>
              <a:solidFill>
                <a:srgbClr val="afc97a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5"/>
            <c:spPr>
              <a:solidFill>
                <a:srgbClr val="9983b5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6"/>
            <c:spPr>
              <a:solidFill>
                <a:srgbClr val="6fbdd1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7"/>
            <c:spPr>
              <a:solidFill>
                <a:srgbClr val="f9ab6b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8"/>
            <c:spPr>
              <a:solidFill>
                <a:srgbClr val="3a679c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9"/>
            <c:spPr>
              <a:solidFill>
                <a:srgbClr val="9f3b38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20"/>
            <c:spPr>
              <a:solidFill>
                <a:srgbClr val="7e9d40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21"/>
            <c:spPr>
              <a:solidFill>
                <a:srgbClr val="664f83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22"/>
            <c:spPr>
              <a:solidFill>
                <a:srgbClr val="358ea6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23"/>
            <c:spPr>
              <a:solidFill>
                <a:srgbClr val="f3740b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24"/>
            <c:spPr>
              <a:solidFill>
                <a:srgbClr val="95b3d7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25"/>
            <c:spPr>
              <a:solidFill>
                <a:srgbClr val="d99694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26"/>
            <c:spPr>
              <a:solidFill>
                <a:srgbClr val="c3d69b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27"/>
            <c:spPr>
              <a:solidFill>
                <a:srgbClr val="b3a2c7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28"/>
            <c:spPr>
              <a:solidFill>
                <a:srgbClr val="93cddd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29"/>
            <c:spPr>
              <a:solidFill>
                <a:srgbClr val="fac090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30"/>
            <c:spPr>
              <a:solidFill>
                <a:srgbClr val="254061"/>
              </a:solidFill>
              <a:ln w="19080">
                <a:solidFill>
                  <a:srgbClr val="ffffff"/>
                </a:solidFill>
                <a:round/>
              </a:ln>
            </c:spPr>
          </c:dPt>
          <c:dLbls>
            <c:numFmt formatCode="_-* #,##0.0_-;\-* #,##0.0_-;_-* \-_-;_-@_-" sourceLinked="1"/>
            <c:dLbl>
              <c:idx val="0"/>
              <c:numFmt formatCode="_-* #,##0.0_-;\-* #,##0.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eparator>; </c:separator>
            </c:dLbl>
            <c:dLbl>
              <c:idx val="1"/>
              <c:numFmt formatCode="_-* #,##0.0_-;\-* #,##0.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eparator>; </c:separator>
            </c:dLbl>
            <c:dLbl>
              <c:idx val="2"/>
              <c:numFmt formatCode="_-* #,##0.0_-;\-* #,##0.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eparator>; </c:separator>
            </c:dLbl>
            <c:dLbl>
              <c:idx val="3"/>
              <c:numFmt formatCode="_-* #,##0.0_-;\-* #,##0.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eparator>; </c:separator>
            </c:dLbl>
            <c:dLbl>
              <c:idx val="4"/>
              <c:numFmt formatCode="_-* #,##0.0_-;\-* #,##0.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eparator>; </c:separator>
            </c:dLbl>
            <c:dLbl>
              <c:idx val="5"/>
              <c:numFmt formatCode="_-* #,##0.0_-;\-* #,##0.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eparator>; </c:separator>
            </c:dLbl>
            <c:dLbl>
              <c:idx val="6"/>
              <c:numFmt formatCode="_-* #,##0.0_-;\-* #,##0.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eparator>; </c:separator>
            </c:dLbl>
            <c:dLbl>
              <c:idx val="7"/>
              <c:numFmt formatCode="_-* #,##0.0_-;\-* #,##0.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eparator>; </c:separator>
            </c:dLbl>
            <c:dLbl>
              <c:idx val="8"/>
              <c:numFmt formatCode="_-* #,##0.0_-;\-* #,##0.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eparator>; </c:separator>
            </c:dLbl>
            <c:dLbl>
              <c:idx val="9"/>
              <c:numFmt formatCode="_-* #,##0.0_-;\-* #,##0.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eparator>; </c:separator>
            </c:dLbl>
            <c:dLbl>
              <c:idx val="10"/>
              <c:numFmt formatCode="_-* #,##0.0_-;\-* #,##0.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eparator>; </c:separator>
            </c:dLbl>
            <c:dLbl>
              <c:idx val="11"/>
              <c:numFmt formatCode="_-* #,##0.0_-;\-* #,##0.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eparator>; </c:separator>
            </c:dLbl>
            <c:dLbl>
              <c:idx val="12"/>
              <c:numFmt formatCode="_-* #,##0.0_-;\-* #,##0.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eparator>; </c:separator>
            </c:dLbl>
            <c:dLbl>
              <c:idx val="13"/>
              <c:numFmt formatCode="_-* #,##0.0_-;\-* #,##0.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eparator>; </c:separator>
            </c:dLbl>
            <c:dLbl>
              <c:idx val="14"/>
              <c:numFmt formatCode="_-* #,##0.0_-;\-* #,##0.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eparator>; </c:separator>
            </c:dLbl>
            <c:dLbl>
              <c:idx val="15"/>
              <c:numFmt formatCode="_-* #,##0.0_-;\-* #,##0.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eparator>; </c:separator>
            </c:dLbl>
            <c:dLbl>
              <c:idx val="16"/>
              <c:numFmt formatCode="_-* #,##0.0_-;\-* #,##0.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eparator>; </c:separator>
            </c:dLbl>
            <c:dLbl>
              <c:idx val="17"/>
              <c:numFmt formatCode="_-* #,##0.0_-;\-* #,##0.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eparator>; </c:separator>
            </c:dLbl>
            <c:dLbl>
              <c:idx val="18"/>
              <c:numFmt formatCode="_-* #,##0.0_-;\-* #,##0.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eparator>; </c:separator>
            </c:dLbl>
            <c:dLbl>
              <c:idx val="19"/>
              <c:numFmt formatCode="_-* #,##0.0_-;\-* #,##0.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eparator>; </c:separator>
            </c:dLbl>
            <c:dLbl>
              <c:idx val="20"/>
              <c:numFmt formatCode="_-* #,##0.0_-;\-* #,##0.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eparator>; </c:separator>
            </c:dLbl>
            <c:dLbl>
              <c:idx val="21"/>
              <c:numFmt formatCode="_-* #,##0.0_-;\-* #,##0.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eparator>; </c:separator>
            </c:dLbl>
            <c:dLbl>
              <c:idx val="22"/>
              <c:numFmt formatCode="_-* #,##0.0_-;\-* #,##0.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eparator>; </c:separator>
            </c:dLbl>
            <c:dLbl>
              <c:idx val="23"/>
              <c:numFmt formatCode="_-* #,##0.0_-;\-* #,##0.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eparator>; </c:separator>
            </c:dLbl>
            <c:dLbl>
              <c:idx val="24"/>
              <c:numFmt formatCode="_-* #,##0.0_-;\-* #,##0.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eparator>; </c:separator>
            </c:dLbl>
            <c:dLbl>
              <c:idx val="25"/>
              <c:numFmt formatCode="_-* #,##0.0_-;\-* #,##0.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eparator>; </c:separator>
            </c:dLbl>
            <c:dLbl>
              <c:idx val="26"/>
              <c:numFmt formatCode="_-* #,##0.0_-;\-* #,##0.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eparator>; </c:separator>
            </c:dLbl>
            <c:dLbl>
              <c:idx val="27"/>
              <c:numFmt formatCode="_-* #,##0.0_-;\-* #,##0.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eparator>; </c:separator>
            </c:dLbl>
            <c:dLbl>
              <c:idx val="28"/>
              <c:numFmt formatCode="_-* #,##0.0_-;\-* #,##0.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eparator>; </c:separator>
            </c:dLbl>
            <c:dLbl>
              <c:idx val="29"/>
              <c:numFmt formatCode="_-* #,##0.0_-;\-* #,##0.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eparator>; </c:separator>
            </c:dLbl>
            <c:dLbl>
              <c:idx val="30"/>
              <c:numFmt formatCode="_-* #,##0.0_-;\-* #,##0.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40404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eparator>; </c:separator>
            <c:showLeaderLines val="1"/>
          </c:dLbls>
          <c:cat>
            <c:strRef>
              <c:f>cartera!$V$150:$AZ$150</c:f>
              <c:strCache>
                <c:ptCount val="31"/>
                <c:pt idx="0">
                  <c:v>AMZN</c:v>
                </c:pt>
                <c:pt idx="1">
                  <c:v>ARGT</c:v>
                </c:pt>
                <c:pt idx="2">
                  <c:v>BCH</c:v>
                </c:pt>
                <c:pt idx="3">
                  <c:v>BLK</c:v>
                </c:pt>
                <c:pt idx="4">
                  <c:v>BRK/B</c:v>
                </c:pt>
                <c:pt idx="5">
                  <c:v>CRCL</c:v>
                </c:pt>
                <c:pt idx="6">
                  <c:v>AIQ</c:v>
                </c:pt>
                <c:pt idx="7">
                  <c:v>QQQ</c:v>
                </c:pt>
                <c:pt idx="8">
                  <c:v>ESM6</c:v>
                </c:pt>
                <c:pt idx="9">
                  <c:v>SPY</c:v>
                </c:pt>
                <c:pt idx="10">
                  <c:v>GOOG</c:v>
                </c:pt>
                <c:pt idx="11">
                  <c:v>LTM</c:v>
                </c:pt>
                <c:pt idx="12">
                  <c:v>META</c:v>
                </c:pt>
                <c:pt idx="13">
                  <c:v>MSFT</c:v>
                </c:pt>
                <c:pt idx="14">
                  <c:v>NVDA</c:v>
                </c:pt>
                <c:pt idx="15">
                  <c:v>TGS</c:v>
                </c:pt>
                <c:pt idx="16">
                  <c:v>USCI</c:v>
                </c:pt>
                <c:pt idx="17">
                  <c:v>PLTR</c:v>
                </c:pt>
                <c:pt idx="18">
                  <c:v>FCX</c:v>
                </c:pt>
                <c:pt idx="19">
                  <c:v>XBI</c:v>
                </c:pt>
                <c:pt idx="20">
                  <c:v>ARKK</c:v>
                </c:pt>
                <c:pt idx="21">
                  <c:v>ECH</c:v>
                </c:pt>
                <c:pt idx="22">
                  <c:v>QTUM</c:v>
                </c:pt>
                <c:pt idx="23">
                  <c:v>SLV</c:v>
                </c:pt>
                <c:pt idx="24">
                  <c:v>IIF</c:v>
                </c:pt>
                <c:pt idx="25">
                  <c:v>RKLB</c:v>
                </c:pt>
                <c:pt idx="26">
                  <c:v>XIACY </c:v>
                </c:pt>
                <c:pt idx="27">
                  <c:v>BYDDY</c:v>
                </c:pt>
                <c:pt idx="28">
                  <c:v>JD</c:v>
                </c:pt>
                <c:pt idx="29">
                  <c:v>BABA</c:v>
                </c:pt>
                <c:pt idx="30">
                  <c:v>TCEHY </c:v>
                </c:pt>
              </c:strCache>
            </c:strRef>
          </c:cat>
          <c:val>
            <c:numRef>
              <c:f>cartera!$V$151:$AZ$151</c:f>
              <c:numCache>
                <c:formatCode>_-* #,##0.0_-;\-* #,##0.0_-;_-* \-_-;_-@_-</c:formatCode>
                <c:ptCount val="31"/>
                <c:pt idx="0">
                  <c:v>2995.8912</c:v>
                </c:pt>
                <c:pt idx="1">
                  <c:v>-697.4376</c:v>
                </c:pt>
                <c:pt idx="2">
                  <c:v>-689.22</c:v>
                </c:pt>
                <c:pt idx="3">
                  <c:v>-28073.78</c:v>
                </c:pt>
                <c:pt idx="4">
                  <c:v>-18241.52</c:v>
                </c:pt>
                <c:pt idx="5">
                  <c:v>-5701.0608</c:v>
                </c:pt>
                <c:pt idx="6">
                  <c:v>-10125.54</c:v>
                </c:pt>
                <c:pt idx="7">
                  <c:v>-251787.62</c:v>
                </c:pt>
                <c:pt idx="8">
                  <c:v>-43971928</c:v>
                </c:pt>
                <c:pt idx="9">
                  <c:v>-194265.5</c:v>
                </c:pt>
                <c:pt idx="10">
                  <c:v>-49953.28</c:v>
                </c:pt>
                <c:pt idx="11">
                  <c:v>-48814.2</c:v>
                </c:pt>
                <c:pt idx="12">
                  <c:v>-430923.97</c:v>
                </c:pt>
                <c:pt idx="13">
                  <c:v>-190721.52</c:v>
                </c:pt>
                <c:pt idx="14">
                  <c:v>-157067.22</c:v>
                </c:pt>
                <c:pt idx="15">
                  <c:v>-9929.36</c:v>
                </c:pt>
                <c:pt idx="16">
                  <c:v>-29782.06</c:v>
                </c:pt>
                <c:pt idx="17">
                  <c:v>-85420.58</c:v>
                </c:pt>
                <c:pt idx="18">
                  <c:v>-46335.87</c:v>
                </c:pt>
                <c:pt idx="19">
                  <c:v>-96165.96</c:v>
                </c:pt>
                <c:pt idx="20">
                  <c:v>-26832.33</c:v>
                </c:pt>
                <c:pt idx="21">
                  <c:v>-68364.92</c:v>
                </c:pt>
                <c:pt idx="22">
                  <c:v>-101607.78</c:v>
                </c:pt>
                <c:pt idx="23">
                  <c:v>-44446.1248</c:v>
                </c:pt>
                <c:pt idx="24">
                  <c:v>-10064.55</c:v>
                </c:pt>
                <c:pt idx="25">
                  <c:v>-32895.72</c:v>
                </c:pt>
                <c:pt idx="26">
                  <c:v>-9356.85</c:v>
                </c:pt>
                <c:pt idx="27">
                  <c:v>-6800.28</c:v>
                </c:pt>
                <c:pt idx="28">
                  <c:v>-14200.47</c:v>
                </c:pt>
                <c:pt idx="29">
                  <c:v>-63865.76</c:v>
                </c:pt>
                <c:pt idx="30">
                  <c:v>-32696.16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"/>
            <c:spPr>
              <a:solidFill>
                <a:srgbClr val="c0504d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2"/>
            <c:spPr>
              <a:solidFill>
                <a:srgbClr val="9bbb59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3"/>
            <c:spPr>
              <a:solidFill>
                <a:srgbClr val="8064a2"/>
              </a:solidFill>
              <a:ln w="19080">
                <a:solidFill>
                  <a:srgbClr val="ffffff"/>
                </a:solidFill>
                <a:round/>
              </a:ln>
            </c:spPr>
          </c:dPt>
          <c:dLbls>
            <c:numFmt formatCode="_-* #,##0_-;\-* #,##0_-;_-* \-_-;_-@_-" sourceLinked="1"/>
            <c:dLbl>
              <c:idx val="0"/>
              <c:numFmt formatCode="_-* #,##0_-;\-* #,##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eparator>; </c:separator>
            </c:dLbl>
            <c:dLbl>
              <c:idx val="1"/>
              <c:numFmt formatCode="_-* #,##0_-;\-* #,##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eparator>; </c:separator>
            </c:dLbl>
            <c:dLbl>
              <c:idx val="2"/>
              <c:numFmt formatCode="_-* #,##0_-;\-* #,##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eparator>; </c:separator>
            </c:dLbl>
            <c:dLbl>
              <c:idx val="3"/>
              <c:numFmt formatCode="_-* #,##0_-;\-* #,##0_-;_-* \-_-;_-@_-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40404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eparator>; </c:separator>
            <c:showLeaderLines val="1"/>
          </c:dLbls>
          <c:cat>
            <c:strRef>
              <c:f>cartera!$V$88:$Y$88</c:f>
              <c:strCache>
                <c:ptCount val="4"/>
                <c:pt idx="0">
                  <c:v>XAGUSD</c:v>
                </c:pt>
                <c:pt idx="1">
                  <c:v>XAUUSD</c:v>
                </c:pt>
                <c:pt idx="2">
                  <c:v>COPX</c:v>
                </c:pt>
                <c:pt idx="3">
                  <c:v>CPER</c:v>
                </c:pt>
              </c:strCache>
            </c:strRef>
          </c:cat>
          <c:val>
            <c:numRef>
              <c:f>cartera!$V$89:$Y$89</c:f>
              <c:numCache>
                <c:formatCode>_-* #,##0_-;\-* #,##0_-;_-* \-_-;_-@_-</c:formatCode>
                <c:ptCount val="4"/>
                <c:pt idx="0">
                  <c:v>1765.71</c:v>
                </c:pt>
                <c:pt idx="1">
                  <c:v>0</c:v>
                </c:pt>
                <c:pt idx="2">
                  <c:v>14961.6</c:v>
                </c:pt>
                <c:pt idx="3">
                  <c:v>8175.375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0">
                <a:noFill/>
              </a:ln>
            </c:spPr>
          </c:dPt>
          <c:dPt>
            <c:idx val="5"/>
            <c:spPr>
              <a:solidFill>
                <a:srgbClr val="f79646"/>
              </a:solidFill>
              <a:ln w="0">
                <a:noFill/>
              </a:ln>
            </c:spPr>
          </c:dPt>
          <c:dPt>
            <c:idx val="6"/>
            <c:spPr>
              <a:solidFill>
                <a:srgbClr val="2c4d75"/>
              </a:solidFill>
              <a:ln w="0">
                <a:noFill/>
              </a:ln>
            </c:spPr>
          </c:dPt>
          <c:dPt>
            <c:idx val="7"/>
            <c:spPr>
              <a:solidFill>
                <a:srgbClr val="772c2a"/>
              </a:solidFill>
              <a:ln w="0">
                <a:noFill/>
              </a:ln>
            </c:spPr>
          </c:dPt>
          <c:dPt>
            <c:idx val="8"/>
            <c:spPr>
              <a:solidFill>
                <a:srgbClr val="5f753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4d3b62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276a7c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b65708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729aca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cd7371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afc97a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9983b5"/>
              </a:solidFill>
              <a:ln w="0">
                <a:noFill/>
              </a:ln>
            </c:spPr>
          </c:dPt>
          <c:dPt>
            <c:idx val="16"/>
            <c:spPr>
              <a:solidFill>
                <a:srgbClr val="6fbdd1"/>
              </a:solidFill>
              <a:ln w="0">
                <a:noFill/>
              </a:ln>
            </c:spPr>
          </c:dPt>
          <c:dPt>
            <c:idx val="17"/>
            <c:spPr>
              <a:solidFill>
                <a:srgbClr val="f9ab6b"/>
              </a:solidFill>
              <a:ln w="0">
                <a:noFill/>
              </a:ln>
            </c:spPr>
          </c:dPt>
          <c:dPt>
            <c:idx val="18"/>
            <c:spPr>
              <a:solidFill>
                <a:srgbClr val="3a679c"/>
              </a:solidFill>
              <a:ln w="0">
                <a:noFill/>
              </a:ln>
            </c:spPr>
          </c:dPt>
          <c:dPt>
            <c:idx val="19"/>
            <c:spPr>
              <a:solidFill>
                <a:srgbClr val="9f3b38"/>
              </a:solidFill>
              <a:ln w="0">
                <a:noFill/>
              </a:ln>
            </c:spPr>
          </c:dPt>
          <c:dPt>
            <c:idx val="20"/>
            <c:spPr>
              <a:solidFill>
                <a:srgbClr val="7e9d40"/>
              </a:solidFill>
              <a:ln w="0">
                <a:noFill/>
              </a:ln>
            </c:spPr>
          </c:dPt>
          <c:dPt>
            <c:idx val="21"/>
            <c:spPr>
              <a:solidFill>
                <a:srgbClr val="664f83"/>
              </a:solidFill>
              <a:ln w="0">
                <a:noFill/>
              </a:ln>
            </c:spPr>
          </c:dPt>
          <c:dPt>
            <c:idx val="22"/>
            <c:spPr>
              <a:solidFill>
                <a:srgbClr val="358ea6"/>
              </a:solidFill>
              <a:ln w="0">
                <a:noFill/>
              </a:ln>
            </c:spPr>
          </c:dPt>
          <c:dPt>
            <c:idx val="23"/>
            <c:spPr>
              <a:solidFill>
                <a:srgbClr val="f3740b"/>
              </a:solidFill>
              <a:ln w="0">
                <a:noFill/>
              </a:ln>
            </c:spPr>
          </c:dPt>
          <c:dPt>
            <c:idx val="24"/>
            <c:spPr>
              <a:solidFill>
                <a:srgbClr val="95b3d7"/>
              </a:solidFill>
              <a:ln w="0">
                <a:noFill/>
              </a:ln>
            </c:spPr>
          </c:dPt>
          <c:dPt>
            <c:idx val="25"/>
            <c:spPr>
              <a:solidFill>
                <a:srgbClr val="d99694"/>
              </a:solidFill>
              <a:ln w="0">
                <a:noFill/>
              </a:ln>
            </c:spPr>
          </c:dPt>
          <c:dPt>
            <c:idx val="26"/>
            <c:spPr>
              <a:solidFill>
                <a:srgbClr val="c3d69b"/>
              </a:solidFill>
              <a:ln w="0">
                <a:noFill/>
              </a:ln>
            </c:spPr>
          </c:dPt>
          <c:dPt>
            <c:idx val="27"/>
            <c:spPr>
              <a:solidFill>
                <a:srgbClr val="b3a2c7"/>
              </a:solidFill>
              <a:ln w="0">
                <a:noFill/>
              </a:ln>
            </c:spPr>
          </c:dPt>
          <c:dPt>
            <c:idx val="28"/>
            <c:spPr>
              <a:solidFill>
                <a:srgbClr val="93cddd"/>
              </a:solidFill>
              <a:ln w="0">
                <a:noFill/>
              </a:ln>
            </c:spPr>
          </c:dPt>
          <c:dPt>
            <c:idx val="29"/>
            <c:spPr>
              <a:solidFill>
                <a:srgbClr val="fac090"/>
              </a:solidFill>
              <a:ln w="0">
                <a:noFill/>
              </a:ln>
            </c:spPr>
          </c:dPt>
          <c:dPt>
            <c:idx val="30"/>
            <c:spPr>
              <a:solidFill>
                <a:srgbClr val="254061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ffffff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ffffff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ffffff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ffffff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ffffff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ffffff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ffffff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ffffff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ffffff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9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ffffff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0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ffffff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1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ffffff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2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ffffff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3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ffffff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ffffff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5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ffffff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6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ffffff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7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ffffff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8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ffffff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9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ffffff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0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ffffff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1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ffffff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2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ffffff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3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ffffff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ffffff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5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ffffff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6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ffffff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7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ffffff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8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ffffff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9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ffffff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0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ffffff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1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Equity!$C$4:$AG$4</c:f>
              <c:strCache>
                <c:ptCount val="31"/>
                <c:pt idx="0">
                  <c:v> AMZN </c:v>
                </c:pt>
                <c:pt idx="1">
                  <c:v> ARGT </c:v>
                </c:pt>
                <c:pt idx="2">
                  <c:v> BCH </c:v>
                </c:pt>
                <c:pt idx="3">
                  <c:v> BLK </c:v>
                </c:pt>
                <c:pt idx="4">
                  <c:v> BRK/B </c:v>
                </c:pt>
                <c:pt idx="5">
                  <c:v> CRCL </c:v>
                </c:pt>
                <c:pt idx="6">
                  <c:v> AIQ </c:v>
                </c:pt>
                <c:pt idx="7">
                  <c:v> QQQ </c:v>
                </c:pt>
                <c:pt idx="8">
                  <c:v> ESM6 </c:v>
                </c:pt>
                <c:pt idx="9">
                  <c:v> SPY </c:v>
                </c:pt>
                <c:pt idx="10">
                  <c:v> GOOG </c:v>
                </c:pt>
                <c:pt idx="11">
                  <c:v> LTM </c:v>
                </c:pt>
                <c:pt idx="12">
                  <c:v> META </c:v>
                </c:pt>
                <c:pt idx="13">
                  <c:v> MSFT </c:v>
                </c:pt>
                <c:pt idx="14">
                  <c:v> NVDA </c:v>
                </c:pt>
                <c:pt idx="15">
                  <c:v> TGS </c:v>
                </c:pt>
                <c:pt idx="16">
                  <c:v> USCI </c:v>
                </c:pt>
                <c:pt idx="17">
                  <c:v> PLTR </c:v>
                </c:pt>
                <c:pt idx="18">
                  <c:v> FCX </c:v>
                </c:pt>
                <c:pt idx="19">
                  <c:v> XBI </c:v>
                </c:pt>
                <c:pt idx="20">
                  <c:v> ARKK </c:v>
                </c:pt>
                <c:pt idx="21">
                  <c:v> ECH </c:v>
                </c:pt>
                <c:pt idx="22">
                  <c:v> QTUM </c:v>
                </c:pt>
                <c:pt idx="23">
                  <c:v> SLV </c:v>
                </c:pt>
                <c:pt idx="24">
                  <c:v> IIF </c:v>
                </c:pt>
                <c:pt idx="25">
                  <c:v> RKLB </c:v>
                </c:pt>
                <c:pt idx="26">
                  <c:v> XIACY  </c:v>
                </c:pt>
                <c:pt idx="27">
                  <c:v> BYDDY </c:v>
                </c:pt>
                <c:pt idx="28">
                  <c:v> JD </c:v>
                </c:pt>
                <c:pt idx="29">
                  <c:v> BABA </c:v>
                </c:pt>
                <c:pt idx="30">
                  <c:v> TCEHY  </c:v>
                </c:pt>
              </c:strCache>
            </c:strRef>
          </c:cat>
          <c:val>
            <c:numRef>
              <c:f>Equity!$C$5:$AG$5</c:f>
              <c:numCache>
                <c:formatCode>_-* #,##0.0_-;\-* #,##0.0_-;_-* \-_-;_-@_-</c:formatCode>
                <c:ptCount val="31"/>
                <c:pt idx="0">
                  <c:v>2995.8912</c:v>
                </c:pt>
                <c:pt idx="1">
                  <c:v>-697.4376</c:v>
                </c:pt>
                <c:pt idx="2">
                  <c:v>-689.22</c:v>
                </c:pt>
                <c:pt idx="3">
                  <c:v>-28073.78</c:v>
                </c:pt>
                <c:pt idx="4">
                  <c:v>-18241.52</c:v>
                </c:pt>
                <c:pt idx="5">
                  <c:v>-5701.0608</c:v>
                </c:pt>
                <c:pt idx="6">
                  <c:v>-10125.54</c:v>
                </c:pt>
                <c:pt idx="7">
                  <c:v>-251787.62</c:v>
                </c:pt>
                <c:pt idx="8">
                  <c:v>-43971928</c:v>
                </c:pt>
                <c:pt idx="9">
                  <c:v>-194265.5</c:v>
                </c:pt>
                <c:pt idx="10">
                  <c:v>-49953.28</c:v>
                </c:pt>
                <c:pt idx="11">
                  <c:v>-48814.2</c:v>
                </c:pt>
                <c:pt idx="12">
                  <c:v>-430923.97</c:v>
                </c:pt>
                <c:pt idx="13">
                  <c:v>-190721.52</c:v>
                </c:pt>
                <c:pt idx="14">
                  <c:v>-157067.22</c:v>
                </c:pt>
                <c:pt idx="15">
                  <c:v>-9929.36</c:v>
                </c:pt>
                <c:pt idx="16">
                  <c:v>-29782.06</c:v>
                </c:pt>
                <c:pt idx="17">
                  <c:v>-85420.58</c:v>
                </c:pt>
                <c:pt idx="18">
                  <c:v>-46335.87</c:v>
                </c:pt>
                <c:pt idx="19">
                  <c:v>-96165.96</c:v>
                </c:pt>
                <c:pt idx="20">
                  <c:v>-26832.33</c:v>
                </c:pt>
                <c:pt idx="21">
                  <c:v>-68364.92</c:v>
                </c:pt>
                <c:pt idx="22">
                  <c:v>-101607.78</c:v>
                </c:pt>
                <c:pt idx="23">
                  <c:v>-44446.1248</c:v>
                </c:pt>
                <c:pt idx="24">
                  <c:v>-10064.55</c:v>
                </c:pt>
                <c:pt idx="25">
                  <c:v>-32895.72</c:v>
                </c:pt>
                <c:pt idx="26">
                  <c:v>-9356.85</c:v>
                </c:pt>
                <c:pt idx="27">
                  <c:v>-6800.28</c:v>
                </c:pt>
                <c:pt idx="28">
                  <c:v>-14200.47</c:v>
                </c:pt>
                <c:pt idx="29">
                  <c:v>-63865.76</c:v>
                </c:pt>
                <c:pt idx="30">
                  <c:v>-32696.16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16</xdr:col>
      <xdr:colOff>403920</xdr:colOff>
      <xdr:row>149</xdr:row>
      <xdr:rowOff>156600</xdr:rowOff>
    </xdr:from>
    <xdr:to>
      <xdr:col>22</xdr:col>
      <xdr:colOff>167400</xdr:colOff>
      <xdr:row>170</xdr:row>
      <xdr:rowOff>113400</xdr:rowOff>
    </xdr:to>
    <xdr:graphicFrame>
      <xdr:nvGraphicFramePr>
        <xdr:cNvPr id="0" name="Gráfico 2"/>
        <xdr:cNvGraphicFramePr/>
      </xdr:nvGraphicFramePr>
      <xdr:xfrm>
        <a:off x="17860680" y="25282440"/>
        <a:ext cx="5401080" cy="3415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22</xdr:col>
      <xdr:colOff>491400</xdr:colOff>
      <xdr:row>75</xdr:row>
      <xdr:rowOff>25200</xdr:rowOff>
    </xdr:from>
    <xdr:to>
      <xdr:col>27</xdr:col>
      <xdr:colOff>658800</xdr:colOff>
      <xdr:row>91</xdr:row>
      <xdr:rowOff>40680</xdr:rowOff>
    </xdr:to>
    <xdr:graphicFrame>
      <xdr:nvGraphicFramePr>
        <xdr:cNvPr id="1" name="Gráfico 3"/>
        <xdr:cNvGraphicFramePr/>
      </xdr:nvGraphicFramePr>
      <xdr:xfrm>
        <a:off x="23585760" y="13083480"/>
        <a:ext cx="4687200" cy="2664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502920</xdr:colOff>
      <xdr:row>8</xdr:row>
      <xdr:rowOff>11520</xdr:rowOff>
    </xdr:from>
    <xdr:to>
      <xdr:col>11</xdr:col>
      <xdr:colOff>52920</xdr:colOff>
      <xdr:row>33</xdr:row>
      <xdr:rowOff>68400</xdr:rowOff>
    </xdr:to>
    <xdr:graphicFrame>
      <xdr:nvGraphicFramePr>
        <xdr:cNvPr id="2" name="Gráfico 1"/>
        <xdr:cNvGraphicFramePr/>
      </xdr:nvGraphicFramePr>
      <xdr:xfrm>
        <a:off x="1308240" y="1306800"/>
        <a:ext cx="7784640" cy="3619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21" activeCellId="0" sqref="A21"/>
    </sheetView>
  </sheetViews>
  <sheetFormatPr defaultColWidth="11.42578125" defaultRowHeight="12.75" zeroHeight="false" outlineLevelRow="0" outlineLevelCol="0"/>
  <cols>
    <col collapsed="false" customWidth="true" hidden="false" outlineLevel="0" max="1" min="1" style="0" width="14.57"/>
    <col collapsed="false" customWidth="true" hidden="false" outlineLevel="0" max="2" min="2" style="0" width="15.85"/>
    <col collapsed="false" customWidth="true" hidden="false" outlineLevel="0" max="3" min="3" style="0" width="9"/>
    <col collapsed="false" customWidth="true" hidden="false" outlineLevel="0" max="4" min="4" style="0" width="12.42"/>
    <col collapsed="false" customWidth="true" hidden="false" outlineLevel="0" max="5" min="5" style="0" width="14.86"/>
    <col collapsed="false" customWidth="true" hidden="false" outlineLevel="0" max="6" min="6" style="0" width="16.57"/>
    <col collapsed="false" customWidth="true" hidden="false" outlineLevel="0" max="7" min="7" style="0" width="13"/>
    <col collapsed="false" customWidth="true" hidden="false" outlineLevel="0" max="8" min="8" style="1" width="18"/>
    <col collapsed="false" customWidth="true" hidden="false" outlineLevel="0" max="9" min="9" style="2" width="14"/>
    <col collapsed="false" customWidth="true" hidden="false" outlineLevel="0" max="11" min="10" style="0" width="13.86"/>
    <col collapsed="false" customWidth="true" hidden="false" outlineLevel="0" max="12" min="12" style="0" width="13.42"/>
    <col collapsed="false" customWidth="true" hidden="false" outlineLevel="0" max="13" min="13" style="3" width="13.57"/>
    <col collapsed="false" customWidth="true" hidden="false" outlineLevel="0" max="14" min="14" style="3" width="19.42"/>
    <col collapsed="false" customWidth="true" hidden="false" outlineLevel="0" max="15" min="15" style="0" width="19.86"/>
  </cols>
  <sheetData>
    <row r="1" s="8" customFormat="true" ht="15" hidden="false" customHeight="false" outlineLevel="0" collapsed="false">
      <c r="A1" s="4"/>
      <c r="B1" s="4"/>
      <c r="C1" s="5"/>
      <c r="D1" s="5"/>
      <c r="E1" s="5"/>
      <c r="F1" s="4" t="s">
        <v>0</v>
      </c>
      <c r="G1" s="4"/>
      <c r="H1" s="6"/>
      <c r="I1" s="7"/>
      <c r="M1" s="9"/>
      <c r="N1" s="9"/>
    </row>
    <row r="2" customFormat="false" ht="12.75" hidden="false" customHeight="false" outlineLevel="0" collapsed="false">
      <c r="I2" s="10"/>
    </row>
    <row r="3" customFormat="false" ht="12.75" hidden="false" customHeight="false" outlineLevel="0" collapsed="false">
      <c r="I3" s="10"/>
    </row>
    <row r="4" customFormat="false" ht="12.75" hidden="false" customHeight="false" outlineLevel="0" collapsed="false">
      <c r="I4" s="11"/>
    </row>
    <row r="5" customFormat="false" ht="15" hidden="false" customHeight="false" outlineLevel="0" collapsed="false">
      <c r="A5" s="12" t="s">
        <v>1</v>
      </c>
      <c r="B5" s="12"/>
      <c r="C5" s="12"/>
      <c r="I5" s="11"/>
    </row>
    <row r="6" customFormat="false" ht="12.75" hidden="false" customHeight="false" outlineLevel="0" collapsed="false">
      <c r="H6" s="13"/>
      <c r="I6" s="10"/>
      <c r="J6" s="14"/>
      <c r="K6" s="14"/>
    </row>
    <row r="7" customFormat="false" ht="15" hidden="false" customHeight="false" outlineLevel="0" collapsed="false">
      <c r="A7" s="15"/>
      <c r="B7" s="15"/>
    </row>
    <row r="8" customFormat="false" ht="12.75" hidden="false" customHeight="false" outlineLevel="0" collapsed="false">
      <c r="A8" s="16" t="s">
        <v>2</v>
      </c>
      <c r="B8" s="16" t="s">
        <v>3</v>
      </c>
      <c r="C8" s="16" t="s">
        <v>4</v>
      </c>
      <c r="D8" s="16" t="s">
        <v>5</v>
      </c>
      <c r="E8" s="16" t="s">
        <v>6</v>
      </c>
      <c r="F8" s="16" t="s">
        <v>7</v>
      </c>
      <c r="G8" s="16" t="s">
        <v>8</v>
      </c>
      <c r="H8" s="17" t="s">
        <v>9</v>
      </c>
      <c r="I8" s="16" t="s">
        <v>10</v>
      </c>
      <c r="J8" s="16" t="s">
        <v>11</v>
      </c>
      <c r="K8" s="16" t="s">
        <v>12</v>
      </c>
      <c r="L8" s="18" t="s">
        <v>13</v>
      </c>
      <c r="M8" s="18" t="s">
        <v>14</v>
      </c>
      <c r="N8" s="18" t="s">
        <v>15</v>
      </c>
    </row>
    <row r="9" customFormat="false" ht="12.75" hidden="false" customHeight="false" outlineLevel="0" collapsed="false">
      <c r="A9" s="19" t="n">
        <v>46003</v>
      </c>
      <c r="B9" s="19" t="s">
        <v>16</v>
      </c>
      <c r="C9" s="19"/>
      <c r="D9" s="20" t="s">
        <v>17</v>
      </c>
      <c r="E9" s="20" t="s">
        <v>18</v>
      </c>
      <c r="F9" s="21" t="n">
        <v>-500</v>
      </c>
      <c r="G9" s="22" t="n">
        <v>909.01</v>
      </c>
      <c r="H9" s="22" t="n">
        <v>888.99</v>
      </c>
      <c r="I9" s="23" t="n">
        <v>11259.9691785059</v>
      </c>
      <c r="J9" s="24" t="n">
        <v>-0.0220239601324518</v>
      </c>
      <c r="K9" s="25" t="n">
        <v>500000</v>
      </c>
      <c r="L9" s="26" t="n">
        <v>-7</v>
      </c>
      <c r="M9" s="27" t="n">
        <v>46027</v>
      </c>
      <c r="N9" s="27" t="n">
        <v>46028</v>
      </c>
      <c r="O9" s="28"/>
    </row>
    <row r="10" customFormat="false" ht="12.75" hidden="false" customHeight="false" outlineLevel="0" collapsed="false">
      <c r="A10" s="19" t="n">
        <v>46003</v>
      </c>
      <c r="B10" s="19" t="s">
        <v>16</v>
      </c>
      <c r="C10" s="19"/>
      <c r="D10" s="20" t="s">
        <v>17</v>
      </c>
      <c r="E10" s="20" t="s">
        <v>18</v>
      </c>
      <c r="F10" s="21" t="n">
        <v>-500</v>
      </c>
      <c r="G10" s="22" t="n">
        <v>909.08</v>
      </c>
      <c r="H10" s="22" t="n">
        <v>888.99</v>
      </c>
      <c r="I10" s="23" t="n">
        <v>11299.3397001091</v>
      </c>
      <c r="J10" s="24" t="n">
        <v>-0.0220992651911823</v>
      </c>
      <c r="K10" s="25" t="n">
        <v>500000</v>
      </c>
      <c r="L10" s="26" t="n">
        <v>-7</v>
      </c>
      <c r="M10" s="27" t="n">
        <v>46027</v>
      </c>
      <c r="N10" s="27" t="n">
        <v>46028</v>
      </c>
      <c r="O10" s="28"/>
    </row>
    <row r="11" customFormat="false" ht="12.75" hidden="false" customHeight="false" outlineLevel="0" collapsed="false">
      <c r="A11" s="19" t="n">
        <v>46006</v>
      </c>
      <c r="B11" s="19" t="s">
        <v>16</v>
      </c>
      <c r="C11" s="19"/>
      <c r="D11" s="20" t="s">
        <v>17</v>
      </c>
      <c r="E11" s="20" t="s">
        <v>18</v>
      </c>
      <c r="F11" s="21" t="n">
        <v>-500</v>
      </c>
      <c r="G11" s="22" t="n">
        <v>911.79</v>
      </c>
      <c r="H11" s="22" t="n">
        <v>888.99</v>
      </c>
      <c r="I11" s="23" t="n">
        <v>12823.5413221746</v>
      </c>
      <c r="J11" s="24" t="n">
        <v>-0.0250057579047807</v>
      </c>
      <c r="K11" s="25" t="n">
        <v>500000</v>
      </c>
      <c r="L11" s="26" t="n">
        <v>-7</v>
      </c>
      <c r="M11" s="27" t="n">
        <v>46027</v>
      </c>
      <c r="N11" s="27" t="n">
        <v>46028</v>
      </c>
      <c r="O11" s="28"/>
    </row>
    <row r="12" customFormat="false" ht="12.75" hidden="false" customHeight="false" outlineLevel="0" collapsed="false">
      <c r="A12" s="19" t="n">
        <v>46006</v>
      </c>
      <c r="B12" s="19" t="s">
        <v>16</v>
      </c>
      <c r="C12" s="19"/>
      <c r="D12" s="20" t="s">
        <v>17</v>
      </c>
      <c r="E12" s="20" t="s">
        <v>18</v>
      </c>
      <c r="F12" s="21" t="n">
        <v>-500</v>
      </c>
      <c r="G12" s="22" t="n">
        <v>905.86</v>
      </c>
      <c r="H12" s="22" t="n">
        <v>888.99</v>
      </c>
      <c r="I12" s="23" t="n">
        <v>9488.2957063634</v>
      </c>
      <c r="J12" s="24" t="n">
        <v>-0.0186231868059082</v>
      </c>
      <c r="K12" s="25" t="n">
        <v>500000</v>
      </c>
      <c r="L12" s="26" t="n">
        <v>-7</v>
      </c>
      <c r="M12" s="27" t="n">
        <v>46027</v>
      </c>
      <c r="N12" s="27" t="n">
        <v>46028</v>
      </c>
      <c r="O12" s="28"/>
    </row>
    <row r="13" customFormat="false" ht="12.75" hidden="false" customHeight="false" outlineLevel="0" collapsed="false">
      <c r="A13" s="19" t="n">
        <v>46009</v>
      </c>
      <c r="B13" s="19" t="s">
        <v>16</v>
      </c>
      <c r="C13" s="19"/>
      <c r="D13" s="20" t="s">
        <v>17</v>
      </c>
      <c r="E13" s="20" t="s">
        <v>18</v>
      </c>
      <c r="F13" s="21" t="n">
        <v>-500</v>
      </c>
      <c r="G13" s="22" t="n">
        <v>912.81</v>
      </c>
      <c r="H13" s="22" t="n">
        <v>888.99</v>
      </c>
      <c r="I13" s="23" t="n">
        <v>13397.226065535</v>
      </c>
      <c r="J13" s="24" t="n">
        <v>-0.0260952443553422</v>
      </c>
      <c r="K13" s="25" t="n">
        <v>500000</v>
      </c>
      <c r="L13" s="26" t="n">
        <v>-7</v>
      </c>
      <c r="M13" s="27" t="n">
        <v>46027</v>
      </c>
      <c r="N13" s="27" t="n">
        <v>46028</v>
      </c>
      <c r="O13" s="28"/>
    </row>
    <row r="14" customFormat="false" ht="12.75" hidden="false" customHeight="false" outlineLevel="0" collapsed="false">
      <c r="A14" s="19" t="n">
        <v>46009</v>
      </c>
      <c r="B14" s="19" t="s">
        <v>16</v>
      </c>
      <c r="C14" s="19"/>
      <c r="D14" s="20" t="s">
        <v>17</v>
      </c>
      <c r="E14" s="20" t="s">
        <v>18</v>
      </c>
      <c r="F14" s="21" t="n">
        <v>500</v>
      </c>
      <c r="G14" s="22" t="n">
        <v>911.15</v>
      </c>
      <c r="H14" s="22" t="n">
        <v>888.99</v>
      </c>
      <c r="I14" s="23" t="n">
        <v>-12463.5822675171</v>
      </c>
      <c r="J14" s="24" t="n">
        <v>-0.0243209131317565</v>
      </c>
      <c r="K14" s="25" t="n">
        <v>500000</v>
      </c>
      <c r="L14" s="26" t="n">
        <v>-7</v>
      </c>
      <c r="M14" s="27" t="n">
        <v>46027</v>
      </c>
      <c r="N14" s="27" t="n">
        <v>46028</v>
      </c>
      <c r="O14" s="28"/>
    </row>
    <row r="15" customFormat="false" ht="12.75" hidden="false" customHeight="false" outlineLevel="0" collapsed="false">
      <c r="A15" s="19" t="n">
        <v>46013</v>
      </c>
      <c r="B15" s="19" t="s">
        <v>16</v>
      </c>
      <c r="C15" s="19"/>
      <c r="D15" s="20" t="s">
        <v>17</v>
      </c>
      <c r="E15" s="20" t="s">
        <v>18</v>
      </c>
      <c r="F15" s="21" t="n">
        <v>500</v>
      </c>
      <c r="G15" s="22" t="n">
        <v>906.81</v>
      </c>
      <c r="H15" s="22" t="n">
        <v>888.99</v>
      </c>
      <c r="I15" s="23" t="n">
        <v>-10022.6099281206</v>
      </c>
      <c r="J15" s="24" t="n">
        <v>-0.0196513051245574</v>
      </c>
      <c r="K15" s="25" t="n">
        <v>500000</v>
      </c>
      <c r="L15" s="26" t="n">
        <v>-7</v>
      </c>
      <c r="M15" s="27" t="n">
        <v>46027</v>
      </c>
      <c r="N15" s="27" t="n">
        <v>46028</v>
      </c>
      <c r="O15" s="28"/>
    </row>
    <row r="16" customFormat="false" ht="12.75" hidden="false" customHeight="false" outlineLevel="0" collapsed="false">
      <c r="A16" s="19" t="n">
        <v>46013</v>
      </c>
      <c r="B16" s="19" t="s">
        <v>16</v>
      </c>
      <c r="C16" s="19"/>
      <c r="D16" s="20" t="s">
        <v>17</v>
      </c>
      <c r="E16" s="20" t="s">
        <v>18</v>
      </c>
      <c r="F16" s="21" t="n">
        <v>500</v>
      </c>
      <c r="G16" s="22" t="n">
        <v>906.56</v>
      </c>
      <c r="H16" s="22" t="n">
        <v>888.99</v>
      </c>
      <c r="I16" s="23" t="n">
        <v>-9882.00092239504</v>
      </c>
      <c r="J16" s="24" t="n">
        <v>-0.0193809565831274</v>
      </c>
      <c r="K16" s="25" t="n">
        <v>500000</v>
      </c>
      <c r="L16" s="26" t="n">
        <v>-7</v>
      </c>
      <c r="M16" s="27" t="n">
        <v>46027</v>
      </c>
      <c r="N16" s="27" t="n">
        <v>46028</v>
      </c>
      <c r="O16" s="28"/>
    </row>
    <row r="17" customFormat="false" ht="12.75" hidden="false" customHeight="false" outlineLevel="0" collapsed="false">
      <c r="A17" s="19" t="n">
        <v>46013</v>
      </c>
      <c r="B17" s="19" t="s">
        <v>16</v>
      </c>
      <c r="C17" s="19"/>
      <c r="D17" s="20" t="s">
        <v>17</v>
      </c>
      <c r="E17" s="20" t="s">
        <v>18</v>
      </c>
      <c r="F17" s="21" t="n">
        <v>500</v>
      </c>
      <c r="G17" s="22" t="n">
        <v>905.86</v>
      </c>
      <c r="H17" s="22" t="n">
        <v>888.99</v>
      </c>
      <c r="I17" s="23" t="n">
        <v>-9488.2957063634</v>
      </c>
      <c r="J17" s="24" t="n">
        <v>-0.0186231868059082</v>
      </c>
      <c r="K17" s="25" t="n">
        <v>500000</v>
      </c>
      <c r="L17" s="26" t="n">
        <v>-7</v>
      </c>
      <c r="M17" s="27" t="n">
        <v>46027</v>
      </c>
      <c r="N17" s="27" t="n">
        <v>46028</v>
      </c>
      <c r="O17" s="28"/>
    </row>
    <row r="18" customFormat="false" ht="12.75" hidden="false" customHeight="false" outlineLevel="0" collapsed="false">
      <c r="A18" s="19" t="n">
        <v>46015</v>
      </c>
      <c r="B18" s="19" t="s">
        <v>16</v>
      </c>
      <c r="C18" s="19"/>
      <c r="D18" s="20" t="s">
        <v>17</v>
      </c>
      <c r="E18" s="20" t="s">
        <v>18</v>
      </c>
      <c r="F18" s="21" t="n">
        <v>-500</v>
      </c>
      <c r="G18" s="22" t="n">
        <v>905.66</v>
      </c>
      <c r="H18" s="22" t="n">
        <v>888.99</v>
      </c>
      <c r="I18" s="23" t="n">
        <v>9375.8085017829</v>
      </c>
      <c r="J18" s="24" t="n">
        <v>-0.0184064660026941</v>
      </c>
      <c r="K18" s="25" t="n">
        <v>500000</v>
      </c>
      <c r="L18" s="26" t="n">
        <v>-7</v>
      </c>
      <c r="M18" s="27" t="n">
        <v>46027</v>
      </c>
      <c r="N18" s="27" t="n">
        <v>46028</v>
      </c>
      <c r="O18" s="28"/>
    </row>
    <row r="19" customFormat="false" ht="12.75" hidden="false" customHeight="false" outlineLevel="0" collapsed="false">
      <c r="A19" s="19" t="n">
        <v>46015</v>
      </c>
      <c r="B19" s="19" t="s">
        <v>16</v>
      </c>
      <c r="C19" s="19"/>
      <c r="D19" s="20" t="s">
        <v>17</v>
      </c>
      <c r="E19" s="20" t="s">
        <v>18</v>
      </c>
      <c r="F19" s="21" t="n">
        <v>-500</v>
      </c>
      <c r="G19" s="22" t="n">
        <v>904.13</v>
      </c>
      <c r="H19" s="22" t="n">
        <v>888.99</v>
      </c>
      <c r="I19" s="23" t="n">
        <v>8515.28138674225</v>
      </c>
      <c r="J19" s="24" t="n">
        <v>-0.0167453795361286</v>
      </c>
      <c r="K19" s="25" t="n">
        <v>500000</v>
      </c>
      <c r="L19" s="26" t="n">
        <v>-7</v>
      </c>
      <c r="M19" s="27" t="n">
        <v>46027</v>
      </c>
      <c r="N19" s="27" t="n">
        <v>46028</v>
      </c>
      <c r="O19" s="28"/>
    </row>
    <row r="20" customFormat="false" ht="12.75" hidden="false" customHeight="false" outlineLevel="0" collapsed="false">
      <c r="A20" s="19" t="n">
        <v>46024</v>
      </c>
      <c r="B20" s="19" t="s">
        <v>16</v>
      </c>
      <c r="C20" s="19"/>
      <c r="D20" s="20" t="s">
        <v>17</v>
      </c>
      <c r="E20" s="20" t="s">
        <v>18</v>
      </c>
      <c r="F20" s="21" t="n">
        <v>500</v>
      </c>
      <c r="G20" s="22" t="n">
        <v>899.8</v>
      </c>
      <c r="H20" s="22" t="n">
        <v>888.99</v>
      </c>
      <c r="I20" s="23" t="n">
        <v>-6079.93340757486</v>
      </c>
      <c r="J20" s="24" t="n">
        <v>-0.0120137808401866</v>
      </c>
      <c r="K20" s="25" t="n">
        <v>500000</v>
      </c>
      <c r="L20" s="26" t="n">
        <v>-7</v>
      </c>
      <c r="M20" s="27" t="n">
        <v>46027</v>
      </c>
      <c r="N20" s="27" t="n">
        <v>46028</v>
      </c>
      <c r="O20" s="28"/>
    </row>
    <row r="21" customFormat="false" ht="12.75" hidden="false" customHeight="false" outlineLevel="0" collapsed="false">
      <c r="A21" s="19"/>
      <c r="B21" s="19"/>
      <c r="C21" s="19"/>
      <c r="D21" s="20"/>
      <c r="E21" s="20"/>
      <c r="F21" s="21"/>
      <c r="G21" s="22"/>
      <c r="H21" s="22"/>
      <c r="I21" s="23"/>
      <c r="J21" s="24"/>
      <c r="K21" s="25"/>
      <c r="L21" s="26"/>
      <c r="M21" s="27"/>
      <c r="N21" s="27"/>
    </row>
    <row r="22" customFormat="false" ht="12.75" hidden="false" customHeight="false" outlineLevel="0" collapsed="false">
      <c r="A22" s="19"/>
      <c r="B22" s="19"/>
      <c r="C22" s="19"/>
      <c r="D22" s="20"/>
      <c r="E22" s="20"/>
      <c r="F22" s="21"/>
      <c r="G22" s="22"/>
      <c r="H22" s="22"/>
      <c r="I22" s="23"/>
      <c r="J22" s="24"/>
      <c r="K22" s="25"/>
      <c r="L22" s="26"/>
      <c r="M22" s="27"/>
      <c r="N22" s="27"/>
    </row>
    <row r="23" customFormat="false" ht="12.75" hidden="false" customHeight="false" outlineLevel="0" collapsed="false">
      <c r="A23" s="19"/>
      <c r="B23" s="19"/>
      <c r="C23" s="19"/>
      <c r="D23" s="20"/>
      <c r="E23" s="20"/>
      <c r="F23" s="21"/>
      <c r="G23" s="22"/>
      <c r="H23" s="22"/>
      <c r="I23" s="23"/>
      <c r="J23" s="24"/>
      <c r="K23" s="25"/>
      <c r="L23" s="26"/>
      <c r="M23" s="27"/>
      <c r="N23" s="27"/>
    </row>
    <row r="24" customFormat="false" ht="12.75" hidden="false" customHeight="false" outlineLevel="0" collapsed="false">
      <c r="A24" s="19"/>
      <c r="B24" s="19"/>
      <c r="C24" s="19"/>
      <c r="D24" s="20"/>
      <c r="E24" s="20"/>
      <c r="F24" s="21"/>
      <c r="G24" s="22"/>
      <c r="H24" s="22"/>
      <c r="I24" s="23"/>
      <c r="J24" s="24"/>
      <c r="K24" s="25"/>
      <c r="L24" s="26"/>
      <c r="M24" s="27"/>
      <c r="N24" s="27"/>
    </row>
    <row r="25" customFormat="false" ht="12.75" hidden="false" customHeight="false" outlineLevel="0" collapsed="false">
      <c r="A25" s="19"/>
      <c r="B25" s="19"/>
      <c r="C25" s="19"/>
      <c r="D25" s="20"/>
      <c r="E25" s="20"/>
      <c r="F25" s="21"/>
      <c r="G25" s="22"/>
      <c r="H25" s="22"/>
      <c r="I25" s="23"/>
      <c r="J25" s="24"/>
      <c r="K25" s="25"/>
      <c r="L25" s="26"/>
      <c r="M25" s="27"/>
      <c r="N25" s="27"/>
    </row>
    <row r="26" customFormat="false" ht="12.75" hidden="false" customHeight="false" outlineLevel="0" collapsed="false">
      <c r="A26" s="19"/>
      <c r="B26" s="19"/>
      <c r="C26" s="19"/>
      <c r="D26" s="20"/>
      <c r="E26" s="20"/>
      <c r="F26" s="21"/>
      <c r="G26" s="22"/>
      <c r="H26" s="22"/>
      <c r="I26" s="23"/>
      <c r="J26" s="24"/>
      <c r="K26" s="25"/>
      <c r="L26" s="26"/>
      <c r="M26" s="27"/>
      <c r="N26" s="27"/>
    </row>
    <row r="27" customFormat="false" ht="12.75" hidden="false" customHeight="false" outlineLevel="0" collapsed="false">
      <c r="A27" s="19"/>
      <c r="B27" s="19"/>
      <c r="C27" s="19"/>
      <c r="D27" s="20"/>
      <c r="E27" s="20"/>
      <c r="F27" s="21"/>
      <c r="G27" s="22"/>
      <c r="H27" s="22"/>
      <c r="I27" s="23"/>
      <c r="J27" s="24"/>
      <c r="K27" s="25"/>
      <c r="L27" s="26"/>
      <c r="M27" s="27"/>
      <c r="N27" s="27"/>
    </row>
    <row r="28" customFormat="false" ht="12.75" hidden="false" customHeight="false" outlineLevel="0" collapsed="false">
      <c r="A28" s="29" t="s">
        <v>19</v>
      </c>
      <c r="B28" s="30"/>
      <c r="C28" s="31"/>
      <c r="D28" s="30"/>
      <c r="E28" s="30"/>
      <c r="F28" s="32"/>
      <c r="G28" s="32"/>
      <c r="H28" s="33"/>
      <c r="I28" s="34"/>
      <c r="J28" s="35"/>
      <c r="K28" s="36"/>
      <c r="L28" s="37"/>
      <c r="M28" s="38"/>
      <c r="N28" s="38"/>
    </row>
    <row r="29" customFormat="false" ht="12.75" hidden="false" customHeight="false" outlineLevel="0" collapsed="false">
      <c r="A29" s="29"/>
      <c r="B29" s="29"/>
      <c r="C29" s="29"/>
      <c r="D29" s="30"/>
      <c r="E29" s="30"/>
      <c r="F29" s="33"/>
      <c r="G29" s="39"/>
      <c r="H29" s="39"/>
      <c r="I29" s="34"/>
      <c r="J29" s="40"/>
      <c r="K29" s="36"/>
      <c r="L29" s="41"/>
      <c r="M29" s="38"/>
      <c r="N29" s="38"/>
    </row>
    <row r="30" customFormat="false" ht="12.75" hidden="false" customHeight="false" outlineLevel="0" collapsed="false">
      <c r="A30" s="29"/>
      <c r="B30" s="29"/>
      <c r="C30" s="31"/>
      <c r="D30" s="30"/>
      <c r="E30" s="30"/>
      <c r="F30" s="32"/>
      <c r="G30" s="32"/>
      <c r="H30" s="32"/>
      <c r="I30" s="34" t="n">
        <v>28223.0396292422</v>
      </c>
      <c r="J30" s="40"/>
      <c r="K30" s="36"/>
      <c r="L30" s="42"/>
    </row>
    <row r="31" customFormat="false" ht="12.75" hidden="false" customHeight="false" outlineLevel="0" collapsed="false">
      <c r="F31" s="43"/>
      <c r="H31" s="44" t="s">
        <v>20</v>
      </c>
      <c r="I31" s="45" t="n">
        <v>0</v>
      </c>
      <c r="K31" s="42"/>
    </row>
    <row r="32" customFormat="false" ht="12.75" hidden="false" customHeight="false" outlineLevel="0" collapsed="false">
      <c r="F32" s="43"/>
      <c r="H32" s="44" t="s">
        <v>21</v>
      </c>
      <c r="I32" s="46" t="n">
        <v>0</v>
      </c>
      <c r="K32" s="42"/>
    </row>
    <row r="33" customFormat="false" ht="12.75" hidden="false" customHeight="false" outlineLevel="0" collapsed="false">
      <c r="F33" s="43"/>
      <c r="H33" s="44" t="s">
        <v>18</v>
      </c>
      <c r="I33" s="46" t="n">
        <v>0</v>
      </c>
      <c r="K33" s="42"/>
    </row>
    <row r="34" customFormat="false" ht="12.75" hidden="false" customHeight="false" outlineLevel="0" collapsed="false">
      <c r="E34" s="43"/>
      <c r="F34" s="43"/>
      <c r="G34" s="47"/>
      <c r="H34" s="44" t="s">
        <v>22</v>
      </c>
      <c r="I34" s="46" t="n">
        <v>0</v>
      </c>
      <c r="K34" s="42"/>
    </row>
    <row r="35" customFormat="false" ht="12.75" hidden="false" customHeight="false" outlineLevel="0" collapsed="false">
      <c r="E35" s="43"/>
      <c r="F35" s="43"/>
      <c r="H35" s="44" t="s">
        <v>23</v>
      </c>
      <c r="I35" s="46" t="n">
        <v>0</v>
      </c>
      <c r="K35" s="42"/>
    </row>
    <row r="36" customFormat="false" ht="12.75" hidden="false" customHeight="false" outlineLevel="0" collapsed="false">
      <c r="A36" s="48" t="s">
        <v>24</v>
      </c>
      <c r="B36" s="48"/>
      <c r="C36" s="48"/>
      <c r="D36" s="49"/>
      <c r="E36" s="43"/>
      <c r="F36" s="43"/>
      <c r="G36" s="50"/>
      <c r="H36" s="51"/>
      <c r="I36" s="52"/>
      <c r="J36" s="53"/>
      <c r="K36" s="54"/>
      <c r="L36" s="49"/>
    </row>
    <row r="37" customFormat="false" ht="12.75" hidden="false" customHeight="false" outlineLevel="0" collapsed="false">
      <c r="A37" s="49"/>
      <c r="B37" s="49"/>
      <c r="C37" s="49"/>
      <c r="D37" s="49"/>
      <c r="E37" s="49"/>
      <c r="F37" s="50"/>
      <c r="G37" s="50"/>
      <c r="H37" s="51"/>
      <c r="I37" s="55"/>
      <c r="J37" s="53"/>
      <c r="K37" s="49"/>
      <c r="L37" s="49"/>
    </row>
    <row r="38" customFormat="false" ht="12.75" hidden="false" customHeight="false" outlineLevel="0" collapsed="false">
      <c r="A38" s="49"/>
      <c r="B38" s="49"/>
      <c r="C38" s="49"/>
      <c r="D38" s="49"/>
      <c r="E38" s="49"/>
      <c r="F38" s="50"/>
      <c r="G38" s="49"/>
      <c r="H38" s="51"/>
      <c r="I38" s="56"/>
      <c r="J38" s="57"/>
      <c r="K38" s="49"/>
      <c r="L38" s="50"/>
    </row>
    <row r="39" customFormat="false" ht="12.75" hidden="false" customHeight="false" outlineLevel="0" collapsed="false">
      <c r="A39" s="18" t="s">
        <v>25</v>
      </c>
      <c r="B39" s="18" t="s">
        <v>3</v>
      </c>
      <c r="C39" s="18" t="s">
        <v>26</v>
      </c>
      <c r="D39" s="18" t="s">
        <v>5</v>
      </c>
      <c r="E39" s="18" t="s">
        <v>6</v>
      </c>
      <c r="F39" s="18" t="s">
        <v>7</v>
      </c>
      <c r="G39" s="18" t="s">
        <v>8</v>
      </c>
      <c r="H39" s="58" t="s">
        <v>9</v>
      </c>
      <c r="I39" s="16" t="s">
        <v>10</v>
      </c>
      <c r="J39" s="18" t="s">
        <v>11</v>
      </c>
      <c r="K39" s="18" t="s">
        <v>12</v>
      </c>
      <c r="L39" s="18" t="s">
        <v>13</v>
      </c>
      <c r="M39" s="18" t="s">
        <v>27</v>
      </c>
      <c r="N39" s="18" t="s">
        <v>28</v>
      </c>
    </row>
    <row r="40" customFormat="false" ht="13.8" hidden="false" customHeight="false" outlineLevel="0" collapsed="false">
      <c r="A40" s="59"/>
      <c r="B40" s="59"/>
      <c r="C40" s="60"/>
      <c r="D40" s="61" t="s">
        <v>17</v>
      </c>
      <c r="E40" s="61" t="s">
        <v>18</v>
      </c>
      <c r="F40" s="62"/>
      <c r="G40" s="62"/>
      <c r="H40" s="63" t="n">
        <v>898.49</v>
      </c>
      <c r="I40" s="64" t="n">
        <v>0</v>
      </c>
      <c r="J40" s="65"/>
      <c r="K40" s="66" t="n">
        <v>0</v>
      </c>
      <c r="L40" s="67"/>
      <c r="M40" s="68"/>
      <c r="N40" s="68"/>
      <c r="O40" s="69" t="n">
        <v>0</v>
      </c>
    </row>
    <row r="41" customFormat="false" ht="13.8" hidden="false" customHeight="false" outlineLevel="0" collapsed="false">
      <c r="A41" s="59" t="n">
        <v>46097</v>
      </c>
      <c r="B41" s="59" t="s">
        <v>29</v>
      </c>
      <c r="C41" s="60"/>
      <c r="D41" s="61" t="s">
        <v>17</v>
      </c>
      <c r="E41" s="61" t="s">
        <v>18</v>
      </c>
      <c r="F41" s="62" t="n">
        <v>1000</v>
      </c>
      <c r="G41" s="62" t="n">
        <v>917.59</v>
      </c>
      <c r="H41" s="63" t="n">
        <v>898.49</v>
      </c>
      <c r="I41" s="64" t="n">
        <v>-21.2578882347049</v>
      </c>
      <c r="J41" s="65" t="n">
        <v>-0.0208153968548045</v>
      </c>
      <c r="K41" s="66" t="n">
        <v>1000</v>
      </c>
      <c r="L41" s="67" t="n">
        <v>-20</v>
      </c>
      <c r="M41" s="68" t="n">
        <v>46105</v>
      </c>
      <c r="N41" s="68" t="n">
        <v>46106</v>
      </c>
      <c r="O41" s="69" t="s">
        <v>30</v>
      </c>
    </row>
    <row r="42" customFormat="false" ht="13.8" hidden="false" customHeight="false" outlineLevel="0" collapsed="false">
      <c r="A42" s="59" t="n">
        <v>46097</v>
      </c>
      <c r="B42" s="59" t="s">
        <v>29</v>
      </c>
      <c r="C42" s="60"/>
      <c r="D42" s="61" t="s">
        <v>17</v>
      </c>
      <c r="E42" s="61" t="s">
        <v>18</v>
      </c>
      <c r="F42" s="62" t="n">
        <v>1000</v>
      </c>
      <c r="G42" s="62" t="n">
        <v>916.24</v>
      </c>
      <c r="H42" s="63" t="n">
        <v>898.49</v>
      </c>
      <c r="I42" s="64" t="n">
        <v>-19.7553673385347</v>
      </c>
      <c r="J42" s="65" t="n">
        <v>-0.0193726534532437</v>
      </c>
      <c r="K42" s="66" t="n">
        <v>1000</v>
      </c>
      <c r="L42" s="67" t="n">
        <v>-20</v>
      </c>
      <c r="M42" s="68" t="n">
        <v>46105</v>
      </c>
      <c r="N42" s="68" t="n">
        <v>46106</v>
      </c>
      <c r="O42" s="69" t="s">
        <v>30</v>
      </c>
    </row>
    <row r="43" customFormat="false" ht="13.8" hidden="false" customHeight="false" outlineLevel="0" collapsed="false">
      <c r="A43" s="59" t="n">
        <v>46097</v>
      </c>
      <c r="B43" s="59" t="s">
        <v>29</v>
      </c>
      <c r="C43" s="60"/>
      <c r="D43" s="61" t="s">
        <v>17</v>
      </c>
      <c r="E43" s="61" t="s">
        <v>18</v>
      </c>
      <c r="F43" s="62" t="n">
        <v>-500</v>
      </c>
      <c r="G43" s="62" t="n">
        <v>910.73</v>
      </c>
      <c r="H43" s="63" t="n">
        <v>898.49</v>
      </c>
      <c r="I43" s="64" t="n">
        <v>6.81142806263843</v>
      </c>
      <c r="J43" s="65" t="n">
        <v>-0.0134397680981191</v>
      </c>
      <c r="K43" s="66" t="n">
        <v>500</v>
      </c>
      <c r="L43" s="67" t="n">
        <v>-20</v>
      </c>
      <c r="M43" s="68" t="n">
        <v>46105</v>
      </c>
      <c r="N43" s="68" t="n">
        <v>46106</v>
      </c>
      <c r="O43" s="69" t="s">
        <v>30</v>
      </c>
    </row>
    <row r="44" customFormat="false" ht="13.8" hidden="false" customHeight="false" outlineLevel="0" collapsed="false">
      <c r="A44" s="59" t="n">
        <v>46097</v>
      </c>
      <c r="B44" s="59" t="s">
        <v>29</v>
      </c>
      <c r="C44" s="60"/>
      <c r="D44" s="61" t="s">
        <v>17</v>
      </c>
      <c r="E44" s="61" t="s">
        <v>18</v>
      </c>
      <c r="F44" s="62" t="n">
        <v>500</v>
      </c>
      <c r="G44" s="62" t="n">
        <v>908.67</v>
      </c>
      <c r="H44" s="63" t="n">
        <v>898.49</v>
      </c>
      <c r="I44" s="64" t="n">
        <v>-5.66506026778259</v>
      </c>
      <c r="J44" s="65" t="n">
        <v>-0.011203187075616</v>
      </c>
      <c r="K44" s="66" t="n">
        <v>500</v>
      </c>
      <c r="L44" s="67" t="n">
        <v>-20</v>
      </c>
      <c r="M44" s="68" t="n">
        <v>46105</v>
      </c>
      <c r="N44" s="68" t="n">
        <v>46106</v>
      </c>
      <c r="O44" s="69" t="s">
        <v>30</v>
      </c>
    </row>
    <row r="45" customFormat="false" ht="13.8" hidden="false" customHeight="false" outlineLevel="0" collapsed="false">
      <c r="A45" s="59" t="n">
        <v>46097</v>
      </c>
      <c r="B45" s="59" t="s">
        <v>29</v>
      </c>
      <c r="C45" s="60"/>
      <c r="D45" s="61" t="s">
        <v>17</v>
      </c>
      <c r="E45" s="61" t="s">
        <v>18</v>
      </c>
      <c r="F45" s="62" t="n">
        <v>-500</v>
      </c>
      <c r="G45" s="62" t="n">
        <v>905.86</v>
      </c>
      <c r="H45" s="63" t="n">
        <v>898.49</v>
      </c>
      <c r="I45" s="64" t="n">
        <v>4.10132555732396</v>
      </c>
      <c r="J45" s="65" t="n">
        <v>-0.00813591504205949</v>
      </c>
      <c r="K45" s="66" t="n">
        <v>500</v>
      </c>
      <c r="L45" s="67" t="n">
        <v>-20</v>
      </c>
      <c r="M45" s="68" t="n">
        <v>46105</v>
      </c>
      <c r="N45" s="68" t="n">
        <v>46106</v>
      </c>
      <c r="O45" s="69" t="s">
        <v>30</v>
      </c>
    </row>
    <row r="46" customFormat="false" ht="13.8" hidden="false" customHeight="false" outlineLevel="0" collapsed="false">
      <c r="A46" s="59" t="n">
        <v>46097</v>
      </c>
      <c r="B46" s="59" t="s">
        <v>29</v>
      </c>
      <c r="C46" s="60"/>
      <c r="D46" s="61" t="s">
        <v>17</v>
      </c>
      <c r="E46" s="61" t="s">
        <v>18</v>
      </c>
      <c r="F46" s="62" t="n">
        <v>-500</v>
      </c>
      <c r="G46" s="62" t="n">
        <v>905.86</v>
      </c>
      <c r="H46" s="63" t="n">
        <v>898.49</v>
      </c>
      <c r="I46" s="64" t="n">
        <v>4.10132555732396</v>
      </c>
      <c r="J46" s="65" t="n">
        <v>-0.00813591504205949</v>
      </c>
      <c r="K46" s="66" t="n">
        <v>500</v>
      </c>
      <c r="L46" s="67" t="n">
        <v>-20</v>
      </c>
      <c r="M46" s="68" t="n">
        <v>46105</v>
      </c>
      <c r="N46" s="68" t="n">
        <v>46106</v>
      </c>
      <c r="O46" s="69" t="s">
        <v>30</v>
      </c>
    </row>
    <row r="47" customFormat="false" ht="13.8" hidden="false" customHeight="false" outlineLevel="0" collapsed="false">
      <c r="A47" s="59" t="n">
        <v>46097</v>
      </c>
      <c r="B47" s="59" t="s">
        <v>29</v>
      </c>
      <c r="C47" s="60"/>
      <c r="D47" s="61" t="s">
        <v>17</v>
      </c>
      <c r="E47" s="61" t="s">
        <v>18</v>
      </c>
      <c r="F47" s="62" t="n">
        <v>500</v>
      </c>
      <c r="G47" s="62" t="n">
        <v>909.5</v>
      </c>
      <c r="H47" s="63" t="n">
        <v>898.49</v>
      </c>
      <c r="I47" s="64" t="n">
        <v>-6.12694632104976</v>
      </c>
      <c r="J47" s="65" t="n">
        <v>-0.0121055525013744</v>
      </c>
      <c r="K47" s="66" t="n">
        <v>500</v>
      </c>
      <c r="L47" s="67" t="n">
        <v>-20</v>
      </c>
      <c r="M47" s="68" t="n">
        <v>46105</v>
      </c>
      <c r="N47" s="68" t="n">
        <v>46106</v>
      </c>
      <c r="O47" s="69" t="s">
        <v>30</v>
      </c>
    </row>
    <row r="48" customFormat="false" ht="13.8" hidden="false" customHeight="false" outlineLevel="0" collapsed="false">
      <c r="A48" s="59" t="n">
        <v>46097</v>
      </c>
      <c r="B48" s="59" t="s">
        <v>29</v>
      </c>
      <c r="C48" s="60"/>
      <c r="D48" s="61" t="s">
        <v>17</v>
      </c>
      <c r="E48" s="61" t="s">
        <v>18</v>
      </c>
      <c r="F48" s="62" t="n">
        <v>500</v>
      </c>
      <c r="G48" s="62" t="n">
        <v>910.82</v>
      </c>
      <c r="H48" s="63" t="n">
        <v>898.49</v>
      </c>
      <c r="I48" s="64" t="n">
        <v>-6.86151209251079</v>
      </c>
      <c r="J48" s="65" t="n">
        <v>-0.0135372521464176</v>
      </c>
      <c r="K48" s="66" t="n">
        <v>500</v>
      </c>
      <c r="L48" s="67" t="n">
        <v>-20</v>
      </c>
      <c r="M48" s="68" t="n">
        <v>46105</v>
      </c>
      <c r="N48" s="68" t="n">
        <v>46106</v>
      </c>
      <c r="O48" s="69" t="s">
        <v>30</v>
      </c>
    </row>
    <row r="49" customFormat="false" ht="13.8" hidden="false" customHeight="false" outlineLevel="0" collapsed="false">
      <c r="A49" s="59"/>
      <c r="B49" s="59"/>
      <c r="C49" s="60"/>
      <c r="D49" s="61" t="s">
        <v>17</v>
      </c>
      <c r="E49" s="61" t="s">
        <v>18</v>
      </c>
      <c r="F49" s="62"/>
      <c r="G49" s="62"/>
      <c r="H49" s="63" t="n">
        <v>898.49</v>
      </c>
      <c r="I49" s="64" t="n">
        <v>0</v>
      </c>
      <c r="J49" s="65"/>
      <c r="K49" s="66" t="n">
        <v>0</v>
      </c>
      <c r="L49" s="67"/>
      <c r="M49" s="68"/>
      <c r="N49" s="68"/>
      <c r="O49" s="69" t="n">
        <v>0</v>
      </c>
    </row>
    <row r="50" customFormat="false" ht="13.8" hidden="false" customHeight="false" outlineLevel="0" collapsed="false">
      <c r="A50" s="59"/>
      <c r="B50" s="59"/>
      <c r="C50" s="60"/>
      <c r="D50" s="61" t="s">
        <v>17</v>
      </c>
      <c r="E50" s="61" t="s">
        <v>18</v>
      </c>
      <c r="F50" s="62"/>
      <c r="G50" s="62"/>
      <c r="H50" s="63" t="n">
        <v>898.49</v>
      </c>
      <c r="I50" s="64" t="n">
        <v>0</v>
      </c>
      <c r="J50" s="65"/>
      <c r="K50" s="66" t="n">
        <v>0</v>
      </c>
      <c r="L50" s="67"/>
      <c r="M50" s="68"/>
      <c r="N50" s="68"/>
      <c r="O50" s="69" t="n">
        <v>0</v>
      </c>
    </row>
    <row r="51" customFormat="false" ht="13.8" hidden="false" customHeight="false" outlineLevel="0" collapsed="false">
      <c r="A51" s="59"/>
      <c r="B51" s="59"/>
      <c r="C51" s="60"/>
      <c r="D51" s="61" t="s">
        <v>17</v>
      </c>
      <c r="E51" s="61" t="s">
        <v>18</v>
      </c>
      <c r="F51" s="62"/>
      <c r="G51" s="62"/>
      <c r="H51" s="63" t="n">
        <v>898.49</v>
      </c>
      <c r="I51" s="64" t="n">
        <v>0</v>
      </c>
      <c r="J51" s="65"/>
      <c r="K51" s="66" t="n">
        <v>0</v>
      </c>
      <c r="L51" s="67"/>
      <c r="M51" s="68"/>
      <c r="N51" s="68"/>
      <c r="O51" s="69" t="n">
        <v>0</v>
      </c>
    </row>
    <row r="52" customFormat="false" ht="13.8" hidden="false" customHeight="false" outlineLevel="0" collapsed="false">
      <c r="A52" s="59"/>
      <c r="B52" s="59"/>
      <c r="C52" s="60"/>
      <c r="D52" s="61" t="s">
        <v>17</v>
      </c>
      <c r="E52" s="61" t="s">
        <v>18</v>
      </c>
      <c r="F52" s="62"/>
      <c r="G52" s="62"/>
      <c r="H52" s="63" t="n">
        <v>898.49</v>
      </c>
      <c r="I52" s="64" t="n">
        <v>0</v>
      </c>
      <c r="J52" s="65"/>
      <c r="K52" s="66" t="n">
        <v>0</v>
      </c>
      <c r="L52" s="67"/>
      <c r="M52" s="68"/>
      <c r="N52" s="68"/>
      <c r="O52" s="69" t="n">
        <v>0</v>
      </c>
    </row>
    <row r="53" customFormat="false" ht="13.8" hidden="false" customHeight="false" outlineLevel="0" collapsed="false">
      <c r="A53" s="59"/>
      <c r="B53" s="59"/>
      <c r="C53" s="60"/>
      <c r="D53" s="61" t="s">
        <v>17</v>
      </c>
      <c r="E53" s="61" t="s">
        <v>18</v>
      </c>
      <c r="F53" s="62"/>
      <c r="G53" s="62"/>
      <c r="H53" s="63" t="n">
        <v>898.49</v>
      </c>
      <c r="I53" s="64" t="n">
        <v>0</v>
      </c>
      <c r="J53" s="65"/>
      <c r="K53" s="66" t="n">
        <v>0</v>
      </c>
      <c r="L53" s="67"/>
      <c r="M53" s="68"/>
      <c r="N53" s="68"/>
      <c r="O53" s="69" t="n">
        <v>0</v>
      </c>
    </row>
    <row r="54" customFormat="false" ht="13.8" hidden="false" customHeight="false" outlineLevel="0" collapsed="false">
      <c r="A54" s="59"/>
      <c r="B54" s="59"/>
      <c r="C54" s="60"/>
      <c r="D54" s="61" t="s">
        <v>17</v>
      </c>
      <c r="E54" s="61" t="s">
        <v>18</v>
      </c>
      <c r="F54" s="62"/>
      <c r="G54" s="62"/>
      <c r="H54" s="63" t="n">
        <v>898.49</v>
      </c>
      <c r="I54" s="64" t="n">
        <v>0</v>
      </c>
      <c r="J54" s="65"/>
      <c r="K54" s="66" t="n">
        <v>0</v>
      </c>
      <c r="L54" s="67"/>
      <c r="M54" s="68"/>
      <c r="N54" s="68"/>
      <c r="O54" s="69" t="n">
        <v>0</v>
      </c>
    </row>
    <row r="55" customFormat="false" ht="13.8" hidden="false" customHeight="false" outlineLevel="0" collapsed="false">
      <c r="A55" s="59"/>
      <c r="B55" s="59"/>
      <c r="C55" s="60"/>
      <c r="D55" s="61" t="s">
        <v>17</v>
      </c>
      <c r="E55" s="61" t="s">
        <v>18</v>
      </c>
      <c r="F55" s="62"/>
      <c r="G55" s="62"/>
      <c r="H55" s="63" t="n">
        <v>898.49</v>
      </c>
      <c r="I55" s="64" t="n">
        <v>0</v>
      </c>
      <c r="J55" s="65"/>
      <c r="K55" s="66" t="n">
        <v>0</v>
      </c>
      <c r="L55" s="67"/>
      <c r="M55" s="68"/>
      <c r="N55" s="68"/>
      <c r="O55" s="69" t="n">
        <v>0</v>
      </c>
    </row>
    <row r="56" customFormat="false" ht="13.8" hidden="false" customHeight="false" outlineLevel="0" collapsed="false">
      <c r="A56" s="59"/>
      <c r="B56" s="59"/>
      <c r="C56" s="60"/>
      <c r="D56" s="61" t="s">
        <v>17</v>
      </c>
      <c r="E56" s="61" t="s">
        <v>18</v>
      </c>
      <c r="F56" s="62"/>
      <c r="G56" s="62"/>
      <c r="H56" s="63" t="n">
        <v>898.49</v>
      </c>
      <c r="I56" s="64" t="n">
        <v>0</v>
      </c>
      <c r="J56" s="65"/>
      <c r="K56" s="66" t="n">
        <v>0</v>
      </c>
      <c r="L56" s="67"/>
      <c r="M56" s="68"/>
      <c r="N56" s="68"/>
      <c r="O56" s="69" t="n">
        <v>0</v>
      </c>
    </row>
    <row r="57" customFormat="false" ht="13.8" hidden="false" customHeight="false" outlineLevel="0" collapsed="false">
      <c r="A57" s="59"/>
      <c r="B57" s="59"/>
      <c r="C57" s="60"/>
      <c r="D57" s="61" t="s">
        <v>17</v>
      </c>
      <c r="E57" s="61" t="s">
        <v>18</v>
      </c>
      <c r="F57" s="62"/>
      <c r="G57" s="62"/>
      <c r="H57" s="63" t="n">
        <v>898.49</v>
      </c>
      <c r="I57" s="64" t="n">
        <v>0</v>
      </c>
      <c r="J57" s="65"/>
      <c r="K57" s="66" t="n">
        <v>0</v>
      </c>
      <c r="L57" s="67"/>
      <c r="M57" s="68"/>
      <c r="N57" s="68"/>
      <c r="O57" s="69" t="n">
        <v>0</v>
      </c>
    </row>
    <row r="58" customFormat="false" ht="13.8" hidden="false" customHeight="false" outlineLevel="0" collapsed="false">
      <c r="A58" s="59"/>
      <c r="B58" s="59"/>
      <c r="C58" s="60"/>
      <c r="D58" s="61" t="s">
        <v>17</v>
      </c>
      <c r="E58" s="61" t="s">
        <v>18</v>
      </c>
      <c r="F58" s="62"/>
      <c r="G58" s="62"/>
      <c r="H58" s="63" t="n">
        <v>898.49</v>
      </c>
      <c r="I58" s="64" t="n">
        <v>0</v>
      </c>
      <c r="J58" s="65"/>
      <c r="K58" s="66" t="n">
        <v>0</v>
      </c>
      <c r="L58" s="67"/>
      <c r="M58" s="68"/>
      <c r="N58" s="68"/>
      <c r="O58" s="69" t="n">
        <v>0</v>
      </c>
    </row>
    <row r="59" customFormat="false" ht="13.8" hidden="false" customHeight="false" outlineLevel="0" collapsed="false">
      <c r="A59" s="59"/>
      <c r="B59" s="59"/>
      <c r="C59" s="60"/>
      <c r="D59" s="61" t="s">
        <v>17</v>
      </c>
      <c r="E59" s="61" t="s">
        <v>18</v>
      </c>
      <c r="F59" s="62"/>
      <c r="G59" s="62"/>
      <c r="H59" s="63" t="n">
        <v>898.49</v>
      </c>
      <c r="I59" s="64" t="n">
        <v>0</v>
      </c>
      <c r="J59" s="65"/>
      <c r="K59" s="66" t="n">
        <v>0</v>
      </c>
      <c r="L59" s="67"/>
      <c r="M59" s="68"/>
      <c r="N59" s="68"/>
      <c r="O59" s="69" t="n">
        <v>0</v>
      </c>
    </row>
    <row r="60" customFormat="false" ht="13.8" hidden="false" customHeight="false" outlineLevel="0" collapsed="false">
      <c r="A60" s="59"/>
      <c r="B60" s="59"/>
      <c r="C60" s="60"/>
      <c r="D60" s="61" t="s">
        <v>17</v>
      </c>
      <c r="E60" s="61" t="s">
        <v>18</v>
      </c>
      <c r="F60" s="62"/>
      <c r="G60" s="62"/>
      <c r="H60" s="63" t="n">
        <v>898.49</v>
      </c>
      <c r="I60" s="64" t="n">
        <v>0</v>
      </c>
      <c r="J60" s="65"/>
      <c r="K60" s="66" t="n">
        <v>0</v>
      </c>
      <c r="L60" s="67"/>
      <c r="M60" s="68"/>
      <c r="N60" s="68"/>
      <c r="O60" s="69" t="n">
        <v>0</v>
      </c>
    </row>
    <row r="61" customFormat="false" ht="13.8" hidden="false" customHeight="false" outlineLevel="0" collapsed="false">
      <c r="A61" s="59"/>
      <c r="B61" s="59"/>
      <c r="C61" s="60"/>
      <c r="D61" s="61" t="s">
        <v>17</v>
      </c>
      <c r="E61" s="61" t="s">
        <v>18</v>
      </c>
      <c r="F61" s="62"/>
      <c r="G61" s="62"/>
      <c r="H61" s="63" t="n">
        <v>898.49</v>
      </c>
      <c r="I61" s="64" t="n">
        <v>0</v>
      </c>
      <c r="J61" s="65"/>
      <c r="K61" s="66" t="n">
        <v>0</v>
      </c>
      <c r="L61" s="67"/>
      <c r="M61" s="68"/>
      <c r="N61" s="68"/>
      <c r="O61" s="69" t="n">
        <v>0</v>
      </c>
    </row>
    <row r="62" customFormat="false" ht="13.8" hidden="false" customHeight="false" outlineLevel="0" collapsed="false">
      <c r="A62" s="59"/>
      <c r="B62" s="59"/>
      <c r="C62" s="60"/>
      <c r="D62" s="61" t="s">
        <v>17</v>
      </c>
      <c r="E62" s="61" t="s">
        <v>18</v>
      </c>
      <c r="F62" s="62"/>
      <c r="G62" s="62"/>
      <c r="H62" s="63" t="n">
        <v>898.49</v>
      </c>
      <c r="I62" s="64" t="n">
        <v>0</v>
      </c>
      <c r="J62" s="65"/>
      <c r="K62" s="66" t="n">
        <v>0</v>
      </c>
      <c r="L62" s="67"/>
      <c r="M62" s="68"/>
      <c r="N62" s="68"/>
      <c r="O62" s="69" t="n">
        <v>0</v>
      </c>
    </row>
    <row r="63" customFormat="false" ht="13.8" hidden="false" customHeight="false" outlineLevel="0" collapsed="false">
      <c r="A63" s="59"/>
      <c r="B63" s="59"/>
      <c r="C63" s="60"/>
      <c r="D63" s="61" t="s">
        <v>17</v>
      </c>
      <c r="E63" s="61" t="s">
        <v>18</v>
      </c>
      <c r="F63" s="62"/>
      <c r="G63" s="62"/>
      <c r="H63" s="63" t="n">
        <v>898.49</v>
      </c>
      <c r="I63" s="64" t="n">
        <v>0</v>
      </c>
      <c r="J63" s="65"/>
      <c r="K63" s="66" t="n">
        <v>0</v>
      </c>
      <c r="L63" s="67"/>
      <c r="M63" s="68"/>
      <c r="N63" s="68"/>
      <c r="O63" s="69" t="n">
        <v>0</v>
      </c>
    </row>
    <row r="64" customFormat="false" ht="13.8" hidden="false" customHeight="false" outlineLevel="0" collapsed="false">
      <c r="A64" s="59"/>
      <c r="B64" s="59"/>
      <c r="C64" s="60"/>
      <c r="D64" s="61" t="s">
        <v>17</v>
      </c>
      <c r="E64" s="61" t="s">
        <v>18</v>
      </c>
      <c r="F64" s="62"/>
      <c r="G64" s="62"/>
      <c r="H64" s="63" t="n">
        <v>898.49</v>
      </c>
      <c r="I64" s="64" t="n">
        <v>0</v>
      </c>
      <c r="J64" s="65"/>
      <c r="K64" s="66" t="n">
        <v>0</v>
      </c>
      <c r="L64" s="67"/>
      <c r="M64" s="68"/>
      <c r="N64" s="68"/>
      <c r="O64" s="69" t="n">
        <v>0</v>
      </c>
    </row>
    <row r="65" customFormat="false" ht="13.8" hidden="false" customHeight="false" outlineLevel="0" collapsed="false">
      <c r="A65" s="59"/>
      <c r="B65" s="59"/>
      <c r="C65" s="60"/>
      <c r="D65" s="61" t="s">
        <v>17</v>
      </c>
      <c r="E65" s="61" t="s">
        <v>18</v>
      </c>
      <c r="F65" s="62"/>
      <c r="G65" s="62"/>
      <c r="H65" s="63" t="n">
        <v>898.49</v>
      </c>
      <c r="I65" s="64" t="n">
        <v>0</v>
      </c>
      <c r="J65" s="65"/>
      <c r="K65" s="66" t="n">
        <v>0</v>
      </c>
      <c r="L65" s="67"/>
      <c r="M65" s="68"/>
      <c r="N65" s="68"/>
      <c r="O65" s="69" t="n">
        <v>0</v>
      </c>
    </row>
    <row r="66" customFormat="false" ht="13.8" hidden="false" customHeight="false" outlineLevel="0" collapsed="false">
      <c r="A66" s="59"/>
      <c r="B66" s="59"/>
      <c r="C66" s="60"/>
      <c r="D66" s="61" t="s">
        <v>17</v>
      </c>
      <c r="E66" s="61" t="s">
        <v>18</v>
      </c>
      <c r="F66" s="62"/>
      <c r="G66" s="62"/>
      <c r="H66" s="63" t="n">
        <v>898.49</v>
      </c>
      <c r="I66" s="64" t="n">
        <v>0</v>
      </c>
      <c r="J66" s="65"/>
      <c r="K66" s="66" t="n">
        <v>0</v>
      </c>
      <c r="L66" s="67"/>
      <c r="M66" s="68"/>
      <c r="N66" s="68"/>
      <c r="O66" s="69" t="n">
        <v>0</v>
      </c>
    </row>
    <row r="67" customFormat="false" ht="13.8" hidden="false" customHeight="false" outlineLevel="0" collapsed="false">
      <c r="A67" s="59"/>
      <c r="B67" s="59"/>
      <c r="C67" s="60"/>
      <c r="D67" s="61" t="s">
        <v>17</v>
      </c>
      <c r="E67" s="61" t="s">
        <v>18</v>
      </c>
      <c r="F67" s="62"/>
      <c r="G67" s="62"/>
      <c r="H67" s="63" t="n">
        <v>898.49</v>
      </c>
      <c r="I67" s="64" t="n">
        <v>0</v>
      </c>
      <c r="J67" s="65"/>
      <c r="K67" s="66" t="n">
        <v>0</v>
      </c>
      <c r="L67" s="67"/>
      <c r="M67" s="68"/>
      <c r="N67" s="68"/>
      <c r="O67" s="69" t="n">
        <v>0</v>
      </c>
    </row>
    <row r="68" customFormat="false" ht="13.8" hidden="false" customHeight="false" outlineLevel="0" collapsed="false">
      <c r="A68" s="59"/>
      <c r="B68" s="59"/>
      <c r="C68" s="60"/>
      <c r="D68" s="61" t="s">
        <v>17</v>
      </c>
      <c r="E68" s="61" t="s">
        <v>18</v>
      </c>
      <c r="F68" s="62"/>
      <c r="G68" s="62"/>
      <c r="H68" s="63" t="n">
        <v>898.49</v>
      </c>
      <c r="I68" s="64" t="n">
        <v>0</v>
      </c>
      <c r="J68" s="65"/>
      <c r="K68" s="66" t="n">
        <v>0</v>
      </c>
      <c r="L68" s="67"/>
      <c r="M68" s="68"/>
      <c r="N68" s="68"/>
      <c r="O68" s="69" t="n">
        <v>0</v>
      </c>
    </row>
    <row r="69" customFormat="false" ht="13.8" hidden="false" customHeight="false" outlineLevel="0" collapsed="false">
      <c r="A69" s="59"/>
      <c r="B69" s="59"/>
      <c r="C69" s="60"/>
      <c r="D69" s="61" t="s">
        <v>17</v>
      </c>
      <c r="E69" s="61" t="s">
        <v>18</v>
      </c>
      <c r="F69" s="62"/>
      <c r="G69" s="62"/>
      <c r="H69" s="63" t="n">
        <v>898.49</v>
      </c>
      <c r="I69" s="64" t="n">
        <v>0</v>
      </c>
      <c r="J69" s="65"/>
      <c r="K69" s="66" t="n">
        <v>0</v>
      </c>
      <c r="L69" s="67"/>
      <c r="M69" s="68"/>
      <c r="N69" s="68"/>
      <c r="O69" s="69" t="n">
        <v>0</v>
      </c>
    </row>
    <row r="70" customFormat="false" ht="13.8" hidden="false" customHeight="false" outlineLevel="0" collapsed="false">
      <c r="A70" s="59"/>
      <c r="B70" s="59"/>
      <c r="C70" s="60"/>
      <c r="D70" s="61" t="s">
        <v>17</v>
      </c>
      <c r="E70" s="61" t="s">
        <v>18</v>
      </c>
      <c r="F70" s="62"/>
      <c r="G70" s="62"/>
      <c r="H70" s="63" t="n">
        <v>898.49</v>
      </c>
      <c r="I70" s="64" t="n">
        <v>0</v>
      </c>
      <c r="J70" s="65"/>
      <c r="K70" s="66" t="n">
        <v>0</v>
      </c>
      <c r="L70" s="67"/>
      <c r="M70" s="68"/>
      <c r="N70" s="68"/>
      <c r="O70" s="69" t="n">
        <v>0</v>
      </c>
    </row>
    <row r="71" customFormat="false" ht="13.8" hidden="false" customHeight="false" outlineLevel="0" collapsed="false">
      <c r="A71" s="59"/>
      <c r="B71" s="59"/>
      <c r="C71" s="60"/>
      <c r="D71" s="61" t="s">
        <v>17</v>
      </c>
      <c r="E71" s="61" t="s">
        <v>18</v>
      </c>
      <c r="F71" s="62"/>
      <c r="G71" s="62"/>
      <c r="H71" s="63" t="n">
        <v>898.49</v>
      </c>
      <c r="I71" s="64" t="n">
        <v>0</v>
      </c>
      <c r="J71" s="65"/>
      <c r="K71" s="66" t="n">
        <v>0</v>
      </c>
      <c r="L71" s="67"/>
      <c r="M71" s="68"/>
      <c r="N71" s="68"/>
      <c r="O71" s="69" t="n">
        <v>0</v>
      </c>
    </row>
    <row r="72" customFormat="false" ht="13.8" hidden="false" customHeight="false" outlineLevel="0" collapsed="false">
      <c r="A72" s="59"/>
      <c r="B72" s="59"/>
      <c r="C72" s="60"/>
      <c r="D72" s="61" t="s">
        <v>17</v>
      </c>
      <c r="E72" s="61" t="s">
        <v>18</v>
      </c>
      <c r="F72" s="62"/>
      <c r="G72" s="62"/>
      <c r="H72" s="63" t="n">
        <v>898.49</v>
      </c>
      <c r="I72" s="64" t="n">
        <v>0</v>
      </c>
      <c r="J72" s="65"/>
      <c r="K72" s="66" t="n">
        <v>0</v>
      </c>
      <c r="L72" s="67"/>
      <c r="M72" s="68"/>
      <c r="N72" s="68"/>
      <c r="O72" s="69" t="n">
        <v>0</v>
      </c>
    </row>
    <row r="73" customFormat="false" ht="13.8" hidden="false" customHeight="false" outlineLevel="0" collapsed="false">
      <c r="A73" s="59"/>
      <c r="B73" s="59"/>
      <c r="C73" s="60"/>
      <c r="D73" s="61" t="s">
        <v>17</v>
      </c>
      <c r="E73" s="61" t="s">
        <v>18</v>
      </c>
      <c r="F73" s="62"/>
      <c r="G73" s="62"/>
      <c r="H73" s="63" t="n">
        <v>898.49</v>
      </c>
      <c r="I73" s="64" t="n">
        <v>0</v>
      </c>
      <c r="J73" s="65"/>
      <c r="K73" s="66" t="n">
        <v>0</v>
      </c>
      <c r="L73" s="67"/>
      <c r="M73" s="68"/>
      <c r="N73" s="68"/>
      <c r="O73" s="69" t="n">
        <v>0</v>
      </c>
    </row>
    <row r="74" customFormat="false" ht="13.8" hidden="false" customHeight="false" outlineLevel="0" collapsed="false">
      <c r="A74" s="59"/>
      <c r="B74" s="59"/>
      <c r="C74" s="60"/>
      <c r="D74" s="61" t="s">
        <v>17</v>
      </c>
      <c r="E74" s="61" t="s">
        <v>18</v>
      </c>
      <c r="F74" s="62"/>
      <c r="G74" s="62"/>
      <c r="H74" s="63" t="n">
        <v>898.49</v>
      </c>
      <c r="I74" s="64" t="n">
        <v>0</v>
      </c>
      <c r="J74" s="65"/>
      <c r="K74" s="66" t="n">
        <v>0</v>
      </c>
      <c r="L74" s="67"/>
      <c r="M74" s="68"/>
      <c r="N74" s="68"/>
      <c r="O74" s="69" t="n">
        <v>0</v>
      </c>
    </row>
    <row r="75" customFormat="false" ht="13.8" hidden="false" customHeight="false" outlineLevel="0" collapsed="false">
      <c r="A75" s="59"/>
      <c r="B75" s="59"/>
      <c r="C75" s="60"/>
      <c r="D75" s="61" t="s">
        <v>17</v>
      </c>
      <c r="E75" s="61" t="s">
        <v>18</v>
      </c>
      <c r="F75" s="62"/>
      <c r="G75" s="62"/>
      <c r="H75" s="63" t="n">
        <v>898.49</v>
      </c>
      <c r="I75" s="64" t="n">
        <v>0</v>
      </c>
      <c r="J75" s="65"/>
      <c r="K75" s="66" t="n">
        <v>0</v>
      </c>
      <c r="L75" s="67"/>
      <c r="M75" s="68"/>
      <c r="N75" s="68"/>
      <c r="O75" s="69" t="n">
        <v>0</v>
      </c>
    </row>
    <row r="76" customFormat="false" ht="13.8" hidden="false" customHeight="false" outlineLevel="0" collapsed="false">
      <c r="A76" s="59"/>
      <c r="B76" s="59"/>
      <c r="C76" s="60"/>
      <c r="D76" s="61" t="s">
        <v>17</v>
      </c>
      <c r="E76" s="61" t="s">
        <v>18</v>
      </c>
      <c r="F76" s="62"/>
      <c r="G76" s="62"/>
      <c r="H76" s="63" t="n">
        <v>898.49</v>
      </c>
      <c r="I76" s="64" t="n">
        <v>0</v>
      </c>
      <c r="J76" s="65"/>
      <c r="K76" s="66" t="n">
        <v>0</v>
      </c>
      <c r="L76" s="67"/>
      <c r="M76" s="68"/>
      <c r="N76" s="68"/>
      <c r="O76" s="69" t="n">
        <v>0</v>
      </c>
    </row>
    <row r="77" customFormat="false" ht="13.8" hidden="false" customHeight="false" outlineLevel="0" collapsed="false">
      <c r="A77" s="59"/>
      <c r="B77" s="59"/>
      <c r="C77" s="60"/>
      <c r="D77" s="61" t="s">
        <v>17</v>
      </c>
      <c r="E77" s="61" t="s">
        <v>18</v>
      </c>
      <c r="F77" s="62"/>
      <c r="G77" s="62"/>
      <c r="H77" s="63" t="n">
        <v>898.49</v>
      </c>
      <c r="I77" s="64" t="n">
        <v>0</v>
      </c>
      <c r="J77" s="65"/>
      <c r="K77" s="66" t="n">
        <v>0</v>
      </c>
      <c r="L77" s="67"/>
      <c r="M77" s="68"/>
      <c r="N77" s="68"/>
      <c r="O77" s="69" t="n">
        <v>0</v>
      </c>
    </row>
    <row r="78" customFormat="false" ht="13.8" hidden="false" customHeight="false" outlineLevel="0" collapsed="false">
      <c r="A78" s="59"/>
      <c r="B78" s="59"/>
      <c r="C78" s="60"/>
      <c r="D78" s="61" t="s">
        <v>17</v>
      </c>
      <c r="E78" s="61" t="s">
        <v>18</v>
      </c>
      <c r="F78" s="62"/>
      <c r="G78" s="62"/>
      <c r="H78" s="63" t="n">
        <v>898.49</v>
      </c>
      <c r="I78" s="64" t="n">
        <v>0</v>
      </c>
      <c r="J78" s="65"/>
      <c r="K78" s="66" t="n">
        <v>0</v>
      </c>
      <c r="L78" s="67"/>
      <c r="M78" s="68"/>
      <c r="N78" s="68"/>
      <c r="O78" s="69" t="n">
        <v>0</v>
      </c>
    </row>
    <row r="79" customFormat="false" ht="13.8" hidden="false" customHeight="false" outlineLevel="0" collapsed="false">
      <c r="A79" s="59"/>
      <c r="B79" s="59"/>
      <c r="C79" s="60"/>
      <c r="D79" s="61" t="s">
        <v>17</v>
      </c>
      <c r="E79" s="61" t="s">
        <v>18</v>
      </c>
      <c r="F79" s="62"/>
      <c r="G79" s="62"/>
      <c r="H79" s="63" t="n">
        <v>898.49</v>
      </c>
      <c r="I79" s="64" t="n">
        <v>0</v>
      </c>
      <c r="J79" s="65"/>
      <c r="K79" s="66" t="n">
        <v>0</v>
      </c>
      <c r="L79" s="67"/>
      <c r="M79" s="68"/>
      <c r="N79" s="68"/>
      <c r="O79" s="69" t="n">
        <v>0</v>
      </c>
    </row>
    <row r="80" customFormat="false" ht="13.8" hidden="false" customHeight="false" outlineLevel="0" collapsed="false">
      <c r="A80" s="59"/>
      <c r="B80" s="59"/>
      <c r="C80" s="60"/>
      <c r="D80" s="61" t="s">
        <v>17</v>
      </c>
      <c r="E80" s="61" t="s">
        <v>18</v>
      </c>
      <c r="F80" s="62"/>
      <c r="G80" s="62"/>
      <c r="H80" s="63" t="n">
        <v>898.49</v>
      </c>
      <c r="I80" s="64" t="n">
        <v>0</v>
      </c>
      <c r="J80" s="65"/>
      <c r="K80" s="66" t="n">
        <v>0</v>
      </c>
      <c r="L80" s="67"/>
      <c r="M80" s="68"/>
      <c r="N80" s="68"/>
      <c r="O80" s="69" t="n">
        <v>0</v>
      </c>
    </row>
    <row r="81" customFormat="false" ht="13.8" hidden="false" customHeight="false" outlineLevel="0" collapsed="false">
      <c r="A81" s="59"/>
      <c r="B81" s="59"/>
      <c r="C81" s="60"/>
      <c r="D81" s="61" t="s">
        <v>17</v>
      </c>
      <c r="E81" s="61" t="s">
        <v>18</v>
      </c>
      <c r="F81" s="62"/>
      <c r="G81" s="62"/>
      <c r="H81" s="63" t="n">
        <v>898.49</v>
      </c>
      <c r="I81" s="64" t="n">
        <v>0</v>
      </c>
      <c r="J81" s="65"/>
      <c r="K81" s="66" t="n">
        <v>0</v>
      </c>
      <c r="L81" s="67"/>
      <c r="M81" s="68"/>
      <c r="N81" s="68"/>
      <c r="O81" s="69" t="n">
        <v>0</v>
      </c>
    </row>
    <row r="82" customFormat="false" ht="13.8" hidden="false" customHeight="false" outlineLevel="0" collapsed="false">
      <c r="A82" s="59"/>
      <c r="B82" s="59"/>
      <c r="C82" s="60"/>
      <c r="D82" s="61" t="s">
        <v>17</v>
      </c>
      <c r="E82" s="61" t="s">
        <v>18</v>
      </c>
      <c r="F82" s="62"/>
      <c r="G82" s="62"/>
      <c r="H82" s="63" t="n">
        <v>898.49</v>
      </c>
      <c r="I82" s="64" t="n">
        <v>0</v>
      </c>
      <c r="J82" s="65"/>
      <c r="K82" s="66" t="n">
        <v>0</v>
      </c>
      <c r="L82" s="67"/>
      <c r="M82" s="68"/>
      <c r="N82" s="68"/>
      <c r="O82" s="69" t="n">
        <v>0</v>
      </c>
    </row>
    <row r="83" customFormat="false" ht="13.8" hidden="false" customHeight="false" outlineLevel="0" collapsed="false">
      <c r="A83" s="59"/>
      <c r="B83" s="59"/>
      <c r="C83" s="60"/>
      <c r="D83" s="61" t="s">
        <v>17</v>
      </c>
      <c r="E83" s="61" t="s">
        <v>18</v>
      </c>
      <c r="F83" s="62"/>
      <c r="G83" s="62"/>
      <c r="H83" s="63" t="n">
        <v>898.49</v>
      </c>
      <c r="I83" s="64" t="n">
        <v>0</v>
      </c>
      <c r="J83" s="65"/>
      <c r="K83" s="66" t="n">
        <v>0</v>
      </c>
      <c r="L83" s="67"/>
      <c r="M83" s="68"/>
      <c r="N83" s="68"/>
      <c r="O83" s="69" t="n">
        <v>0</v>
      </c>
    </row>
    <row r="84" customFormat="false" ht="13.8" hidden="false" customHeight="false" outlineLevel="0" collapsed="false">
      <c r="A84" s="59"/>
      <c r="B84" s="59"/>
      <c r="C84" s="60"/>
      <c r="D84" s="61" t="s">
        <v>17</v>
      </c>
      <c r="E84" s="61" t="s">
        <v>18</v>
      </c>
      <c r="F84" s="62"/>
      <c r="G84" s="62"/>
      <c r="H84" s="63" t="n">
        <v>898.49</v>
      </c>
      <c r="I84" s="64" t="n">
        <v>0</v>
      </c>
      <c r="J84" s="65"/>
      <c r="K84" s="66" t="n">
        <v>0</v>
      </c>
      <c r="L84" s="67"/>
      <c r="M84" s="68"/>
      <c r="N84" s="68"/>
      <c r="O84" s="69" t="n">
        <v>0</v>
      </c>
    </row>
    <row r="85" customFormat="false" ht="13.8" hidden="false" customHeight="false" outlineLevel="0" collapsed="false">
      <c r="A85" s="59"/>
      <c r="B85" s="59"/>
      <c r="C85" s="60"/>
      <c r="D85" s="61" t="s">
        <v>17</v>
      </c>
      <c r="E85" s="61" t="s">
        <v>18</v>
      </c>
      <c r="F85" s="62"/>
      <c r="G85" s="62"/>
      <c r="H85" s="63" t="n">
        <v>898.49</v>
      </c>
      <c r="I85" s="64" t="n">
        <v>0</v>
      </c>
      <c r="J85" s="65"/>
      <c r="K85" s="66" t="n">
        <v>0</v>
      </c>
      <c r="L85" s="67"/>
      <c r="M85" s="68"/>
      <c r="N85" s="68"/>
      <c r="O85" s="69" t="n">
        <v>0</v>
      </c>
    </row>
    <row r="86" customFormat="false" ht="13.8" hidden="false" customHeight="false" outlineLevel="0" collapsed="false">
      <c r="A86" s="59"/>
      <c r="B86" s="59"/>
      <c r="C86" s="60"/>
      <c r="D86" s="61" t="s">
        <v>17</v>
      </c>
      <c r="E86" s="61" t="s">
        <v>18</v>
      </c>
      <c r="F86" s="62"/>
      <c r="G86" s="62"/>
      <c r="H86" s="63" t="n">
        <v>898.49</v>
      </c>
      <c r="I86" s="64" t="n">
        <v>0</v>
      </c>
      <c r="J86" s="65"/>
      <c r="K86" s="66" t="n">
        <v>0</v>
      </c>
      <c r="L86" s="67"/>
      <c r="M86" s="68"/>
      <c r="N86" s="68"/>
      <c r="O86" s="69" t="n">
        <v>0</v>
      </c>
    </row>
    <row r="87" customFormat="false" ht="13.8" hidden="false" customHeight="false" outlineLevel="0" collapsed="false">
      <c r="A87" s="59"/>
      <c r="B87" s="59"/>
      <c r="C87" s="60"/>
      <c r="D87" s="61" t="s">
        <v>17</v>
      </c>
      <c r="E87" s="61" t="s">
        <v>18</v>
      </c>
      <c r="F87" s="62"/>
      <c r="G87" s="62"/>
      <c r="H87" s="63" t="n">
        <v>898.49</v>
      </c>
      <c r="I87" s="64" t="n">
        <v>0</v>
      </c>
      <c r="J87" s="65"/>
      <c r="K87" s="66" t="n">
        <v>0</v>
      </c>
      <c r="L87" s="67"/>
      <c r="M87" s="68"/>
      <c r="N87" s="68"/>
      <c r="O87" s="69" t="n">
        <v>0</v>
      </c>
    </row>
    <row r="88" customFormat="false" ht="13.8" hidden="false" customHeight="false" outlineLevel="0" collapsed="false">
      <c r="A88" s="59"/>
      <c r="B88" s="59"/>
      <c r="C88" s="60"/>
      <c r="D88" s="61" t="s">
        <v>17</v>
      </c>
      <c r="E88" s="61" t="s">
        <v>18</v>
      </c>
      <c r="F88" s="62"/>
      <c r="G88" s="62"/>
      <c r="H88" s="63" t="n">
        <v>898.49</v>
      </c>
      <c r="I88" s="64" t="n">
        <v>0</v>
      </c>
      <c r="J88" s="65"/>
      <c r="K88" s="66" t="n">
        <v>0</v>
      </c>
      <c r="L88" s="67"/>
      <c r="M88" s="68"/>
      <c r="N88" s="68"/>
      <c r="O88" s="69" t="n">
        <v>0</v>
      </c>
    </row>
    <row r="89" customFormat="false" ht="13.8" hidden="false" customHeight="false" outlineLevel="0" collapsed="false">
      <c r="A89" s="59"/>
      <c r="B89" s="59"/>
      <c r="C89" s="60"/>
      <c r="D89" s="61" t="s">
        <v>17</v>
      </c>
      <c r="E89" s="61" t="s">
        <v>18</v>
      </c>
      <c r="F89" s="62"/>
      <c r="G89" s="62"/>
      <c r="H89" s="63" t="n">
        <v>898.49</v>
      </c>
      <c r="I89" s="64" t="n">
        <v>0</v>
      </c>
      <c r="J89" s="65"/>
      <c r="K89" s="66" t="n">
        <v>0</v>
      </c>
      <c r="L89" s="67"/>
      <c r="M89" s="68"/>
      <c r="N89" s="68"/>
      <c r="O89" s="69" t="n">
        <v>0</v>
      </c>
    </row>
    <row r="90" customFormat="false" ht="13.8" hidden="false" customHeight="false" outlineLevel="0" collapsed="false">
      <c r="A90" s="59"/>
      <c r="B90" s="59"/>
      <c r="C90" s="60"/>
      <c r="D90" s="61" t="s">
        <v>17</v>
      </c>
      <c r="E90" s="61" t="s">
        <v>18</v>
      </c>
      <c r="F90" s="62"/>
      <c r="G90" s="62"/>
      <c r="H90" s="63" t="n">
        <v>898.49</v>
      </c>
      <c r="I90" s="64" t="n">
        <v>0</v>
      </c>
      <c r="J90" s="65"/>
      <c r="K90" s="66" t="n">
        <v>0</v>
      </c>
      <c r="L90" s="67"/>
      <c r="M90" s="68"/>
      <c r="N90" s="68"/>
      <c r="O90" s="69" t="n">
        <v>0</v>
      </c>
    </row>
    <row r="91" customFormat="false" ht="13.8" hidden="false" customHeight="false" outlineLevel="0" collapsed="false">
      <c r="A91" s="59"/>
      <c r="B91" s="59"/>
      <c r="C91" s="60"/>
      <c r="D91" s="61" t="s">
        <v>17</v>
      </c>
      <c r="E91" s="61" t="s">
        <v>18</v>
      </c>
      <c r="F91" s="62"/>
      <c r="G91" s="62"/>
      <c r="H91" s="63" t="n">
        <v>898.49</v>
      </c>
      <c r="I91" s="64" t="n">
        <v>0</v>
      </c>
      <c r="J91" s="65"/>
      <c r="K91" s="66" t="n">
        <v>0</v>
      </c>
      <c r="L91" s="67"/>
      <c r="M91" s="68"/>
      <c r="N91" s="68"/>
      <c r="O91" s="69" t="n">
        <v>0</v>
      </c>
    </row>
    <row r="92" customFormat="false" ht="13.8" hidden="false" customHeight="false" outlineLevel="0" collapsed="false">
      <c r="A92" s="59"/>
      <c r="B92" s="59"/>
      <c r="C92" s="60"/>
      <c r="D92" s="61" t="s">
        <v>17</v>
      </c>
      <c r="E92" s="61" t="s">
        <v>18</v>
      </c>
      <c r="F92" s="62"/>
      <c r="G92" s="62"/>
      <c r="H92" s="63" t="n">
        <v>898.49</v>
      </c>
      <c r="I92" s="64" t="n">
        <v>0</v>
      </c>
      <c r="J92" s="65"/>
      <c r="K92" s="66" t="n">
        <v>0</v>
      </c>
      <c r="L92" s="67"/>
      <c r="M92" s="68"/>
      <c r="N92" s="68"/>
      <c r="O92" s="69" t="n">
        <v>0</v>
      </c>
    </row>
    <row r="93" customFormat="false" ht="13.8" hidden="false" customHeight="false" outlineLevel="0" collapsed="false">
      <c r="A93" s="59"/>
      <c r="B93" s="59"/>
      <c r="C93" s="60"/>
      <c r="D93" s="61" t="s">
        <v>17</v>
      </c>
      <c r="E93" s="61" t="s">
        <v>18</v>
      </c>
      <c r="F93" s="62"/>
      <c r="G93" s="62"/>
      <c r="H93" s="63" t="n">
        <v>898.49</v>
      </c>
      <c r="I93" s="64" t="n">
        <v>0</v>
      </c>
      <c r="J93" s="65"/>
      <c r="K93" s="66" t="n">
        <v>0</v>
      </c>
      <c r="L93" s="67"/>
      <c r="M93" s="68"/>
      <c r="N93" s="68"/>
      <c r="O93" s="69" t="n">
        <v>0</v>
      </c>
    </row>
    <row r="94" customFormat="false" ht="13.8" hidden="false" customHeight="false" outlineLevel="0" collapsed="false">
      <c r="A94" s="59"/>
      <c r="B94" s="59"/>
      <c r="C94" s="60"/>
      <c r="D94" s="61" t="s">
        <v>17</v>
      </c>
      <c r="E94" s="61" t="s">
        <v>18</v>
      </c>
      <c r="F94" s="62"/>
      <c r="G94" s="62"/>
      <c r="H94" s="63" t="n">
        <v>898.49</v>
      </c>
      <c r="I94" s="64" t="n">
        <v>0</v>
      </c>
      <c r="J94" s="65"/>
      <c r="K94" s="66" t="n">
        <v>0</v>
      </c>
      <c r="L94" s="67"/>
      <c r="M94" s="68"/>
      <c r="N94" s="68"/>
      <c r="O94" s="69" t="n">
        <v>0</v>
      </c>
    </row>
    <row r="95" customFormat="false" ht="13.8" hidden="false" customHeight="false" outlineLevel="0" collapsed="false">
      <c r="A95" s="59"/>
      <c r="B95" s="59"/>
      <c r="C95" s="60"/>
      <c r="D95" s="61" t="s">
        <v>17</v>
      </c>
      <c r="E95" s="61" t="s">
        <v>18</v>
      </c>
      <c r="F95" s="62"/>
      <c r="G95" s="62"/>
      <c r="H95" s="63" t="n">
        <v>898.49</v>
      </c>
      <c r="I95" s="64" t="n">
        <v>0</v>
      </c>
      <c r="J95" s="65"/>
      <c r="K95" s="66" t="n">
        <v>0</v>
      </c>
      <c r="L95" s="67"/>
      <c r="M95" s="68"/>
      <c r="N95" s="68"/>
      <c r="O95" s="69" t="n">
        <v>0</v>
      </c>
    </row>
    <row r="96" customFormat="false" ht="13.8" hidden="false" customHeight="false" outlineLevel="0" collapsed="false">
      <c r="A96" s="59"/>
      <c r="B96" s="59"/>
      <c r="C96" s="60"/>
      <c r="D96" s="61" t="s">
        <v>17</v>
      </c>
      <c r="E96" s="61" t="s">
        <v>18</v>
      </c>
      <c r="F96" s="62"/>
      <c r="G96" s="62"/>
      <c r="H96" s="63" t="n">
        <v>898.49</v>
      </c>
      <c r="I96" s="64" t="n">
        <v>0</v>
      </c>
      <c r="J96" s="65"/>
      <c r="K96" s="66" t="n">
        <v>0</v>
      </c>
      <c r="L96" s="67"/>
      <c r="M96" s="68"/>
      <c r="N96" s="68"/>
      <c r="O96" s="69" t="n">
        <v>0</v>
      </c>
    </row>
    <row r="97" customFormat="false" ht="13.8" hidden="false" customHeight="false" outlineLevel="0" collapsed="false">
      <c r="A97" s="59"/>
      <c r="B97" s="59"/>
      <c r="C97" s="60"/>
      <c r="D97" s="61" t="s">
        <v>17</v>
      </c>
      <c r="E97" s="61" t="s">
        <v>18</v>
      </c>
      <c r="F97" s="62"/>
      <c r="G97" s="62"/>
      <c r="H97" s="63" t="n">
        <v>898.49</v>
      </c>
      <c r="I97" s="64" t="n">
        <v>0</v>
      </c>
      <c r="J97" s="65"/>
      <c r="K97" s="66" t="n">
        <v>0</v>
      </c>
      <c r="L97" s="67"/>
      <c r="M97" s="68"/>
      <c r="N97" s="68"/>
      <c r="O97" s="69" t="n">
        <v>0</v>
      </c>
    </row>
    <row r="98" customFormat="false" ht="13.8" hidden="false" customHeight="false" outlineLevel="0" collapsed="false">
      <c r="A98" s="70" t="s">
        <v>19</v>
      </c>
      <c r="B98" s="71"/>
      <c r="C98" s="72"/>
      <c r="D98" s="71"/>
      <c r="E98" s="71"/>
      <c r="F98" s="73"/>
      <c r="G98" s="73"/>
      <c r="H98" s="74"/>
      <c r="I98" s="75"/>
      <c r="J98" s="76"/>
      <c r="K98" s="77"/>
      <c r="L98" s="78"/>
      <c r="M98" s="78"/>
      <c r="N98" s="79"/>
      <c r="O98" s="69"/>
    </row>
    <row r="99" customFormat="false" ht="13.8" hidden="false" customHeight="false" outlineLevel="0" collapsed="false">
      <c r="A99" s="49"/>
      <c r="B99" s="49"/>
      <c r="C99" s="49"/>
      <c r="D99" s="49"/>
      <c r="E99" s="49"/>
      <c r="F99" s="80" t="n">
        <v>2000</v>
      </c>
      <c r="G99" s="81"/>
      <c r="H99" s="82" t="s">
        <v>31</v>
      </c>
      <c r="I99" s="83" t="n">
        <v>-44.6526950772964</v>
      </c>
      <c r="J99" s="84"/>
      <c r="K99" s="49"/>
      <c r="L99" s="49"/>
      <c r="M99" s="49"/>
      <c r="N99" s="85"/>
      <c r="O99" s="69"/>
    </row>
    <row r="100" customFormat="false" ht="13.8" hidden="false" customHeight="false" outlineLevel="0" collapsed="false">
      <c r="F100" s="43"/>
      <c r="I100" s="56"/>
      <c r="O100" s="69"/>
    </row>
    <row r="101" customFormat="false" ht="13.8" hidden="false" customHeight="false" outlineLevel="0" collapsed="false">
      <c r="E101" s="33"/>
      <c r="F101" s="86"/>
      <c r="H101" s="44" t="s">
        <v>32</v>
      </c>
      <c r="I101" s="45" t="n">
        <v>0</v>
      </c>
      <c r="J101" s="13"/>
      <c r="L101" s="87"/>
      <c r="O101" s="69"/>
    </row>
    <row r="102" customFormat="false" ht="13.8" hidden="false" customHeight="false" outlineLevel="0" collapsed="false">
      <c r="E102" s="33"/>
      <c r="F102" s="88"/>
      <c r="G102" s="28"/>
      <c r="H102" s="44" t="s">
        <v>33</v>
      </c>
      <c r="I102" s="45" t="n">
        <v>0</v>
      </c>
      <c r="K102" s="89" t="n">
        <v>5</v>
      </c>
      <c r="L102" s="90" t="n">
        <v>0</v>
      </c>
      <c r="O102" s="69"/>
    </row>
    <row r="103" customFormat="false" ht="13.8" hidden="false" customHeight="false" outlineLevel="0" collapsed="false">
      <c r="E103" s="33"/>
      <c r="F103" s="91"/>
      <c r="H103" s="44" t="s">
        <v>22</v>
      </c>
      <c r="I103" s="46" t="n">
        <v>0</v>
      </c>
      <c r="K103" s="89" t="n">
        <v>7</v>
      </c>
      <c r="L103" s="90" t="n">
        <v>0</v>
      </c>
      <c r="O103" s="69"/>
    </row>
    <row r="104" customFormat="false" ht="13.8" hidden="false" customHeight="false" outlineLevel="0" collapsed="false">
      <c r="E104" s="33"/>
      <c r="F104" s="91"/>
      <c r="H104" s="44" t="s">
        <v>23</v>
      </c>
      <c r="I104" s="46" t="n">
        <v>0</v>
      </c>
      <c r="K104" s="89" t="n">
        <v>8</v>
      </c>
      <c r="L104" s="90" t="n">
        <v>0</v>
      </c>
      <c r="O104" s="69"/>
    </row>
    <row r="105" customFormat="false" ht="13.8" hidden="false" customHeight="false" outlineLevel="0" collapsed="false">
      <c r="E105" s="33"/>
      <c r="F105" s="91"/>
      <c r="G105" s="13"/>
      <c r="H105" s="33"/>
      <c r="I105" s="91"/>
      <c r="J105" s="43"/>
      <c r="K105" s="92" t="n">
        <v>12</v>
      </c>
      <c r="L105" s="90" t="n">
        <v>0</v>
      </c>
      <c r="O105" s="69"/>
    </row>
    <row r="106" customFormat="false" ht="13.8" hidden="false" customHeight="false" outlineLevel="0" collapsed="false">
      <c r="F106" s="43"/>
      <c r="G106" s="13"/>
      <c r="I106" s="10"/>
      <c r="J106" s="87"/>
      <c r="K106" s="89" t="n">
        <v>13</v>
      </c>
      <c r="L106" s="90" t="n">
        <v>0</v>
      </c>
      <c r="O106" s="69"/>
    </row>
    <row r="107" customFormat="false" ht="13.8" hidden="false" customHeight="false" outlineLevel="0" collapsed="false">
      <c r="A107" s="0" t="s">
        <v>34</v>
      </c>
      <c r="I107" s="56"/>
      <c r="J107" s="13"/>
      <c r="O107" s="69"/>
    </row>
    <row r="108" customFormat="false" ht="13.8" hidden="false" customHeight="false" outlineLevel="0" collapsed="false">
      <c r="A108" s="18" t="s">
        <v>25</v>
      </c>
      <c r="B108" s="18" t="s">
        <v>3</v>
      </c>
      <c r="C108" s="18" t="s">
        <v>26</v>
      </c>
      <c r="D108" s="18" t="s">
        <v>5</v>
      </c>
      <c r="E108" s="18" t="s">
        <v>6</v>
      </c>
      <c r="F108" s="18" t="s">
        <v>7</v>
      </c>
      <c r="G108" s="18" t="s">
        <v>8</v>
      </c>
      <c r="H108" s="58" t="s">
        <v>9</v>
      </c>
      <c r="I108" s="16" t="s">
        <v>10</v>
      </c>
      <c r="J108" s="18" t="s">
        <v>11</v>
      </c>
      <c r="K108" s="18" t="s">
        <v>12</v>
      </c>
      <c r="L108" s="18" t="s">
        <v>13</v>
      </c>
      <c r="M108" s="18" t="s">
        <v>14</v>
      </c>
      <c r="N108" s="18" t="s">
        <v>35</v>
      </c>
      <c r="O108" s="69"/>
    </row>
    <row r="109" customFormat="false" ht="13.8" hidden="false" customHeight="false" outlineLevel="0" collapsed="false">
      <c r="A109" s="93"/>
      <c r="B109" s="94"/>
      <c r="C109" s="95"/>
      <c r="D109" s="96" t="s">
        <v>36</v>
      </c>
      <c r="E109" s="96" t="s">
        <v>37</v>
      </c>
      <c r="F109" s="97"/>
      <c r="G109" s="98"/>
      <c r="H109" s="99" t="n">
        <v>5.0277</v>
      </c>
      <c r="I109" s="64" t="n">
        <v>0</v>
      </c>
      <c r="J109" s="65"/>
      <c r="K109" s="66" t="n">
        <v>0</v>
      </c>
      <c r="L109" s="67"/>
      <c r="M109" s="68"/>
      <c r="N109" s="68"/>
      <c r="O109" s="69" t="n">
        <v>0</v>
      </c>
    </row>
    <row r="110" customFormat="false" ht="13.8" hidden="false" customHeight="false" outlineLevel="0" collapsed="false">
      <c r="A110" s="93"/>
      <c r="B110" s="94"/>
      <c r="C110" s="95"/>
      <c r="D110" s="96" t="s">
        <v>36</v>
      </c>
      <c r="E110" s="96" t="s">
        <v>37</v>
      </c>
      <c r="F110" s="97"/>
      <c r="G110" s="98"/>
      <c r="H110" s="99" t="n">
        <v>5.0277</v>
      </c>
      <c r="I110" s="64" t="n">
        <v>0</v>
      </c>
      <c r="J110" s="65"/>
      <c r="K110" s="66" t="n">
        <v>0</v>
      </c>
      <c r="L110" s="67"/>
      <c r="M110" s="68"/>
      <c r="N110" s="68"/>
      <c r="O110" s="69" t="n">
        <v>0</v>
      </c>
    </row>
    <row r="111" customFormat="false" ht="13.8" hidden="false" customHeight="false" outlineLevel="0" collapsed="false">
      <c r="A111" s="100"/>
      <c r="B111" s="94"/>
      <c r="C111" s="95"/>
      <c r="D111" s="96"/>
      <c r="E111" s="96"/>
      <c r="F111" s="97"/>
      <c r="G111" s="101"/>
      <c r="H111" s="99"/>
      <c r="I111" s="64"/>
      <c r="J111" s="65"/>
      <c r="K111" s="66"/>
      <c r="L111" s="67"/>
      <c r="M111" s="68"/>
      <c r="N111" s="68"/>
      <c r="O111" s="69"/>
    </row>
    <row r="112" customFormat="false" ht="13.8" hidden="false" customHeight="false" outlineLevel="0" collapsed="false">
      <c r="E112" s="102"/>
      <c r="F112" s="103" t="n">
        <v>0</v>
      </c>
      <c r="G112" s="104"/>
      <c r="H112" s="105"/>
      <c r="I112" s="106" t="n">
        <v>0</v>
      </c>
      <c r="O112" s="69"/>
    </row>
    <row r="113" customFormat="false" ht="13.8" hidden="false" customHeight="false" outlineLevel="0" collapsed="false">
      <c r="A113" s="0" t="s">
        <v>19</v>
      </c>
      <c r="F113" s="107"/>
      <c r="G113" s="108"/>
      <c r="H113" s="13"/>
      <c r="I113" s="109"/>
      <c r="J113" s="13"/>
      <c r="K113" s="14"/>
      <c r="O113" s="69"/>
    </row>
    <row r="114" customFormat="false" ht="13.8" hidden="false" customHeight="false" outlineLevel="0" collapsed="false">
      <c r="A114" s="110" t="s">
        <v>38</v>
      </c>
      <c r="F114" s="13"/>
      <c r="G114" s="87"/>
      <c r="I114" s="52"/>
      <c r="O114" s="69"/>
    </row>
    <row r="115" customFormat="false" ht="13.8" hidden="false" customHeight="false" outlineLevel="0" collapsed="false">
      <c r="A115" s="18" t="s">
        <v>25</v>
      </c>
      <c r="B115" s="18" t="s">
        <v>3</v>
      </c>
      <c r="C115" s="18" t="s">
        <v>26</v>
      </c>
      <c r="D115" s="18" t="s">
        <v>5</v>
      </c>
      <c r="E115" s="18" t="s">
        <v>6</v>
      </c>
      <c r="F115" s="18" t="s">
        <v>7</v>
      </c>
      <c r="G115" s="18" t="s">
        <v>8</v>
      </c>
      <c r="H115" s="58" t="s">
        <v>9</v>
      </c>
      <c r="I115" s="16" t="s">
        <v>10</v>
      </c>
      <c r="J115" s="18" t="s">
        <v>11</v>
      </c>
      <c r="K115" s="18" t="s">
        <v>12</v>
      </c>
      <c r="L115" s="18" t="s">
        <v>13</v>
      </c>
      <c r="M115" s="18" t="s">
        <v>39</v>
      </c>
      <c r="N115" s="18" t="s">
        <v>35</v>
      </c>
      <c r="O115" s="69"/>
    </row>
    <row r="116" customFormat="false" ht="13.8" hidden="false" customHeight="false" outlineLevel="0" collapsed="false">
      <c r="A116" s="93"/>
      <c r="B116" s="94"/>
      <c r="C116" s="95"/>
      <c r="D116" s="96" t="s">
        <v>40</v>
      </c>
      <c r="E116" s="96" t="s">
        <v>41</v>
      </c>
      <c r="F116" s="97"/>
      <c r="G116" s="98"/>
      <c r="H116" s="99" t="n">
        <v>17.34455</v>
      </c>
      <c r="I116" s="64" t="n">
        <v>0</v>
      </c>
      <c r="J116" s="65"/>
      <c r="K116" s="66" t="n">
        <v>0</v>
      </c>
      <c r="L116" s="67"/>
      <c r="M116" s="68"/>
      <c r="N116" s="68"/>
      <c r="O116" s="69" t="n">
        <v>0</v>
      </c>
    </row>
    <row r="117" customFormat="false" ht="13.8" hidden="false" customHeight="false" outlineLevel="0" collapsed="false">
      <c r="A117" s="93"/>
      <c r="B117" s="94"/>
      <c r="C117" s="95"/>
      <c r="D117" s="96" t="s">
        <v>40</v>
      </c>
      <c r="E117" s="96" t="s">
        <v>41</v>
      </c>
      <c r="F117" s="97"/>
      <c r="G117" s="98"/>
      <c r="H117" s="99" t="n">
        <v>17.34455</v>
      </c>
      <c r="I117" s="64" t="n">
        <v>0</v>
      </c>
      <c r="J117" s="65"/>
      <c r="K117" s="66" t="n">
        <v>0</v>
      </c>
      <c r="L117" s="67"/>
      <c r="M117" s="68"/>
      <c r="N117" s="68"/>
      <c r="O117" s="69" t="n">
        <v>0</v>
      </c>
    </row>
    <row r="118" customFormat="false" ht="13.8" hidden="false" customHeight="false" outlineLevel="0" collapsed="false">
      <c r="A118" s="93"/>
      <c r="B118" s="94"/>
      <c r="C118" s="95"/>
      <c r="D118" s="96" t="s">
        <v>40</v>
      </c>
      <c r="E118" s="96" t="s">
        <v>41</v>
      </c>
      <c r="F118" s="97"/>
      <c r="G118" s="98"/>
      <c r="H118" s="99" t="n">
        <v>17.34455</v>
      </c>
      <c r="I118" s="64" t="n">
        <v>0</v>
      </c>
      <c r="J118" s="65"/>
      <c r="K118" s="66" t="n">
        <v>0</v>
      </c>
      <c r="L118" s="67"/>
      <c r="M118" s="68"/>
      <c r="N118" s="68"/>
      <c r="O118" s="69" t="n">
        <v>0</v>
      </c>
    </row>
    <row r="119" customFormat="false" ht="13.8" hidden="false" customHeight="false" outlineLevel="0" collapsed="false">
      <c r="A119" s="93"/>
      <c r="B119" s="94"/>
      <c r="C119" s="95"/>
      <c r="D119" s="96" t="s">
        <v>40</v>
      </c>
      <c r="E119" s="96" t="s">
        <v>41</v>
      </c>
      <c r="F119" s="97"/>
      <c r="G119" s="98"/>
      <c r="H119" s="99" t="n">
        <v>17.34455</v>
      </c>
      <c r="I119" s="64" t="n">
        <v>0</v>
      </c>
      <c r="J119" s="65"/>
      <c r="K119" s="66" t="n">
        <v>0</v>
      </c>
      <c r="L119" s="67"/>
      <c r="M119" s="68"/>
      <c r="N119" s="68"/>
      <c r="O119" s="69" t="n">
        <v>0</v>
      </c>
    </row>
    <row r="120" customFormat="false" ht="13.8" hidden="false" customHeight="false" outlineLevel="0" collapsed="false">
      <c r="D120" s="96" t="s">
        <v>42</v>
      </c>
      <c r="E120" s="111" t="e">
        <f aca="false">#REF!</f>
        <v>#REF!</v>
      </c>
      <c r="F120" s="103" t="n">
        <v>0</v>
      </c>
      <c r="G120" s="104"/>
      <c r="H120" s="105"/>
      <c r="I120" s="103" t="n">
        <v>0</v>
      </c>
      <c r="O120" s="69"/>
    </row>
    <row r="121" customFormat="false" ht="13.8" hidden="false" customHeight="false" outlineLevel="0" collapsed="false">
      <c r="D121" s="112" t="s">
        <v>43</v>
      </c>
      <c r="E121" s="113" t="e">
        <f aca="false">#REF!</f>
        <v>#REF!</v>
      </c>
      <c r="G121" s="114"/>
      <c r="J121" s="14"/>
      <c r="K121" s="107"/>
      <c r="O121" s="69"/>
    </row>
    <row r="122" customFormat="false" ht="13.8" hidden="false" customHeight="false" outlineLevel="0" collapsed="false">
      <c r="A122" s="0" t="s">
        <v>19</v>
      </c>
      <c r="F122" s="13"/>
      <c r="I122" s="115"/>
      <c r="J122" s="14"/>
      <c r="K122" s="14"/>
      <c r="L122" s="14"/>
      <c r="O122" s="69"/>
    </row>
    <row r="123" s="110" customFormat="true" ht="13.8" hidden="false" customHeight="false" outlineLevel="0" collapsed="false">
      <c r="A123" s="110" t="s">
        <v>44</v>
      </c>
      <c r="F123" s="13"/>
      <c r="H123" s="1"/>
      <c r="I123" s="115"/>
      <c r="J123" s="14"/>
      <c r="K123" s="14"/>
      <c r="L123" s="14"/>
      <c r="M123" s="3"/>
      <c r="N123" s="3"/>
      <c r="O123" s="69"/>
    </row>
    <row r="124" customFormat="false" ht="13.8" hidden="false" customHeight="false" outlineLevel="0" collapsed="false">
      <c r="A124" s="18" t="s">
        <v>25</v>
      </c>
      <c r="B124" s="18" t="s">
        <v>3</v>
      </c>
      <c r="C124" s="18" t="s">
        <v>26</v>
      </c>
      <c r="D124" s="18" t="s">
        <v>5</v>
      </c>
      <c r="E124" s="18" t="s">
        <v>6</v>
      </c>
      <c r="F124" s="18" t="s">
        <v>7</v>
      </c>
      <c r="G124" s="18" t="s">
        <v>8</v>
      </c>
      <c r="H124" s="58" t="s">
        <v>9</v>
      </c>
      <c r="I124" s="16" t="s">
        <v>10</v>
      </c>
      <c r="J124" s="18" t="s">
        <v>11</v>
      </c>
      <c r="K124" s="18" t="s">
        <v>12</v>
      </c>
      <c r="L124" s="18" t="s">
        <v>13</v>
      </c>
      <c r="M124" s="18" t="s">
        <v>35</v>
      </c>
      <c r="N124" s="18"/>
      <c r="O124" s="69" t="n">
        <v>0</v>
      </c>
    </row>
    <row r="125" customFormat="false" ht="13.8" hidden="false" customHeight="false" outlineLevel="0" collapsed="false">
      <c r="A125" s="93"/>
      <c r="B125" s="94"/>
      <c r="C125" s="95"/>
      <c r="D125" s="116" t="s">
        <v>45</v>
      </c>
      <c r="E125" s="116" t="s">
        <v>46</v>
      </c>
      <c r="F125" s="97"/>
      <c r="G125" s="101"/>
      <c r="H125" s="101" t="n">
        <v>16.47525</v>
      </c>
      <c r="I125" s="64" t="n">
        <v>0</v>
      </c>
      <c r="J125" s="117"/>
      <c r="K125" s="66" t="n">
        <v>0</v>
      </c>
      <c r="L125" s="67"/>
      <c r="M125" s="68"/>
      <c r="N125" s="68"/>
      <c r="O125" s="69" t="n">
        <v>0</v>
      </c>
    </row>
    <row r="126" customFormat="false" ht="13.8" hidden="false" customHeight="false" outlineLevel="0" collapsed="false">
      <c r="A126" s="93"/>
      <c r="B126" s="94"/>
      <c r="C126" s="95"/>
      <c r="D126" s="116" t="s">
        <v>45</v>
      </c>
      <c r="E126" s="116" t="s">
        <v>46</v>
      </c>
      <c r="F126" s="97"/>
      <c r="G126" s="101"/>
      <c r="H126" s="101" t="n">
        <v>16.47525</v>
      </c>
      <c r="I126" s="64" t="n">
        <v>0</v>
      </c>
      <c r="J126" s="117"/>
      <c r="K126" s="66" t="n">
        <v>0</v>
      </c>
      <c r="L126" s="67"/>
      <c r="M126" s="68"/>
      <c r="N126" s="68"/>
      <c r="O126" s="69" t="n">
        <v>0</v>
      </c>
    </row>
    <row r="127" customFormat="false" ht="13.8" hidden="false" customHeight="false" outlineLevel="0" collapsed="false">
      <c r="A127" s="93"/>
      <c r="B127" s="94"/>
      <c r="C127" s="95"/>
      <c r="D127" s="116" t="s">
        <v>45</v>
      </c>
      <c r="E127" s="116" t="s">
        <v>46</v>
      </c>
      <c r="F127" s="97"/>
      <c r="G127" s="101"/>
      <c r="H127" s="101" t="n">
        <v>16.47525</v>
      </c>
      <c r="I127" s="64" t="n">
        <v>0</v>
      </c>
      <c r="J127" s="117"/>
      <c r="K127" s="66" t="n">
        <v>0</v>
      </c>
      <c r="L127" s="67"/>
      <c r="M127" s="68"/>
      <c r="N127" s="68"/>
      <c r="O127" s="69" t="n">
        <v>0</v>
      </c>
    </row>
    <row r="128" customFormat="false" ht="13.8" hidden="false" customHeight="false" outlineLevel="0" collapsed="false">
      <c r="D128" s="96" t="s">
        <v>42</v>
      </c>
      <c r="E128" s="111" t="e">
        <f aca="false">#REF!</f>
        <v>#REF!</v>
      </c>
      <c r="F128" s="103" t="n">
        <v>0</v>
      </c>
      <c r="G128" s="104"/>
      <c r="H128" s="105"/>
      <c r="I128" s="103" t="n">
        <v>0</v>
      </c>
      <c r="O128" s="69"/>
    </row>
    <row r="129" customFormat="false" ht="13.8" hidden="false" customHeight="false" outlineLevel="0" collapsed="false">
      <c r="D129" s="112" t="s">
        <v>43</v>
      </c>
      <c r="E129" s="113" t="e">
        <f aca="false">#REF!</f>
        <v>#REF!</v>
      </c>
      <c r="J129" s="14"/>
      <c r="K129" s="14"/>
      <c r="O129" s="69"/>
    </row>
    <row r="130" customFormat="false" ht="13.8" hidden="false" customHeight="false" outlineLevel="0" collapsed="false">
      <c r="A130" s="0" t="s">
        <v>19</v>
      </c>
      <c r="F130" s="13"/>
      <c r="O130" s="69"/>
    </row>
    <row r="131" s="110" customFormat="true" ht="13.8" hidden="false" customHeight="false" outlineLevel="0" collapsed="false">
      <c r="A131" s="110" t="s">
        <v>47</v>
      </c>
      <c r="F131" s="13"/>
      <c r="H131" s="1"/>
      <c r="I131" s="2"/>
      <c r="M131" s="3"/>
      <c r="N131" s="3"/>
      <c r="O131" s="69"/>
    </row>
    <row r="132" customFormat="false" ht="13.8" hidden="false" customHeight="false" outlineLevel="0" collapsed="false">
      <c r="A132" s="18" t="s">
        <v>25</v>
      </c>
      <c r="B132" s="18" t="s">
        <v>3</v>
      </c>
      <c r="C132" s="18" t="s">
        <v>26</v>
      </c>
      <c r="D132" s="18" t="s">
        <v>5</v>
      </c>
      <c r="E132" s="18" t="s">
        <v>6</v>
      </c>
      <c r="F132" s="18" t="s">
        <v>7</v>
      </c>
      <c r="G132" s="18" t="s">
        <v>8</v>
      </c>
      <c r="H132" s="58" t="s">
        <v>9</v>
      </c>
      <c r="I132" s="16" t="s">
        <v>10</v>
      </c>
      <c r="J132" s="18" t="s">
        <v>11</v>
      </c>
      <c r="K132" s="18" t="s">
        <v>12</v>
      </c>
      <c r="L132" s="18" t="s">
        <v>13</v>
      </c>
      <c r="M132" s="18" t="s">
        <v>14</v>
      </c>
      <c r="N132" s="18" t="s">
        <v>35</v>
      </c>
      <c r="O132" s="69" t="n">
        <v>0</v>
      </c>
    </row>
    <row r="133" customFormat="false" ht="13.8" hidden="false" customHeight="false" outlineLevel="0" collapsed="false">
      <c r="A133" s="93"/>
      <c r="B133" s="94"/>
      <c r="C133" s="95"/>
      <c r="D133" s="96" t="s">
        <v>48</v>
      </c>
      <c r="E133" s="96" t="s">
        <v>49</v>
      </c>
      <c r="F133" s="97"/>
      <c r="G133" s="101"/>
      <c r="H133" s="99" t="n">
        <v>1.1717</v>
      </c>
      <c r="I133" s="118" t="n">
        <v>0</v>
      </c>
      <c r="J133" s="65"/>
      <c r="K133" s="66" t="n">
        <v>0</v>
      </c>
      <c r="L133" s="67"/>
      <c r="M133" s="68"/>
      <c r="N133" s="68"/>
      <c r="O133" s="69" t="n">
        <v>0</v>
      </c>
    </row>
    <row r="134" customFormat="false" ht="13.8" hidden="false" customHeight="false" outlineLevel="0" collapsed="false">
      <c r="A134" s="93"/>
      <c r="B134" s="94"/>
      <c r="C134" s="95"/>
      <c r="D134" s="96" t="s">
        <v>48</v>
      </c>
      <c r="E134" s="96" t="s">
        <v>49</v>
      </c>
      <c r="F134" s="97"/>
      <c r="G134" s="101"/>
      <c r="H134" s="99" t="n">
        <v>1.1717</v>
      </c>
      <c r="I134" s="118" t="n">
        <v>0</v>
      </c>
      <c r="J134" s="65"/>
      <c r="K134" s="66" t="n">
        <v>0</v>
      </c>
      <c r="L134" s="67"/>
      <c r="M134" s="68"/>
      <c r="N134" s="68"/>
      <c r="O134" s="69" t="n">
        <v>0</v>
      </c>
    </row>
    <row r="135" customFormat="false" ht="13.8" hidden="false" customHeight="false" outlineLevel="0" collapsed="false">
      <c r="A135" s="93"/>
      <c r="B135" s="94"/>
      <c r="C135" s="95"/>
      <c r="D135" s="96" t="s">
        <v>48</v>
      </c>
      <c r="E135" s="96" t="s">
        <v>49</v>
      </c>
      <c r="F135" s="97"/>
      <c r="G135" s="101"/>
      <c r="H135" s="99" t="n">
        <v>1.1717</v>
      </c>
      <c r="I135" s="118" t="n">
        <v>0</v>
      </c>
      <c r="J135" s="65"/>
      <c r="K135" s="66" t="n">
        <v>0</v>
      </c>
      <c r="L135" s="67"/>
      <c r="M135" s="68"/>
      <c r="N135" s="68"/>
      <c r="O135" s="69" t="n">
        <v>0</v>
      </c>
    </row>
    <row r="136" customFormat="false" ht="13.8" hidden="false" customHeight="false" outlineLevel="0" collapsed="false">
      <c r="A136" s="93"/>
      <c r="B136" s="94"/>
      <c r="C136" s="95"/>
      <c r="D136" s="96" t="s">
        <v>48</v>
      </c>
      <c r="E136" s="96" t="s">
        <v>49</v>
      </c>
      <c r="F136" s="97"/>
      <c r="G136" s="101"/>
      <c r="H136" s="99" t="n">
        <v>1.1717</v>
      </c>
      <c r="I136" s="118" t="n">
        <v>0</v>
      </c>
      <c r="J136" s="65"/>
      <c r="K136" s="66" t="n">
        <v>0</v>
      </c>
      <c r="L136" s="67"/>
      <c r="M136" s="68"/>
      <c r="N136" s="68"/>
      <c r="O136" s="69" t="n">
        <v>0</v>
      </c>
    </row>
    <row r="137" customFormat="false" ht="13.8" hidden="false" customHeight="false" outlineLevel="0" collapsed="false">
      <c r="A137" s="93"/>
      <c r="B137" s="94"/>
      <c r="C137" s="95"/>
      <c r="D137" s="96" t="s">
        <v>48</v>
      </c>
      <c r="E137" s="96" t="s">
        <v>49</v>
      </c>
      <c r="F137" s="97"/>
      <c r="G137" s="101"/>
      <c r="H137" s="99" t="n">
        <v>1.1717</v>
      </c>
      <c r="I137" s="118" t="n">
        <v>0</v>
      </c>
      <c r="J137" s="65"/>
      <c r="K137" s="66" t="n">
        <v>0</v>
      </c>
      <c r="L137" s="67"/>
      <c r="M137" s="68"/>
      <c r="N137" s="68"/>
      <c r="O137" s="69" t="n">
        <v>0</v>
      </c>
    </row>
    <row r="138" customFormat="false" ht="13.8" hidden="false" customHeight="false" outlineLevel="0" collapsed="false">
      <c r="A138" s="93"/>
      <c r="B138" s="94"/>
      <c r="C138" s="95"/>
      <c r="D138" s="96" t="s">
        <v>48</v>
      </c>
      <c r="E138" s="96" t="s">
        <v>49</v>
      </c>
      <c r="F138" s="97"/>
      <c r="G138" s="101"/>
      <c r="H138" s="99" t="n">
        <v>1.1717</v>
      </c>
      <c r="I138" s="118" t="n">
        <v>0</v>
      </c>
      <c r="J138" s="65"/>
      <c r="K138" s="66" t="n">
        <v>0</v>
      </c>
      <c r="L138" s="67"/>
      <c r="M138" s="68"/>
      <c r="N138" s="68"/>
      <c r="O138" s="69" t="n">
        <v>0</v>
      </c>
    </row>
    <row r="139" customFormat="false" ht="13.8" hidden="false" customHeight="false" outlineLevel="0" collapsed="false">
      <c r="A139" s="93"/>
      <c r="B139" s="94"/>
      <c r="C139" s="95"/>
      <c r="D139" s="96" t="s">
        <v>48</v>
      </c>
      <c r="E139" s="96" t="s">
        <v>49</v>
      </c>
      <c r="F139" s="97"/>
      <c r="G139" s="101"/>
      <c r="H139" s="99" t="n">
        <v>1.1717</v>
      </c>
      <c r="I139" s="118" t="n">
        <v>0</v>
      </c>
      <c r="J139" s="65"/>
      <c r="K139" s="66" t="n">
        <v>0</v>
      </c>
      <c r="L139" s="67"/>
      <c r="M139" s="68"/>
      <c r="N139" s="68"/>
      <c r="O139" s="69" t="n">
        <v>0</v>
      </c>
    </row>
    <row r="140" customFormat="false" ht="13.8" hidden="false" customHeight="false" outlineLevel="0" collapsed="false">
      <c r="A140" s="93"/>
      <c r="B140" s="94"/>
      <c r="C140" s="95"/>
      <c r="D140" s="96" t="s">
        <v>48</v>
      </c>
      <c r="E140" s="96" t="s">
        <v>49</v>
      </c>
      <c r="F140" s="97"/>
      <c r="G140" s="101"/>
      <c r="H140" s="99" t="n">
        <v>1.1717</v>
      </c>
      <c r="I140" s="118" t="n">
        <v>0</v>
      </c>
      <c r="J140" s="65"/>
      <c r="K140" s="66" t="n">
        <v>0</v>
      </c>
      <c r="L140" s="67"/>
      <c r="M140" s="68"/>
      <c r="N140" s="68"/>
      <c r="O140" s="69" t="n">
        <v>0</v>
      </c>
    </row>
    <row r="141" customFormat="false" ht="13.8" hidden="false" customHeight="false" outlineLevel="0" collapsed="false">
      <c r="A141" s="93"/>
      <c r="B141" s="94"/>
      <c r="C141" s="95"/>
      <c r="D141" s="96" t="s">
        <v>48</v>
      </c>
      <c r="E141" s="96" t="s">
        <v>49</v>
      </c>
      <c r="F141" s="97"/>
      <c r="G141" s="101"/>
      <c r="H141" s="99" t="n">
        <v>1.1717</v>
      </c>
      <c r="I141" s="118" t="n">
        <v>0</v>
      </c>
      <c r="J141" s="65"/>
      <c r="K141" s="66" t="n">
        <v>0</v>
      </c>
      <c r="L141" s="67"/>
      <c r="M141" s="68"/>
      <c r="N141" s="68"/>
      <c r="O141" s="69" t="n">
        <v>0</v>
      </c>
    </row>
    <row r="142" customFormat="false" ht="13.8" hidden="false" customHeight="false" outlineLevel="0" collapsed="false">
      <c r="A142" s="93"/>
      <c r="B142" s="94"/>
      <c r="C142" s="95"/>
      <c r="D142" s="96" t="s">
        <v>48</v>
      </c>
      <c r="E142" s="96" t="s">
        <v>49</v>
      </c>
      <c r="F142" s="97"/>
      <c r="G142" s="101"/>
      <c r="H142" s="99" t="n">
        <v>1.1717</v>
      </c>
      <c r="I142" s="118" t="n">
        <v>0</v>
      </c>
      <c r="J142" s="65"/>
      <c r="K142" s="66" t="n">
        <v>0</v>
      </c>
      <c r="L142" s="67"/>
      <c r="M142" s="68"/>
      <c r="N142" s="68"/>
      <c r="O142" s="69" t="n">
        <v>0</v>
      </c>
    </row>
    <row r="143" customFormat="false" ht="13.8" hidden="false" customHeight="false" outlineLevel="0" collapsed="false">
      <c r="A143" s="93"/>
      <c r="B143" s="94"/>
      <c r="C143" s="95"/>
      <c r="D143" s="96"/>
      <c r="E143" s="96"/>
      <c r="F143" s="97"/>
      <c r="G143" s="101"/>
      <c r="H143" s="99"/>
      <c r="I143" s="118"/>
      <c r="J143" s="65"/>
      <c r="K143" s="66"/>
      <c r="L143" s="67"/>
      <c r="M143" s="68"/>
      <c r="N143" s="68"/>
      <c r="O143" s="69" t="n">
        <v>0</v>
      </c>
    </row>
    <row r="144" customFormat="false" ht="13.8" hidden="false" customHeight="false" outlineLevel="0" collapsed="false">
      <c r="D144" s="119" t="s">
        <v>50</v>
      </c>
      <c r="E144" s="120" t="e">
        <f aca="false">#REF!</f>
        <v>#REF!</v>
      </c>
      <c r="F144" s="103" t="n">
        <v>0</v>
      </c>
      <c r="G144" s="104"/>
      <c r="H144" s="105"/>
      <c r="I144" s="103" t="n">
        <v>0</v>
      </c>
      <c r="O144" s="69"/>
    </row>
    <row r="145" customFormat="false" ht="13.8" hidden="false" customHeight="false" outlineLevel="0" collapsed="false">
      <c r="D145" s="121" t="s">
        <v>43</v>
      </c>
      <c r="E145" s="122" t="e">
        <f aca="false">#REF!</f>
        <v>#REF!</v>
      </c>
      <c r="G145" s="123"/>
      <c r="I145" s="124"/>
      <c r="J145" s="14"/>
      <c r="K145" s="14"/>
      <c r="O145" s="69"/>
    </row>
    <row r="146" customFormat="false" ht="13.8" hidden="false" customHeight="false" outlineLevel="0" collapsed="false">
      <c r="A146" s="110" t="s">
        <v>19</v>
      </c>
      <c r="O146" s="69"/>
    </row>
    <row r="147" s="110" customFormat="true" ht="13.8" hidden="false" customHeight="false" outlineLevel="0" collapsed="false">
      <c r="A147" s="110" t="s">
        <v>51</v>
      </c>
      <c r="H147" s="1"/>
      <c r="I147" s="2"/>
      <c r="M147" s="3"/>
      <c r="N147" s="3"/>
      <c r="O147" s="69"/>
    </row>
    <row r="148" customFormat="false" ht="13.8" hidden="false" customHeight="false" outlineLevel="0" collapsed="false">
      <c r="A148" s="18" t="s">
        <v>25</v>
      </c>
      <c r="B148" s="18" t="s">
        <v>3</v>
      </c>
      <c r="C148" s="18" t="s">
        <v>26</v>
      </c>
      <c r="D148" s="18" t="s">
        <v>5</v>
      </c>
      <c r="E148" s="18" t="s">
        <v>6</v>
      </c>
      <c r="F148" s="18" t="s">
        <v>7</v>
      </c>
      <c r="G148" s="18" t="s">
        <v>8</v>
      </c>
      <c r="H148" s="58" t="s">
        <v>9</v>
      </c>
      <c r="I148" s="16" t="s">
        <v>10</v>
      </c>
      <c r="J148" s="18" t="s">
        <v>11</v>
      </c>
      <c r="K148" s="18" t="s">
        <v>12</v>
      </c>
      <c r="L148" s="18" t="s">
        <v>13</v>
      </c>
      <c r="M148" s="18" t="s">
        <v>52</v>
      </c>
      <c r="N148" s="18"/>
      <c r="O148" s="69" t="n">
        <v>0</v>
      </c>
    </row>
    <row r="149" customFormat="false" ht="13.8" hidden="false" customHeight="false" outlineLevel="0" collapsed="false">
      <c r="A149" s="93" t="n">
        <v>46091</v>
      </c>
      <c r="B149" s="125" t="s">
        <v>22</v>
      </c>
      <c r="C149" s="95"/>
      <c r="D149" s="96" t="s">
        <v>53</v>
      </c>
      <c r="E149" s="96" t="s">
        <v>54</v>
      </c>
      <c r="F149" s="97" t="n">
        <v>1500000</v>
      </c>
      <c r="G149" s="101" t="n">
        <v>0.7158</v>
      </c>
      <c r="H149" s="99" t="n">
        <v>0.70675</v>
      </c>
      <c r="I149" s="118" t="n">
        <v>-13575</v>
      </c>
      <c r="J149" s="65" t="n">
        <v>-0.012643196423582</v>
      </c>
      <c r="K149" s="66" t="n">
        <v>-1060125</v>
      </c>
      <c r="L149" s="67" t="n">
        <v>-24</v>
      </c>
      <c r="M149" s="68" t="n">
        <v>46101</v>
      </c>
      <c r="N149" s="68"/>
      <c r="O149" s="69" t="s">
        <v>30</v>
      </c>
    </row>
    <row r="150" customFormat="false" ht="13.8" hidden="false" customHeight="false" outlineLevel="0" collapsed="false">
      <c r="A150" s="93" t="n">
        <v>46097</v>
      </c>
      <c r="B150" s="125" t="s">
        <v>22</v>
      </c>
      <c r="C150" s="95"/>
      <c r="D150" s="96" t="s">
        <v>53</v>
      </c>
      <c r="E150" s="96" t="s">
        <v>54</v>
      </c>
      <c r="F150" s="97" t="n">
        <v>-1500000</v>
      </c>
      <c r="G150" s="101" t="n">
        <v>0.70552</v>
      </c>
      <c r="H150" s="99" t="n">
        <v>0.70675</v>
      </c>
      <c r="I150" s="118" t="n">
        <v>-1844.99999999993</v>
      </c>
      <c r="J150" s="65" t="n">
        <v>0.00174339494273721</v>
      </c>
      <c r="K150" s="66" t="n">
        <v>1060125</v>
      </c>
      <c r="L150" s="67" t="n">
        <v>-24</v>
      </c>
      <c r="M150" s="68" t="n">
        <v>46101</v>
      </c>
      <c r="N150" s="68"/>
      <c r="O150" s="69" t="s">
        <v>30</v>
      </c>
    </row>
    <row r="151" customFormat="false" ht="13.8" hidden="false" customHeight="false" outlineLevel="0" collapsed="false">
      <c r="A151" s="93"/>
      <c r="B151" s="125"/>
      <c r="C151" s="95"/>
      <c r="D151" s="96" t="s">
        <v>53</v>
      </c>
      <c r="E151" s="96" t="s">
        <v>54</v>
      </c>
      <c r="F151" s="97"/>
      <c r="G151" s="101"/>
      <c r="H151" s="99" t="n">
        <v>0.70675</v>
      </c>
      <c r="I151" s="118" t="n">
        <v>0</v>
      </c>
      <c r="J151" s="65"/>
      <c r="K151" s="66" t="n">
        <v>0</v>
      </c>
      <c r="L151" s="67"/>
      <c r="M151" s="68"/>
      <c r="N151" s="68"/>
      <c r="O151" s="69" t="n">
        <v>0</v>
      </c>
    </row>
    <row r="152" customFormat="false" ht="13.8" hidden="false" customHeight="false" outlineLevel="0" collapsed="false">
      <c r="A152" s="93"/>
      <c r="B152" s="125"/>
      <c r="C152" s="95"/>
      <c r="D152" s="96" t="s">
        <v>53</v>
      </c>
      <c r="E152" s="96" t="s">
        <v>54</v>
      </c>
      <c r="F152" s="97"/>
      <c r="G152" s="101"/>
      <c r="H152" s="99" t="n">
        <v>0.70675</v>
      </c>
      <c r="I152" s="118" t="n">
        <v>0</v>
      </c>
      <c r="J152" s="65"/>
      <c r="K152" s="66" t="n">
        <v>0</v>
      </c>
      <c r="L152" s="67"/>
      <c r="M152" s="68"/>
      <c r="N152" s="68"/>
      <c r="O152" s="69" t="n">
        <v>0</v>
      </c>
    </row>
    <row r="153" customFormat="false" ht="13.8" hidden="false" customHeight="false" outlineLevel="0" collapsed="false">
      <c r="A153" s="93"/>
      <c r="B153" s="94"/>
      <c r="C153" s="95"/>
      <c r="D153" s="96"/>
      <c r="E153" s="96"/>
      <c r="F153" s="97"/>
      <c r="G153" s="101"/>
      <c r="H153" s="99"/>
      <c r="I153" s="118"/>
      <c r="J153" s="65"/>
      <c r="K153" s="66"/>
      <c r="L153" s="67"/>
      <c r="M153" s="126"/>
      <c r="N153" s="68"/>
      <c r="O153" s="69" t="n">
        <v>0</v>
      </c>
    </row>
    <row r="154" customFormat="false" ht="13.8" hidden="false" customHeight="false" outlineLevel="0" collapsed="false">
      <c r="D154" s="119" t="s">
        <v>50</v>
      </c>
      <c r="E154" s="120" t="e">
        <f aca="false">#REF!</f>
        <v>#REF!</v>
      </c>
      <c r="F154" s="103" t="n">
        <v>0</v>
      </c>
      <c r="G154" s="104"/>
      <c r="H154" s="105"/>
      <c r="I154" s="103" t="n">
        <v>-15419.9999999999</v>
      </c>
      <c r="K154" s="103" t="n">
        <v>0</v>
      </c>
      <c r="O154" s="69"/>
    </row>
    <row r="155" customFormat="false" ht="13.8" hidden="false" customHeight="false" outlineLevel="0" collapsed="false">
      <c r="D155" s="112" t="s">
        <v>43</v>
      </c>
      <c r="E155" s="127" t="e">
        <f aca="false">#REF!</f>
        <v>#REF!</v>
      </c>
      <c r="O155" s="69"/>
    </row>
    <row r="156" customFormat="false" ht="13.8" hidden="false" customHeight="false" outlineLevel="0" collapsed="false">
      <c r="A156" s="0" t="s">
        <v>19</v>
      </c>
      <c r="O156" s="69"/>
    </row>
    <row r="157" s="110" customFormat="true" ht="13.8" hidden="false" customHeight="false" outlineLevel="0" collapsed="false">
      <c r="A157" s="110" t="s">
        <v>55</v>
      </c>
      <c r="H157" s="1"/>
      <c r="I157" s="2"/>
      <c r="M157" s="3"/>
      <c r="N157" s="3"/>
      <c r="O157" s="69"/>
    </row>
    <row r="158" customFormat="false" ht="13.8" hidden="false" customHeight="false" outlineLevel="0" collapsed="false">
      <c r="A158" s="18" t="s">
        <v>25</v>
      </c>
      <c r="B158" s="18" t="s">
        <v>3</v>
      </c>
      <c r="C158" s="18" t="s">
        <v>26</v>
      </c>
      <c r="D158" s="18" t="s">
        <v>5</v>
      </c>
      <c r="E158" s="18" t="s">
        <v>6</v>
      </c>
      <c r="F158" s="18" t="s">
        <v>7</v>
      </c>
      <c r="G158" s="18" t="s">
        <v>8</v>
      </c>
      <c r="H158" s="58" t="s">
        <v>9</v>
      </c>
      <c r="I158" s="16" t="s">
        <v>10</v>
      </c>
      <c r="J158" s="18" t="s">
        <v>11</v>
      </c>
      <c r="K158" s="18" t="s">
        <v>12</v>
      </c>
      <c r="L158" s="18" t="s">
        <v>13</v>
      </c>
      <c r="M158" s="18" t="s">
        <v>52</v>
      </c>
      <c r="N158" s="18" t="s">
        <v>15</v>
      </c>
      <c r="O158" s="69" t="n">
        <v>0</v>
      </c>
    </row>
    <row r="159" customFormat="false" ht="13.8" hidden="false" customHeight="false" outlineLevel="0" collapsed="false">
      <c r="A159" s="93"/>
      <c r="B159" s="94"/>
      <c r="C159" s="95"/>
      <c r="D159" s="96" t="s">
        <v>56</v>
      </c>
      <c r="E159" s="96" t="s">
        <v>57</v>
      </c>
      <c r="F159" s="97"/>
      <c r="G159" s="128"/>
      <c r="H159" s="97" t="n">
        <v>4720.535</v>
      </c>
      <c r="I159" s="118" t="n">
        <v>0</v>
      </c>
      <c r="J159" s="65"/>
      <c r="K159" s="66" t="n">
        <v>0</v>
      </c>
      <c r="L159" s="67"/>
      <c r="M159" s="68"/>
      <c r="N159" s="68"/>
      <c r="O159" s="69"/>
    </row>
    <row r="160" customFormat="false" ht="13.8" hidden="false" customHeight="false" outlineLevel="0" collapsed="false">
      <c r="A160" s="93"/>
      <c r="B160" s="94"/>
      <c r="C160" s="95"/>
      <c r="D160" s="96" t="s">
        <v>56</v>
      </c>
      <c r="E160" s="96" t="s">
        <v>57</v>
      </c>
      <c r="F160" s="97"/>
      <c r="G160" s="128"/>
      <c r="H160" s="97" t="n">
        <v>4720.535</v>
      </c>
      <c r="I160" s="118" t="n">
        <v>0</v>
      </c>
      <c r="J160" s="65"/>
      <c r="K160" s="66" t="n">
        <v>0</v>
      </c>
      <c r="L160" s="67"/>
      <c r="M160" s="68"/>
      <c r="N160" s="68"/>
      <c r="O160" s="69"/>
    </row>
    <row r="161" customFormat="false" ht="13.8" hidden="false" customHeight="false" outlineLevel="0" collapsed="false">
      <c r="A161" s="93"/>
      <c r="B161" s="94"/>
      <c r="C161" s="95"/>
      <c r="D161" s="96" t="s">
        <v>56</v>
      </c>
      <c r="E161" s="96" t="s">
        <v>57</v>
      </c>
      <c r="F161" s="97"/>
      <c r="G161" s="128"/>
      <c r="H161" s="97" t="n">
        <v>4720.535</v>
      </c>
      <c r="I161" s="118" t="n">
        <v>0</v>
      </c>
      <c r="J161" s="65"/>
      <c r="K161" s="66" t="n">
        <v>0</v>
      </c>
      <c r="L161" s="67"/>
      <c r="M161" s="68"/>
      <c r="N161" s="68"/>
      <c r="O161" s="69"/>
    </row>
    <row r="162" customFormat="false" ht="13.8" hidden="false" customHeight="false" outlineLevel="0" collapsed="false">
      <c r="A162" s="93"/>
      <c r="B162" s="94"/>
      <c r="C162" s="95"/>
      <c r="D162" s="96" t="s">
        <v>56</v>
      </c>
      <c r="E162" s="96" t="s">
        <v>57</v>
      </c>
      <c r="F162" s="97"/>
      <c r="G162" s="128"/>
      <c r="H162" s="97" t="n">
        <v>4720.535</v>
      </c>
      <c r="I162" s="118" t="n">
        <v>0</v>
      </c>
      <c r="J162" s="65"/>
      <c r="K162" s="66" t="n">
        <v>0</v>
      </c>
      <c r="L162" s="67"/>
      <c r="M162" s="68"/>
      <c r="N162" s="68"/>
      <c r="O162" s="69"/>
    </row>
    <row r="163" customFormat="false" ht="13.8" hidden="false" customHeight="false" outlineLevel="0" collapsed="false">
      <c r="A163" s="100"/>
      <c r="B163" s="94"/>
      <c r="C163" s="95"/>
      <c r="D163" s="96"/>
      <c r="E163" s="96"/>
      <c r="F163" s="97"/>
      <c r="G163" s="101"/>
      <c r="H163" s="99"/>
      <c r="I163" s="118"/>
      <c r="J163" s="65"/>
      <c r="K163" s="66" t="n">
        <v>0</v>
      </c>
      <c r="L163" s="67"/>
      <c r="M163" s="68"/>
      <c r="N163" s="129"/>
      <c r="O163" s="69"/>
    </row>
    <row r="164" customFormat="false" ht="13.8" hidden="false" customHeight="false" outlineLevel="0" collapsed="false">
      <c r="D164" s="119" t="s">
        <v>50</v>
      </c>
      <c r="E164" s="120" t="e">
        <f aca="false">#REF!</f>
        <v>#REF!</v>
      </c>
      <c r="F164" s="103" t="n">
        <v>0</v>
      </c>
      <c r="G164" s="104"/>
      <c r="H164" s="105"/>
      <c r="I164" s="106" t="n">
        <v>0</v>
      </c>
      <c r="K164" s="106" t="n">
        <v>0</v>
      </c>
      <c r="O164" s="69"/>
    </row>
    <row r="165" customFormat="false" ht="13.8" hidden="false" customHeight="false" outlineLevel="0" collapsed="false">
      <c r="D165" s="121" t="s">
        <v>43</v>
      </c>
      <c r="E165" s="122" t="e">
        <f aca="false">#REF!</f>
        <v>#REF!</v>
      </c>
      <c r="O165" s="69"/>
    </row>
    <row r="166" customFormat="false" ht="13.8" hidden="false" customHeight="false" outlineLevel="0" collapsed="false">
      <c r="D166" s="121"/>
      <c r="E166" s="122"/>
      <c r="O166" s="69"/>
    </row>
    <row r="167" customFormat="false" ht="13.8" hidden="false" customHeight="false" outlineLevel="0" collapsed="false">
      <c r="D167" s="121"/>
      <c r="E167" s="122"/>
      <c r="O167" s="69"/>
    </row>
    <row r="168" customFormat="false" ht="13.8" hidden="false" customHeight="false" outlineLevel="0" collapsed="false">
      <c r="D168" s="121"/>
      <c r="E168" s="122"/>
      <c r="O168" s="69"/>
    </row>
    <row r="169" customFormat="false" ht="13.8" hidden="false" customHeight="false" outlineLevel="0" collapsed="false">
      <c r="D169" s="121"/>
      <c r="E169" s="122"/>
      <c r="O169" s="69"/>
    </row>
    <row r="170" customFormat="false" ht="13.8" hidden="false" customHeight="false" outlineLevel="0" collapsed="false">
      <c r="D170" s="121"/>
      <c r="E170" s="122"/>
      <c r="O170" s="69"/>
    </row>
    <row r="171" customFormat="false" ht="13.8" hidden="false" customHeight="false" outlineLevel="0" collapsed="false">
      <c r="D171" s="121"/>
      <c r="E171" s="122"/>
      <c r="O171" s="69"/>
    </row>
    <row r="172" customFormat="false" ht="13.8" hidden="false" customHeight="false" outlineLevel="0" collapsed="false">
      <c r="F172" s="1"/>
      <c r="I172" s="56"/>
      <c r="O172" s="69"/>
    </row>
    <row r="173" customFormat="false" ht="13.8" hidden="false" customHeight="false" outlineLevel="0" collapsed="false">
      <c r="F173" s="1"/>
      <c r="O173" s="69"/>
    </row>
    <row r="174" customFormat="false" ht="13.8" hidden="false" customHeight="false" outlineLevel="0" collapsed="false">
      <c r="F174" s="1"/>
      <c r="O174" s="69"/>
    </row>
    <row r="175" customFormat="false" ht="13.8" hidden="false" customHeight="false" outlineLevel="0" collapsed="false">
      <c r="O175" s="69"/>
    </row>
    <row r="182" customFormat="false" ht="12.75" hidden="false" customHeight="false" outlineLevel="0" collapsed="false">
      <c r="F182" s="43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2">
    <mergeCell ref="A5:C5"/>
    <mergeCell ref="A36:C36"/>
  </mergeCells>
  <printOptions headings="false" gridLines="false" gridLinesSet="true" horizontalCentered="false" verticalCentered="false"/>
  <pageMargins left="0.170138888888889" right="0.170138888888889" top="1" bottom="1" header="0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&amp;LNDF de monedas. YENES en SAXO BANK, PESOS y REALES en SMITH BARNEY</oddHeader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399"/>
  <sheetViews>
    <sheetView showFormulas="false" showGridLines="true" showRowColHeaders="true" showZeros="true" rightToLeft="false" tabSelected="false" showOutlineSymbols="true" defaultGridColor="true" view="normal" topLeftCell="A106" colorId="64" zoomScale="90" zoomScaleNormal="90" zoomScalePageLayoutView="100" workbookViewId="0">
      <selection pane="topLeft" activeCell="O115" activeCellId="0" sqref="O115"/>
    </sheetView>
  </sheetViews>
  <sheetFormatPr defaultColWidth="11.42578125" defaultRowHeight="12.7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7.57"/>
    <col collapsed="false" customWidth="true" hidden="false" outlineLevel="0" max="3" min="3" style="0" width="13.86"/>
    <col collapsed="false" customWidth="true" hidden="false" outlineLevel="0" max="4" min="4" style="0" width="11.85"/>
    <col collapsed="false" customWidth="true" hidden="false" outlineLevel="0" max="5" min="5" style="0" width="16"/>
    <col collapsed="false" customWidth="true" hidden="false" outlineLevel="0" max="6" min="6" style="0" width="12.86"/>
    <col collapsed="false" customWidth="true" hidden="false" outlineLevel="0" max="7" min="7" style="0" width="11.14"/>
    <col collapsed="false" customWidth="true" hidden="false" outlineLevel="0" max="8" min="8" style="0" width="14.57"/>
    <col collapsed="false" customWidth="true" hidden="false" outlineLevel="0" max="9" min="9" style="0" width="11"/>
    <col collapsed="false" customWidth="true" hidden="false" outlineLevel="0" max="10" min="10" style="114" width="13.86"/>
    <col collapsed="false" customWidth="true" hidden="false" outlineLevel="0" max="11" min="11" style="0" width="16.43"/>
    <col collapsed="false" customWidth="true" hidden="false" outlineLevel="0" max="12" min="12" style="0" width="12.86"/>
    <col collapsed="false" customWidth="false" hidden="false" outlineLevel="0" max="13" min="13" style="130" width="11.43"/>
    <col collapsed="false" customWidth="true" hidden="false" outlineLevel="0" max="14" min="14" style="0" width="14.57"/>
  </cols>
  <sheetData>
    <row r="1" s="8" customFormat="true" ht="17.35" hidden="false" customHeight="false" outlineLevel="0" collapsed="false">
      <c r="A1" s="4"/>
      <c r="B1" s="4"/>
      <c r="C1" s="5"/>
      <c r="D1" s="5"/>
      <c r="E1" s="131" t="s">
        <v>58</v>
      </c>
      <c r="F1" s="4"/>
      <c r="G1" s="132"/>
      <c r="J1" s="133"/>
      <c r="M1" s="134"/>
    </row>
    <row r="5" customFormat="false" ht="15" hidden="false" customHeight="false" outlineLevel="0" collapsed="false">
      <c r="A5" s="12" t="s">
        <v>59</v>
      </c>
      <c r="B5" s="12"/>
      <c r="C5" s="12"/>
    </row>
    <row r="7" customFormat="false" ht="12.75" hidden="false" customHeight="false" outlineLevel="0" collapsed="false">
      <c r="A7" s="135" t="s">
        <v>60</v>
      </c>
      <c r="B7" s="135" t="s">
        <v>3</v>
      </c>
      <c r="C7" s="135" t="s">
        <v>26</v>
      </c>
      <c r="D7" s="135" t="s">
        <v>5</v>
      </c>
      <c r="E7" s="135" t="s">
        <v>6</v>
      </c>
      <c r="F7" s="135" t="s">
        <v>7</v>
      </c>
      <c r="G7" s="135" t="s">
        <v>8</v>
      </c>
      <c r="H7" s="135" t="s">
        <v>9</v>
      </c>
      <c r="I7" s="136" t="s">
        <v>61</v>
      </c>
      <c r="J7" s="137" t="s">
        <v>62</v>
      </c>
      <c r="K7" s="138" t="s">
        <v>63</v>
      </c>
      <c r="L7" s="139" t="s">
        <v>64</v>
      </c>
      <c r="M7" s="135" t="s">
        <v>65</v>
      </c>
      <c r="N7" s="135" t="s">
        <v>66</v>
      </c>
    </row>
    <row r="8" customFormat="false" ht="12.75" hidden="false" customHeight="false" outlineLevel="0" collapsed="false">
      <c r="A8" s="140" t="n">
        <v>45967</v>
      </c>
      <c r="B8" s="141" t="s">
        <v>67</v>
      </c>
      <c r="C8" s="142" t="s">
        <v>68</v>
      </c>
      <c r="D8" s="143" t="s">
        <v>17</v>
      </c>
      <c r="E8" s="143" t="s">
        <v>67</v>
      </c>
      <c r="F8" s="144" t="n">
        <v>-2000</v>
      </c>
      <c r="G8" s="44" t="n">
        <v>1170</v>
      </c>
      <c r="H8" s="44" t="n">
        <v>941.245</v>
      </c>
      <c r="I8" s="145" t="n">
        <v>2.32</v>
      </c>
      <c r="J8" s="146" t="n">
        <v>0.243034491551084</v>
      </c>
      <c r="K8" s="146"/>
      <c r="L8" s="147" t="n">
        <v>10000</v>
      </c>
      <c r="M8" s="148" t="n">
        <v>46329</v>
      </c>
      <c r="N8" s="149" t="n">
        <v>363</v>
      </c>
    </row>
    <row r="9" customFormat="false" ht="12.75" hidden="false" customHeight="false" outlineLevel="0" collapsed="false">
      <c r="A9" s="140" t="n">
        <v>45967</v>
      </c>
      <c r="B9" s="141" t="s">
        <v>67</v>
      </c>
      <c r="C9" s="142" t="s">
        <v>68</v>
      </c>
      <c r="D9" s="143" t="s">
        <v>17</v>
      </c>
      <c r="E9" s="143" t="s">
        <v>67</v>
      </c>
      <c r="F9" s="144" t="n">
        <v>-2000</v>
      </c>
      <c r="G9" s="44" t="n">
        <v>1180</v>
      </c>
      <c r="H9" s="44" t="n">
        <v>943.03</v>
      </c>
      <c r="I9" s="145" t="n">
        <v>2.12</v>
      </c>
      <c r="J9" s="146" t="n">
        <v>0.251285749127812</v>
      </c>
      <c r="K9" s="146"/>
      <c r="L9" s="147" t="n">
        <v>10000</v>
      </c>
      <c r="M9" s="148" t="n">
        <v>46329</v>
      </c>
      <c r="N9" s="149" t="n">
        <v>362</v>
      </c>
    </row>
    <row r="10" customFormat="false" ht="12.75" hidden="false" customHeight="false" outlineLevel="0" collapsed="false">
      <c r="A10" s="140" t="n">
        <v>45971</v>
      </c>
      <c r="B10" s="141" t="s">
        <v>67</v>
      </c>
      <c r="C10" s="142" t="s">
        <v>68</v>
      </c>
      <c r="D10" s="143" t="s">
        <v>17</v>
      </c>
      <c r="E10" s="143" t="s">
        <v>67</v>
      </c>
      <c r="F10" s="144" t="n">
        <v>-2000</v>
      </c>
      <c r="G10" s="44" t="n">
        <v>1160</v>
      </c>
      <c r="H10" s="44" t="n">
        <v>942</v>
      </c>
      <c r="I10" s="145" t="n">
        <v>2.32</v>
      </c>
      <c r="J10" s="146" t="n">
        <v>0.231422505307856</v>
      </c>
      <c r="K10" s="146"/>
      <c r="L10" s="147" t="n">
        <v>10000</v>
      </c>
      <c r="M10" s="148" t="n">
        <v>46329</v>
      </c>
      <c r="N10" s="149" t="n">
        <v>358</v>
      </c>
    </row>
    <row r="11" customFormat="false" ht="12.75" hidden="false" customHeight="false" outlineLevel="0" collapsed="false">
      <c r="A11" s="140" t="n">
        <v>45978</v>
      </c>
      <c r="B11" s="141" t="s">
        <v>67</v>
      </c>
      <c r="C11" s="142" t="s">
        <v>69</v>
      </c>
      <c r="D11" s="143" t="s">
        <v>17</v>
      </c>
      <c r="E11" s="143" t="s">
        <v>67</v>
      </c>
      <c r="F11" s="144" t="n">
        <v>-2000</v>
      </c>
      <c r="G11" s="44" t="n">
        <v>830</v>
      </c>
      <c r="H11" s="44" t="n">
        <v>920.69</v>
      </c>
      <c r="I11" s="145" t="n">
        <v>3.6</v>
      </c>
      <c r="J11" s="146" t="n">
        <v>-0.0985022102987977</v>
      </c>
      <c r="K11" s="146"/>
      <c r="L11" s="147" t="n">
        <v>10000</v>
      </c>
      <c r="M11" s="148" t="n">
        <v>46329</v>
      </c>
      <c r="N11" s="149" t="n">
        <v>352</v>
      </c>
    </row>
    <row r="12" customFormat="false" ht="12.75" hidden="false" customHeight="false" outlineLevel="0" collapsed="false">
      <c r="A12" s="140" t="n">
        <v>46002</v>
      </c>
      <c r="B12" s="141" t="s">
        <v>70</v>
      </c>
      <c r="C12" s="142" t="s">
        <v>69</v>
      </c>
      <c r="D12" s="143" t="s">
        <v>71</v>
      </c>
      <c r="E12" s="143" t="s">
        <v>72</v>
      </c>
      <c r="F12" s="144" t="n">
        <v>-8.5</v>
      </c>
      <c r="G12" s="150" t="n">
        <v>490</v>
      </c>
      <c r="H12" s="151" t="n">
        <v>624.13</v>
      </c>
      <c r="I12" s="145" t="n">
        <v>11.9674</v>
      </c>
      <c r="J12" s="146" t="n">
        <v>-0.214907150753849</v>
      </c>
      <c r="K12" s="146"/>
      <c r="L12" s="147" t="n">
        <v>20825</v>
      </c>
      <c r="M12" s="148" t="n">
        <v>46191</v>
      </c>
      <c r="N12" s="149" t="n">
        <v>189</v>
      </c>
    </row>
    <row r="13" customFormat="false" ht="12.75" hidden="false" customHeight="false" outlineLevel="0" collapsed="false">
      <c r="A13" s="140" t="n">
        <v>46003</v>
      </c>
      <c r="B13" s="141" t="s">
        <v>22</v>
      </c>
      <c r="C13" s="142" t="s">
        <v>68</v>
      </c>
      <c r="D13" s="143" t="s">
        <v>53</v>
      </c>
      <c r="E13" s="143" t="s">
        <v>54</v>
      </c>
      <c r="F13" s="144" t="n">
        <v>-1500</v>
      </c>
      <c r="G13" s="150" t="n">
        <v>0.725</v>
      </c>
      <c r="H13" s="151" t="n">
        <v>0.6646</v>
      </c>
      <c r="I13" s="145" t="n">
        <v>0</v>
      </c>
      <c r="J13" s="146" t="n">
        <v>0.0908817333734577</v>
      </c>
      <c r="K13" s="152" t="n">
        <v>0.212168838348219</v>
      </c>
      <c r="L13" s="147" t="n">
        <v>4984.5</v>
      </c>
      <c r="M13" s="148" t="n">
        <v>46373</v>
      </c>
      <c r="N13" s="149" t="n">
        <v>370</v>
      </c>
    </row>
    <row r="14" customFormat="false" ht="12.75" hidden="false" customHeight="false" outlineLevel="0" collapsed="false">
      <c r="A14" s="140" t="n">
        <v>46003</v>
      </c>
      <c r="B14" s="141" t="s">
        <v>22</v>
      </c>
      <c r="C14" s="142" t="s">
        <v>69</v>
      </c>
      <c r="D14" s="143" t="s">
        <v>53</v>
      </c>
      <c r="E14" s="143" t="s">
        <v>54</v>
      </c>
      <c r="F14" s="144" t="n">
        <v>-1500</v>
      </c>
      <c r="G14" s="150" t="n">
        <v>0.615</v>
      </c>
      <c r="H14" s="151" t="n">
        <v>0.6646</v>
      </c>
      <c r="I14" s="145" t="n">
        <v>4.25</v>
      </c>
      <c r="J14" s="146" t="n">
        <v>-0.0746313572073427</v>
      </c>
      <c r="K14" s="152" t="n">
        <v>0.249319845986079</v>
      </c>
      <c r="L14" s="147" t="n">
        <v>4984.5</v>
      </c>
      <c r="M14" s="148" t="n">
        <v>46373</v>
      </c>
      <c r="N14" s="149" t="n">
        <v>370</v>
      </c>
    </row>
    <row r="15" customFormat="false" ht="12.75" hidden="false" customHeight="false" outlineLevel="0" collapsed="false">
      <c r="A15" s="140" t="n">
        <v>46003</v>
      </c>
      <c r="B15" s="141" t="s">
        <v>70</v>
      </c>
      <c r="C15" s="142" t="s">
        <v>69</v>
      </c>
      <c r="D15" s="143" t="s">
        <v>73</v>
      </c>
      <c r="E15" s="143" t="s">
        <v>74</v>
      </c>
      <c r="F15" s="144" t="n">
        <v>-7.5</v>
      </c>
      <c r="G15" s="150" t="n">
        <v>520</v>
      </c>
      <c r="H15" s="151" t="n">
        <v>683.855</v>
      </c>
      <c r="I15" s="145" t="n">
        <v>6.6594</v>
      </c>
      <c r="J15" s="146" t="n">
        <v>-0.239604887000899</v>
      </c>
      <c r="K15" s="152" t="n">
        <v>0.172692828381572</v>
      </c>
      <c r="L15" s="147" t="n">
        <v>19500</v>
      </c>
      <c r="M15" s="148" t="n">
        <v>46191</v>
      </c>
      <c r="N15" s="149" t="n">
        <v>188</v>
      </c>
    </row>
    <row r="16" customFormat="false" ht="12.75" hidden="false" customHeight="false" outlineLevel="0" collapsed="false">
      <c r="A16" s="140" t="n">
        <v>46030</v>
      </c>
      <c r="B16" s="141" t="s">
        <v>70</v>
      </c>
      <c r="C16" s="142" t="s">
        <v>69</v>
      </c>
      <c r="D16" s="143" t="s">
        <v>75</v>
      </c>
      <c r="E16" s="143" t="s">
        <v>76</v>
      </c>
      <c r="F16" s="144" t="n">
        <v>-6</v>
      </c>
      <c r="G16" s="44" t="n">
        <v>640</v>
      </c>
      <c r="H16" s="153" t="n">
        <v>937</v>
      </c>
      <c r="I16" s="145" t="n">
        <v>6.5154</v>
      </c>
      <c r="J16" s="154" t="n">
        <f aca="false">IF(G16="",0,G16/H16-1)</f>
        <v>-0.316969050160085</v>
      </c>
      <c r="K16" s="146" t="n">
        <f aca="false">IFERROR(#REF!,0)</f>
        <v>0</v>
      </c>
      <c r="L16" s="147" t="n">
        <v>9.6</v>
      </c>
      <c r="M16" s="155" t="n">
        <v>46191</v>
      </c>
      <c r="N16" s="149" t="n">
        <f aca="true">IF(M16="","",M16-TODAY())</f>
        <v>35</v>
      </c>
    </row>
    <row r="17" customFormat="false" ht="12.75" hidden="false" customHeight="false" outlineLevel="0" collapsed="false">
      <c r="A17" s="140" t="n">
        <v>46030</v>
      </c>
      <c r="B17" s="141" t="s">
        <v>77</v>
      </c>
      <c r="C17" s="142" t="s">
        <v>69</v>
      </c>
      <c r="D17" s="143" t="s">
        <v>71</v>
      </c>
      <c r="E17" s="143" t="s">
        <v>72</v>
      </c>
      <c r="F17" s="144" t="n">
        <v>-8.5</v>
      </c>
      <c r="G17" s="44" t="n">
        <v>460</v>
      </c>
      <c r="H17" s="44" t="n">
        <v>621</v>
      </c>
      <c r="I17" s="145" t="n">
        <v>8.075</v>
      </c>
      <c r="J17" s="154" t="n">
        <f aca="false">IF(G17="",0,G17/H17-1)</f>
        <v>-0.259259259259259</v>
      </c>
      <c r="K17" s="146" t="n">
        <f aca="false">IFERROR(#REF!,0)</f>
        <v>0</v>
      </c>
      <c r="L17" s="147" t="n">
        <v>9.775</v>
      </c>
      <c r="M17" s="155" t="n">
        <v>46191</v>
      </c>
      <c r="N17" s="149" t="n">
        <f aca="true">IF(M17="","",M17-TODAY())</f>
        <v>35</v>
      </c>
    </row>
    <row r="18" customFormat="false" ht="12.75" hidden="false" customHeight="false" outlineLevel="0" collapsed="false">
      <c r="A18" s="140" t="n">
        <v>46034</v>
      </c>
      <c r="B18" s="141" t="s">
        <v>70</v>
      </c>
      <c r="C18" s="142" t="s">
        <v>69</v>
      </c>
      <c r="D18" s="143" t="s">
        <v>73</v>
      </c>
      <c r="E18" s="143" t="s">
        <v>74</v>
      </c>
      <c r="F18" s="144" t="n">
        <v>-7.5</v>
      </c>
      <c r="G18" s="44" t="n">
        <v>525</v>
      </c>
      <c r="H18" s="44" t="n">
        <v>695.035</v>
      </c>
      <c r="I18" s="145" t="n">
        <v>4.6644</v>
      </c>
      <c r="J18" s="154" t="n">
        <v>-0.244642356140338</v>
      </c>
      <c r="K18" s="146" t="n">
        <v>0.142268467052952</v>
      </c>
      <c r="L18" s="147" t="n">
        <v>19687.5</v>
      </c>
      <c r="M18" s="155" t="n">
        <v>46191</v>
      </c>
      <c r="N18" s="149" t="n">
        <v>157</v>
      </c>
    </row>
    <row r="19" customFormat="false" ht="12.75" hidden="false" customHeight="false" outlineLevel="0" collapsed="false">
      <c r="A19" s="140" t="n">
        <v>46034</v>
      </c>
      <c r="B19" s="141" t="s">
        <v>70</v>
      </c>
      <c r="C19" s="142" t="s">
        <v>69</v>
      </c>
      <c r="D19" s="143" t="s">
        <v>78</v>
      </c>
      <c r="E19" s="143" t="s">
        <v>78</v>
      </c>
      <c r="F19" s="144" t="n">
        <v>-7.5</v>
      </c>
      <c r="G19" s="44" t="n">
        <v>190</v>
      </c>
      <c r="H19" s="44" t="n">
        <v>260.66</v>
      </c>
      <c r="I19" s="145" t="n">
        <v>2.0994</v>
      </c>
      <c r="J19" s="154" t="n">
        <v>-0.23271694928259</v>
      </c>
      <c r="K19" s="146" t="n">
        <v>0.150719993534858</v>
      </c>
      <c r="L19" s="147" t="n">
        <v>7500</v>
      </c>
      <c r="M19" s="155" t="n">
        <v>46191</v>
      </c>
      <c r="N19" s="149" t="n">
        <v>157</v>
      </c>
    </row>
    <row r="20" customFormat="false" ht="12.75" hidden="false" customHeight="false" outlineLevel="0" collapsed="false">
      <c r="A20" s="140" t="n">
        <v>46034</v>
      </c>
      <c r="B20" s="141" t="s">
        <v>70</v>
      </c>
      <c r="C20" s="142" t="s">
        <v>69</v>
      </c>
      <c r="D20" s="143" t="s">
        <v>79</v>
      </c>
      <c r="E20" s="143" t="s">
        <v>80</v>
      </c>
      <c r="F20" s="144" t="n">
        <v>-2</v>
      </c>
      <c r="G20" s="44" t="n">
        <v>280</v>
      </c>
      <c r="H20" s="44" t="n">
        <v>415.235</v>
      </c>
      <c r="I20" s="145" t="n">
        <v>4.5914</v>
      </c>
      <c r="J20" s="154" t="n">
        <v>-0.325683046949318</v>
      </c>
      <c r="K20" s="146" t="n">
        <v>0.0571910061729427</v>
      </c>
      <c r="L20" s="147" t="n">
        <v>2800</v>
      </c>
      <c r="M20" s="155" t="n">
        <v>46191</v>
      </c>
      <c r="N20" s="149" t="n">
        <v>156</v>
      </c>
    </row>
    <row r="21" customFormat="false" ht="12.75" hidden="false" customHeight="false" outlineLevel="0" collapsed="false">
      <c r="A21" s="140" t="n">
        <v>46035</v>
      </c>
      <c r="B21" s="141" t="s">
        <v>81</v>
      </c>
      <c r="C21" s="142" t="s">
        <v>82</v>
      </c>
      <c r="D21" s="143" t="s">
        <v>17</v>
      </c>
      <c r="E21" s="143" t="s">
        <v>67</v>
      </c>
      <c r="F21" s="144" t="n">
        <v>1000</v>
      </c>
      <c r="G21" s="44" t="n">
        <v>830</v>
      </c>
      <c r="H21" s="44" t="n">
        <v>886.675</v>
      </c>
      <c r="I21" s="145" t="n">
        <v>-3.1</v>
      </c>
      <c r="J21" s="154" t="n">
        <v>-0.0639185721938703</v>
      </c>
      <c r="K21" s="146" t="n">
        <v>0.342321650559601</v>
      </c>
      <c r="L21" s="147" t="n">
        <v>-5000</v>
      </c>
      <c r="M21" s="155" t="n">
        <v>46329</v>
      </c>
      <c r="N21" s="149" t="n">
        <v>294</v>
      </c>
    </row>
    <row r="22" customFormat="false" ht="12.75" hidden="false" customHeight="false" outlineLevel="0" collapsed="false">
      <c r="A22" s="140" t="n">
        <v>46035</v>
      </c>
      <c r="B22" s="141" t="s">
        <v>81</v>
      </c>
      <c r="C22" s="142" t="s">
        <v>69</v>
      </c>
      <c r="D22" s="143" t="s">
        <v>53</v>
      </c>
      <c r="E22" s="143" t="s">
        <v>54</v>
      </c>
      <c r="F22" s="144" t="n">
        <v>-1500</v>
      </c>
      <c r="G22" s="44" t="n">
        <v>0.62</v>
      </c>
      <c r="H22" s="44" t="n">
        <v>0.67035</v>
      </c>
      <c r="I22" s="145" t="n">
        <v>2.2</v>
      </c>
      <c r="J22" s="154" t="n">
        <v>-0.0751100171552175</v>
      </c>
      <c r="K22" s="146" t="n">
        <v>0.237458641588011</v>
      </c>
      <c r="L22" s="147" t="n">
        <v>5027.625</v>
      </c>
      <c r="M22" s="155" t="n">
        <v>46373</v>
      </c>
      <c r="N22" s="149" t="n">
        <v>338</v>
      </c>
    </row>
    <row r="23" customFormat="false" ht="12.75" hidden="false" customHeight="false" outlineLevel="0" collapsed="false">
      <c r="A23" s="140" t="n">
        <v>46035</v>
      </c>
      <c r="B23" s="141" t="s">
        <v>70</v>
      </c>
      <c r="C23" s="142" t="s">
        <v>69</v>
      </c>
      <c r="D23" s="143" t="s">
        <v>71</v>
      </c>
      <c r="E23" s="143" t="s">
        <v>72</v>
      </c>
      <c r="F23" s="144" t="n">
        <v>-8.5</v>
      </c>
      <c r="G23" s="44" t="n">
        <v>370</v>
      </c>
      <c r="H23" s="44" t="n">
        <v>627.29</v>
      </c>
      <c r="I23" s="145" t="n">
        <v>6.1704</v>
      </c>
      <c r="J23" s="154" t="n">
        <v>-0.410161169475043</v>
      </c>
      <c r="K23" s="146" t="n">
        <v>0.131242363082942</v>
      </c>
      <c r="L23" s="147" t="n">
        <v>15725</v>
      </c>
      <c r="M23" s="155" t="n">
        <v>46374</v>
      </c>
      <c r="N23" s="149" t="n">
        <v>339</v>
      </c>
    </row>
    <row r="24" customFormat="false" ht="12.75" hidden="false" customHeight="false" outlineLevel="0" collapsed="false">
      <c r="A24" s="140" t="n">
        <v>46035</v>
      </c>
      <c r="B24" s="141" t="s">
        <v>70</v>
      </c>
      <c r="C24" s="142" t="s">
        <v>69</v>
      </c>
      <c r="D24" s="143" t="s">
        <v>73</v>
      </c>
      <c r="E24" s="143" t="s">
        <v>74</v>
      </c>
      <c r="F24" s="144" t="n">
        <v>-6</v>
      </c>
      <c r="G24" s="44" t="n">
        <v>480</v>
      </c>
      <c r="H24" s="44" t="n">
        <v>695.59</v>
      </c>
      <c r="I24" s="145" t="n">
        <v>2.4594</v>
      </c>
      <c r="J24" s="154" t="n">
        <v>-0.309938325737863</v>
      </c>
      <c r="K24" s="146" t="n">
        <v>0.0752321416626299</v>
      </c>
      <c r="L24" s="147" t="n">
        <v>14400</v>
      </c>
      <c r="M24" s="155" t="n">
        <v>46191</v>
      </c>
      <c r="N24" s="149" t="n">
        <v>156</v>
      </c>
    </row>
    <row r="25" customFormat="false" ht="12.75" hidden="false" customHeight="false" outlineLevel="0" collapsed="false">
      <c r="A25" s="140" t="n">
        <v>46035</v>
      </c>
      <c r="B25" s="141" t="s">
        <v>70</v>
      </c>
      <c r="C25" s="142" t="s">
        <v>69</v>
      </c>
      <c r="D25" s="143" t="s">
        <v>70</v>
      </c>
      <c r="E25" s="143" t="s">
        <v>83</v>
      </c>
      <c r="F25" s="144" t="n">
        <v>-25</v>
      </c>
      <c r="G25" s="44" t="n">
        <v>115</v>
      </c>
      <c r="H25" s="44" t="n">
        <v>184.235</v>
      </c>
      <c r="I25" s="145" t="n">
        <v>3.9488</v>
      </c>
      <c r="J25" s="154" t="n">
        <v>-0.375797215512796</v>
      </c>
      <c r="K25" s="146" t="n">
        <v>0.0288443221484447</v>
      </c>
      <c r="L25" s="147" t="n">
        <v>14375</v>
      </c>
      <c r="M25" s="155" t="n">
        <v>46191</v>
      </c>
      <c r="N25" s="149" t="n">
        <v>156</v>
      </c>
    </row>
    <row r="26" customFormat="false" ht="12.75" hidden="false" customHeight="false" outlineLevel="0" collapsed="false">
      <c r="A26" s="140" t="n">
        <v>46035</v>
      </c>
      <c r="B26" s="141" t="s">
        <v>70</v>
      </c>
      <c r="C26" s="142" t="s">
        <v>69</v>
      </c>
      <c r="D26" s="143" t="s">
        <v>84</v>
      </c>
      <c r="E26" s="143" t="s">
        <v>84</v>
      </c>
      <c r="F26" s="144" t="n">
        <v>-7.5</v>
      </c>
      <c r="G26" s="44" t="n">
        <v>235</v>
      </c>
      <c r="H26" s="44" t="n">
        <v>320.77</v>
      </c>
      <c r="I26" s="145" t="n">
        <v>2.9694</v>
      </c>
      <c r="J26" s="154" t="n">
        <v>-0.267387847990772</v>
      </c>
      <c r="K26" s="146" t="n">
        <v>0.108226537386509</v>
      </c>
      <c r="L26" s="147" t="n">
        <v>8812.5</v>
      </c>
      <c r="M26" s="155" t="n">
        <v>46191</v>
      </c>
      <c r="N26" s="149" t="n">
        <v>156</v>
      </c>
    </row>
    <row r="27" customFormat="false" ht="12.75" hidden="false" customHeight="false" outlineLevel="0" collapsed="false">
      <c r="A27" s="140" t="n">
        <v>46036</v>
      </c>
      <c r="B27" s="141" t="s">
        <v>70</v>
      </c>
      <c r="C27" s="142" t="s">
        <v>82</v>
      </c>
      <c r="D27" s="143" t="s">
        <v>73</v>
      </c>
      <c r="E27" s="143" t="s">
        <v>74</v>
      </c>
      <c r="F27" s="144" t="n">
        <v>-6</v>
      </c>
      <c r="G27" s="44" t="n">
        <v>480</v>
      </c>
      <c r="H27" s="44" t="n">
        <v>690.805</v>
      </c>
      <c r="I27" s="145" t="n">
        <v>-3.0126</v>
      </c>
      <c r="J27" s="154" t="n">
        <v>-0.305158474533334</v>
      </c>
      <c r="K27" s="146" t="n">
        <v>0.0785335052025886</v>
      </c>
      <c r="L27" s="147" t="n">
        <v>14400</v>
      </c>
      <c r="M27" s="155" t="n">
        <v>46191</v>
      </c>
      <c r="N27" s="149" t="n">
        <v>155</v>
      </c>
    </row>
    <row r="28" customFormat="false" ht="12.75" hidden="false" customHeight="false" outlineLevel="0" collapsed="false">
      <c r="A28" s="140" t="n">
        <v>46036</v>
      </c>
      <c r="B28" s="141" t="s">
        <v>70</v>
      </c>
      <c r="C28" s="142" t="s">
        <v>82</v>
      </c>
      <c r="D28" s="143" t="s">
        <v>73</v>
      </c>
      <c r="E28" s="143" t="s">
        <v>74</v>
      </c>
      <c r="F28" s="144" t="n">
        <v>-7.5</v>
      </c>
      <c r="G28" s="44" t="n">
        <v>520</v>
      </c>
      <c r="H28" s="44" t="n">
        <v>689.945</v>
      </c>
      <c r="I28" s="145" t="n">
        <v>-5.5206</v>
      </c>
      <c r="J28" s="154" t="n">
        <v>-0.246316735391952</v>
      </c>
      <c r="K28" s="146" t="n">
        <v>0.138576021498562</v>
      </c>
      <c r="L28" s="147" t="n">
        <v>19500</v>
      </c>
      <c r="M28" s="155" t="n">
        <v>46191</v>
      </c>
      <c r="N28" s="149" t="n">
        <v>155</v>
      </c>
    </row>
    <row r="29" customFormat="false" ht="12.75" hidden="false" customHeight="false" outlineLevel="0" collapsed="false">
      <c r="A29" s="140" t="n">
        <v>46036</v>
      </c>
      <c r="B29" s="141" t="s">
        <v>81</v>
      </c>
      <c r="C29" s="142" t="s">
        <v>69</v>
      </c>
      <c r="D29" s="143" t="s">
        <v>73</v>
      </c>
      <c r="E29" s="143" t="s">
        <v>74</v>
      </c>
      <c r="F29" s="144" t="n">
        <v>-7.5</v>
      </c>
      <c r="G29" s="44" t="n">
        <v>520</v>
      </c>
      <c r="H29" s="44" t="n">
        <v>689.735</v>
      </c>
      <c r="I29" s="145" t="n">
        <v>5.325</v>
      </c>
      <c r="J29" s="154" t="n">
        <v>-0.24608726539903</v>
      </c>
      <c r="K29" s="146" t="n">
        <v>0.138847926133409</v>
      </c>
      <c r="L29" s="147" t="n">
        <v>19500</v>
      </c>
      <c r="M29" s="155" t="n">
        <v>46191</v>
      </c>
      <c r="N29" s="149" t="n">
        <v>155</v>
      </c>
    </row>
    <row r="30" customFormat="false" ht="12.75" hidden="false" customHeight="false" outlineLevel="0" collapsed="false">
      <c r="A30" s="140" t="n">
        <v>46036</v>
      </c>
      <c r="B30" s="141" t="s">
        <v>81</v>
      </c>
      <c r="C30" s="142" t="s">
        <v>69</v>
      </c>
      <c r="D30" s="143" t="s">
        <v>73</v>
      </c>
      <c r="E30" s="143" t="s">
        <v>74</v>
      </c>
      <c r="F30" s="144" t="n">
        <v>-7.5</v>
      </c>
      <c r="G30" s="44" t="n">
        <v>500</v>
      </c>
      <c r="H30" s="44" t="n">
        <v>688.95</v>
      </c>
      <c r="I30" s="145" t="n">
        <v>4.38</v>
      </c>
      <c r="J30" s="154" t="n">
        <v>-0.274257928732129</v>
      </c>
      <c r="K30" s="146" t="n">
        <v>0.107618000222832</v>
      </c>
      <c r="L30" s="147" t="n">
        <v>18750</v>
      </c>
      <c r="M30" s="155" t="n">
        <v>46191</v>
      </c>
      <c r="N30" s="149" t="n">
        <v>155</v>
      </c>
    </row>
    <row r="31" customFormat="false" ht="12.75" hidden="false" customHeight="false" outlineLevel="0" collapsed="false">
      <c r="A31" s="140" t="n">
        <v>46036</v>
      </c>
      <c r="B31" s="141" t="s">
        <v>85</v>
      </c>
      <c r="C31" s="142" t="s">
        <v>69</v>
      </c>
      <c r="D31" s="143" t="s">
        <v>73</v>
      </c>
      <c r="E31" s="143" t="s">
        <v>74</v>
      </c>
      <c r="F31" s="144" t="n">
        <v>-6</v>
      </c>
      <c r="G31" s="44" t="n">
        <v>480</v>
      </c>
      <c r="H31" s="44" t="n">
        <v>688.565</v>
      </c>
      <c r="I31" s="145" t="n">
        <v>3.036</v>
      </c>
      <c r="J31" s="154" t="n">
        <v>-0.302898056102184</v>
      </c>
      <c r="K31" s="146" t="n">
        <v>0.0804741572037139</v>
      </c>
      <c r="L31" s="147" t="n">
        <v>14400</v>
      </c>
      <c r="M31" s="155" t="n">
        <v>46191</v>
      </c>
      <c r="N31" s="149" t="n">
        <v>155</v>
      </c>
    </row>
    <row r="32" customFormat="false" ht="12.75" hidden="false" customHeight="false" outlineLevel="0" collapsed="false">
      <c r="A32" s="140" t="n">
        <v>46037</v>
      </c>
      <c r="B32" s="141" t="s">
        <v>70</v>
      </c>
      <c r="C32" s="142" t="s">
        <v>82</v>
      </c>
      <c r="D32" s="143" t="s">
        <v>71</v>
      </c>
      <c r="E32" s="143" t="s">
        <v>72</v>
      </c>
      <c r="F32" s="144" t="n">
        <v>-8.5</v>
      </c>
      <c r="G32" s="44" t="n">
        <v>490</v>
      </c>
      <c r="H32" s="44" t="n">
        <v>625.645</v>
      </c>
      <c r="I32" s="145" t="n">
        <v>-8.5346</v>
      </c>
      <c r="J32" s="154" t="n">
        <v>-0.216808253881994</v>
      </c>
      <c r="K32" s="146" t="n">
        <v>0.220292525825985</v>
      </c>
      <c r="L32" s="147" t="n">
        <v>20825</v>
      </c>
      <c r="M32" s="155" t="n">
        <v>46191</v>
      </c>
      <c r="N32" s="149" t="n">
        <v>154</v>
      </c>
    </row>
    <row r="33" customFormat="false" ht="12.75" hidden="false" customHeight="false" outlineLevel="0" collapsed="false">
      <c r="A33" s="140" t="n">
        <v>46037</v>
      </c>
      <c r="B33" s="141" t="s">
        <v>22</v>
      </c>
      <c r="C33" s="142" t="s">
        <v>69</v>
      </c>
      <c r="D33" s="143" t="s">
        <v>71</v>
      </c>
      <c r="E33" s="143" t="s">
        <v>72</v>
      </c>
      <c r="F33" s="144" t="n">
        <v>-8.5</v>
      </c>
      <c r="G33" s="44" t="n">
        <v>490</v>
      </c>
      <c r="H33" s="44" t="n">
        <v>626.095</v>
      </c>
      <c r="I33" s="145" t="n">
        <v>8.2084993</v>
      </c>
      <c r="J33" s="154" t="n">
        <v>-0.217371165717663</v>
      </c>
      <c r="K33" s="146" t="n">
        <v>0.219547793706349</v>
      </c>
      <c r="L33" s="147" t="n">
        <v>20825</v>
      </c>
      <c r="M33" s="155" t="n">
        <v>46191</v>
      </c>
      <c r="N33" s="149" t="n">
        <v>154</v>
      </c>
    </row>
    <row r="34" customFormat="false" ht="12.75" hidden="false" customHeight="false" outlineLevel="0" collapsed="false">
      <c r="A34" s="140" t="n">
        <v>46044</v>
      </c>
      <c r="B34" s="141" t="s">
        <v>77</v>
      </c>
      <c r="C34" s="142" t="s">
        <v>69</v>
      </c>
      <c r="D34" s="143" t="s">
        <v>75</v>
      </c>
      <c r="E34" s="143" t="s">
        <v>76</v>
      </c>
      <c r="F34" s="144" t="n">
        <v>-7.5</v>
      </c>
      <c r="G34" s="44" t="n">
        <v>750</v>
      </c>
      <c r="H34" s="44" t="n">
        <v>978.235134</v>
      </c>
      <c r="I34" s="145" t="n">
        <v>18</v>
      </c>
      <c r="J34" s="154" t="n">
        <v>-0.233313163744945</v>
      </c>
      <c r="K34" s="146" t="n">
        <v>0.107336173278148</v>
      </c>
      <c r="L34" s="147" t="n">
        <v>28125</v>
      </c>
      <c r="M34" s="155" t="n">
        <v>46191</v>
      </c>
      <c r="N34" s="149" t="n">
        <v>147</v>
      </c>
    </row>
    <row r="35" customFormat="false" ht="12.75" hidden="false" customHeight="false" outlineLevel="0" collapsed="false">
      <c r="A35" s="140" t="n">
        <v>46044</v>
      </c>
      <c r="B35" s="141" t="s">
        <v>77</v>
      </c>
      <c r="C35" s="142" t="s">
        <v>82</v>
      </c>
      <c r="D35" s="143" t="s">
        <v>75</v>
      </c>
      <c r="E35" s="143" t="s">
        <v>76</v>
      </c>
      <c r="F35" s="144" t="n">
        <v>-7.5</v>
      </c>
      <c r="G35" s="44" t="n">
        <v>660</v>
      </c>
      <c r="H35" s="44" t="n">
        <v>978.609611</v>
      </c>
      <c r="I35" s="145" t="n">
        <v>-7.646</v>
      </c>
      <c r="J35" s="154" t="n">
        <v>-0.32557376038278</v>
      </c>
      <c r="K35" s="146" t="n">
        <v>0.0319374323925805</v>
      </c>
      <c r="L35" s="147" t="n">
        <v>24750</v>
      </c>
      <c r="M35" s="155" t="n">
        <v>46191</v>
      </c>
      <c r="N35" s="149" t="n">
        <v>147</v>
      </c>
    </row>
    <row r="36" customFormat="false" ht="12.75" hidden="false" customHeight="false" outlineLevel="0" collapsed="false">
      <c r="A36" s="140" t="n">
        <v>46045</v>
      </c>
      <c r="B36" s="141" t="s">
        <v>77</v>
      </c>
      <c r="C36" s="142" t="s">
        <v>82</v>
      </c>
      <c r="D36" s="143" t="s">
        <v>86</v>
      </c>
      <c r="E36" s="143" t="s">
        <v>87</v>
      </c>
      <c r="F36" s="144" t="n">
        <v>-10</v>
      </c>
      <c r="G36" s="44" t="n">
        <v>135</v>
      </c>
      <c r="H36" s="44" t="n">
        <v>187.15</v>
      </c>
      <c r="I36" s="145" t="n">
        <v>-7</v>
      </c>
      <c r="J36" s="146" t="n">
        <v>-0.278653486508149</v>
      </c>
      <c r="K36" s="146" t="n">
        <v>0.150974584254826</v>
      </c>
      <c r="L36" s="147" t="n">
        <v>6750</v>
      </c>
      <c r="M36" s="148" t="n">
        <v>46191</v>
      </c>
      <c r="N36" s="149" t="n">
        <v>146</v>
      </c>
    </row>
    <row r="37" customFormat="false" ht="12.75" hidden="false" customHeight="false" outlineLevel="0" collapsed="false">
      <c r="A37" s="140" t="n">
        <v>46045</v>
      </c>
      <c r="B37" s="141" t="s">
        <v>77</v>
      </c>
      <c r="C37" s="142" t="s">
        <v>69</v>
      </c>
      <c r="D37" s="143" t="s">
        <v>86</v>
      </c>
      <c r="E37" s="143" t="s">
        <v>87</v>
      </c>
      <c r="F37" s="144" t="n">
        <v>-10</v>
      </c>
      <c r="G37" s="44" t="n">
        <v>144</v>
      </c>
      <c r="H37" s="44" t="n">
        <v>187.93</v>
      </c>
      <c r="I37" s="145" t="n">
        <v>9.901</v>
      </c>
      <c r="J37" s="146" t="n">
        <v>-0.233757250039909</v>
      </c>
      <c r="K37" s="146" t="n">
        <v>0.204764467993071</v>
      </c>
      <c r="L37" s="147" t="n">
        <v>7200</v>
      </c>
      <c r="M37" s="148" t="n">
        <v>46191</v>
      </c>
      <c r="N37" s="149" t="n">
        <v>146</v>
      </c>
    </row>
    <row r="38" customFormat="false" ht="12.75" hidden="false" customHeight="false" outlineLevel="0" collapsed="false">
      <c r="A38" s="140" t="n">
        <v>46045</v>
      </c>
      <c r="B38" s="141" t="s">
        <v>70</v>
      </c>
      <c r="C38" s="142" t="s">
        <v>82</v>
      </c>
      <c r="D38" s="143" t="s">
        <v>70</v>
      </c>
      <c r="E38" s="143" t="s">
        <v>83</v>
      </c>
      <c r="F38" s="144" t="n">
        <v>-20</v>
      </c>
      <c r="G38" s="44" t="n">
        <v>125</v>
      </c>
      <c r="H38" s="44" t="n">
        <v>182.673929</v>
      </c>
      <c r="I38" s="145" t="n">
        <v>-4.9606</v>
      </c>
      <c r="J38" s="146" t="n">
        <v>-0.315720635756403</v>
      </c>
      <c r="K38" s="146" t="n">
        <v>0</v>
      </c>
      <c r="L38" s="147" t="n">
        <v>12500</v>
      </c>
      <c r="M38" s="148" t="n">
        <v>46191</v>
      </c>
      <c r="N38" s="149" t="n">
        <v>146</v>
      </c>
    </row>
    <row r="39" customFormat="false" ht="12.75" hidden="false" customHeight="false" outlineLevel="0" collapsed="false">
      <c r="A39" s="140" t="n">
        <v>46045</v>
      </c>
      <c r="B39" s="141" t="s">
        <v>70</v>
      </c>
      <c r="C39" s="142" t="s">
        <v>69</v>
      </c>
      <c r="D39" s="143" t="s">
        <v>70</v>
      </c>
      <c r="E39" s="143" t="s">
        <v>83</v>
      </c>
      <c r="F39" s="144" t="n">
        <v>-20</v>
      </c>
      <c r="G39" s="44" t="n">
        <v>140</v>
      </c>
      <c r="H39" s="44" t="n">
        <v>182.754897</v>
      </c>
      <c r="I39" s="145" t="n">
        <v>8.6394</v>
      </c>
      <c r="J39" s="146" t="n">
        <v>-0.233946655886326</v>
      </c>
      <c r="K39" s="146" t="n">
        <v>0</v>
      </c>
      <c r="L39" s="147" t="n">
        <v>14000</v>
      </c>
      <c r="M39" s="148" t="n">
        <v>46191</v>
      </c>
      <c r="N39" s="149" t="n">
        <v>146</v>
      </c>
    </row>
    <row r="40" customFormat="false" ht="12.75" hidden="false" customHeight="false" outlineLevel="0" collapsed="false">
      <c r="A40" s="140" t="n">
        <v>46045</v>
      </c>
      <c r="B40" s="141" t="s">
        <v>70</v>
      </c>
      <c r="C40" s="142" t="s">
        <v>82</v>
      </c>
      <c r="D40" s="143" t="s">
        <v>75</v>
      </c>
      <c r="E40" s="143" t="s">
        <v>76</v>
      </c>
      <c r="F40" s="144" t="n">
        <v>-6</v>
      </c>
      <c r="G40" s="44" t="n">
        <v>650</v>
      </c>
      <c r="H40" s="44" t="n">
        <v>939.73485</v>
      </c>
      <c r="I40" s="145" t="n">
        <v>-6.7302</v>
      </c>
      <c r="J40" s="146" t="n">
        <v>-0.308315531769414</v>
      </c>
      <c r="K40" s="146" t="n">
        <v>0</v>
      </c>
      <c r="L40" s="147" t="n">
        <v>19500</v>
      </c>
      <c r="M40" s="148" t="n">
        <v>46191</v>
      </c>
      <c r="N40" s="149" t="n">
        <v>146</v>
      </c>
    </row>
    <row r="41" customFormat="false" ht="12.75" hidden="false" customHeight="false" outlineLevel="0" collapsed="false">
      <c r="A41" s="140" t="n">
        <v>46045</v>
      </c>
      <c r="B41" s="141" t="s">
        <v>70</v>
      </c>
      <c r="C41" s="142" t="s">
        <v>69</v>
      </c>
      <c r="D41" s="143" t="s">
        <v>75</v>
      </c>
      <c r="E41" s="143" t="s">
        <v>76</v>
      </c>
      <c r="F41" s="144" t="n">
        <v>-6</v>
      </c>
      <c r="G41" s="44" t="n">
        <v>720</v>
      </c>
      <c r="H41" s="44" t="n">
        <v>941.172032</v>
      </c>
      <c r="I41" s="145" t="n">
        <v>12.9354</v>
      </c>
      <c r="J41" s="146" t="n">
        <v>-0.234996392242986</v>
      </c>
      <c r="K41" s="146" t="n">
        <v>0</v>
      </c>
      <c r="L41" s="147" t="n">
        <v>21600</v>
      </c>
      <c r="M41" s="148" t="n">
        <v>46191</v>
      </c>
      <c r="N41" s="149" t="n">
        <v>146</v>
      </c>
    </row>
    <row r="42" customFormat="false" ht="12.75" hidden="false" customHeight="false" outlineLevel="0" collapsed="false">
      <c r="A42" s="140" t="n">
        <v>46045</v>
      </c>
      <c r="B42" s="141" t="s">
        <v>81</v>
      </c>
      <c r="C42" s="142" t="s">
        <v>68</v>
      </c>
      <c r="D42" s="143" t="s">
        <v>53</v>
      </c>
      <c r="E42" s="143" t="s">
        <v>54</v>
      </c>
      <c r="F42" s="144" t="n">
        <v>-1500</v>
      </c>
      <c r="G42" s="156" t="n">
        <v>0.73</v>
      </c>
      <c r="H42" s="44" t="n">
        <v>0.6885</v>
      </c>
      <c r="I42" s="145" t="n">
        <v>0</v>
      </c>
      <c r="J42" s="146" t="n">
        <v>0.0602759622367466</v>
      </c>
      <c r="K42" s="146" t="n">
        <v>0.361508916923691</v>
      </c>
      <c r="L42" s="147" t="n">
        <v>5163.75</v>
      </c>
      <c r="M42" s="148" t="n">
        <v>46351</v>
      </c>
      <c r="N42" s="149" t="n">
        <v>306</v>
      </c>
    </row>
    <row r="43" customFormat="false" ht="12.75" hidden="false" customHeight="false" outlineLevel="0" collapsed="false">
      <c r="A43" s="140" t="n">
        <v>45988</v>
      </c>
      <c r="B43" s="141" t="s">
        <v>81</v>
      </c>
      <c r="C43" s="142" t="s">
        <v>68</v>
      </c>
      <c r="D43" s="143" t="s">
        <v>53</v>
      </c>
      <c r="E43" s="143" t="s">
        <v>54</v>
      </c>
      <c r="F43" s="144" t="n">
        <v>-1500</v>
      </c>
      <c r="G43" s="156" t="n">
        <v>0.7</v>
      </c>
      <c r="H43" s="44" t="n">
        <v>0.6885</v>
      </c>
      <c r="I43" s="145" t="n">
        <v>-2.805</v>
      </c>
      <c r="J43" s="146" t="n">
        <v>0.0167029774872911</v>
      </c>
      <c r="K43" s="146" t="n">
        <v>0.431576406102816</v>
      </c>
      <c r="L43" s="147" t="n">
        <v>5163.75</v>
      </c>
      <c r="M43" s="148" t="n">
        <v>46351</v>
      </c>
      <c r="N43" s="149" t="n">
        <v>306</v>
      </c>
    </row>
    <row r="44" customFormat="false" ht="12.75" hidden="false" customHeight="false" outlineLevel="0" collapsed="false">
      <c r="A44" s="140" t="n">
        <v>46045</v>
      </c>
      <c r="B44" s="141" t="s">
        <v>22</v>
      </c>
      <c r="C44" s="142" t="s">
        <v>68</v>
      </c>
      <c r="D44" s="143" t="s">
        <v>53</v>
      </c>
      <c r="E44" s="143" t="s">
        <v>54</v>
      </c>
      <c r="F44" s="144" t="n">
        <v>-1500</v>
      </c>
      <c r="G44" s="156" t="n">
        <v>0.735</v>
      </c>
      <c r="H44" s="44" t="n">
        <v>0.6884</v>
      </c>
      <c r="I44" s="145" t="n">
        <v>0</v>
      </c>
      <c r="J44" s="146" t="n">
        <v>0.0676932016269611</v>
      </c>
      <c r="K44" s="146" t="n">
        <v>0.35023954661042</v>
      </c>
      <c r="L44" s="147" t="n">
        <v>5163</v>
      </c>
      <c r="M44" s="148" t="n">
        <v>46351</v>
      </c>
      <c r="N44" s="149" t="n">
        <v>306</v>
      </c>
    </row>
    <row r="45" customFormat="false" ht="12.75" hidden="false" customHeight="false" outlineLevel="0" collapsed="false">
      <c r="A45" s="140" t="n">
        <v>45993</v>
      </c>
      <c r="B45" s="141" t="s">
        <v>22</v>
      </c>
      <c r="C45" s="142" t="s">
        <v>68</v>
      </c>
      <c r="D45" s="143" t="s">
        <v>53</v>
      </c>
      <c r="E45" s="143" t="s">
        <v>54</v>
      </c>
      <c r="F45" s="144" t="n">
        <v>-1500</v>
      </c>
      <c r="G45" s="156" t="n">
        <v>0.705</v>
      </c>
      <c r="H45" s="44" t="n">
        <v>0.6884</v>
      </c>
      <c r="I45" s="145" t="n">
        <v>-2.545</v>
      </c>
      <c r="J45" s="146" t="n">
        <v>0.0241138872748401</v>
      </c>
      <c r="K45" s="146" t="n">
        <v>0.419226654166497</v>
      </c>
      <c r="L45" s="147" t="n">
        <v>5163</v>
      </c>
      <c r="M45" s="148" t="n">
        <v>46351</v>
      </c>
      <c r="N45" s="149" t="n">
        <v>306</v>
      </c>
    </row>
    <row r="46" customFormat="false" ht="12.75" hidden="false" customHeight="false" outlineLevel="0" collapsed="false">
      <c r="A46" s="140" t="n">
        <v>46045</v>
      </c>
      <c r="B46" s="141" t="s">
        <v>81</v>
      </c>
      <c r="C46" s="142" t="s">
        <v>69</v>
      </c>
      <c r="D46" s="143" t="s">
        <v>17</v>
      </c>
      <c r="E46" s="143" t="s">
        <v>67</v>
      </c>
      <c r="F46" s="144" t="n">
        <v>-2500</v>
      </c>
      <c r="G46" s="44" t="n">
        <v>780</v>
      </c>
      <c r="H46" s="44" t="n">
        <v>865.96</v>
      </c>
      <c r="I46" s="145" t="n">
        <v>2.5</v>
      </c>
      <c r="J46" s="146" t="n">
        <v>-0.0992655549909927</v>
      </c>
      <c r="K46" s="146" t="n">
        <v>0.369510730102419</v>
      </c>
      <c r="L46" s="147" t="n">
        <v>12500</v>
      </c>
      <c r="M46" s="148" t="n">
        <v>46329</v>
      </c>
      <c r="N46" s="149" t="n">
        <v>284</v>
      </c>
    </row>
    <row r="47" customFormat="false" ht="12.75" hidden="false" customHeight="false" outlineLevel="0" collapsed="false">
      <c r="A47" s="140" t="n">
        <v>46045</v>
      </c>
      <c r="B47" s="141" t="s">
        <v>81</v>
      </c>
      <c r="C47" s="142" t="s">
        <v>69</v>
      </c>
      <c r="D47" s="143" t="s">
        <v>53</v>
      </c>
      <c r="E47" s="143" t="s">
        <v>54</v>
      </c>
      <c r="F47" s="144" t="n">
        <v>-1500</v>
      </c>
      <c r="G47" s="156" t="n">
        <v>0.63</v>
      </c>
      <c r="H47" s="44" t="n">
        <v>0.6883</v>
      </c>
      <c r="I47" s="145" t="n">
        <v>1.9</v>
      </c>
      <c r="J47" s="146" t="n">
        <v>-0.0847014383263113</v>
      </c>
      <c r="K47" s="146" t="n">
        <v>0.394794452245152</v>
      </c>
      <c r="L47" s="147" t="n">
        <v>5162.25</v>
      </c>
      <c r="M47" s="148" t="n">
        <v>46373</v>
      </c>
      <c r="N47" s="149" t="n">
        <v>328</v>
      </c>
    </row>
    <row r="48" customFormat="false" ht="12.75" hidden="false" customHeight="false" outlineLevel="0" collapsed="false">
      <c r="A48" s="140" t="n">
        <v>46048</v>
      </c>
      <c r="B48" s="141" t="s">
        <v>81</v>
      </c>
      <c r="C48" s="142" t="s">
        <v>68</v>
      </c>
      <c r="D48" s="143" t="s">
        <v>53</v>
      </c>
      <c r="E48" s="143" t="s">
        <v>54</v>
      </c>
      <c r="F48" s="144" t="n">
        <v>-1500</v>
      </c>
      <c r="G48" s="156" t="n">
        <v>0.74</v>
      </c>
      <c r="H48" s="44" t="n">
        <v>0.69155</v>
      </c>
      <c r="I48" s="145" t="n">
        <v>0</v>
      </c>
      <c r="J48" s="146" t="n">
        <v>0.0700600101221893</v>
      </c>
      <c r="K48" s="146" t="n">
        <v>0.346333709070189</v>
      </c>
      <c r="L48" s="147" t="n">
        <v>5186.625</v>
      </c>
      <c r="M48" s="148" t="n">
        <v>46351</v>
      </c>
      <c r="N48" s="149" t="n">
        <v>303</v>
      </c>
    </row>
    <row r="49" customFormat="false" ht="12.75" hidden="false" customHeight="false" outlineLevel="0" collapsed="false">
      <c r="A49" s="140" t="n">
        <v>46048</v>
      </c>
      <c r="B49" s="141" t="s">
        <v>81</v>
      </c>
      <c r="C49" s="142" t="s">
        <v>82</v>
      </c>
      <c r="D49" s="143" t="s">
        <v>53</v>
      </c>
      <c r="E49" s="143" t="s">
        <v>54</v>
      </c>
      <c r="F49" s="144" t="n">
        <v>-1500</v>
      </c>
      <c r="G49" s="156" t="n">
        <v>0.71</v>
      </c>
      <c r="H49" s="44" t="n">
        <v>0.69155</v>
      </c>
      <c r="I49" s="145" t="n">
        <v>-2.3</v>
      </c>
      <c r="J49" s="146" t="n">
        <v>0.0266791989010193</v>
      </c>
      <c r="K49" s="146" t="n">
        <v>0.414962873017395</v>
      </c>
      <c r="L49" s="147" t="n">
        <v>5186.625</v>
      </c>
      <c r="M49" s="148" t="n">
        <v>46351</v>
      </c>
      <c r="N49" s="149" t="n">
        <v>303</v>
      </c>
    </row>
    <row r="50" customFormat="false" ht="12.75" hidden="false" customHeight="false" outlineLevel="0" collapsed="false">
      <c r="A50" s="140" t="n">
        <v>46048</v>
      </c>
      <c r="B50" s="141" t="s">
        <v>70</v>
      </c>
      <c r="C50" s="142" t="s">
        <v>82</v>
      </c>
      <c r="D50" s="143" t="s">
        <v>70</v>
      </c>
      <c r="E50" s="143" t="s">
        <v>83</v>
      </c>
      <c r="F50" s="144" t="n">
        <v>-20</v>
      </c>
      <c r="G50" s="44" t="n">
        <v>120</v>
      </c>
      <c r="H50" s="44" t="n">
        <v>180.715</v>
      </c>
      <c r="I50" s="145" t="n">
        <v>-3.92</v>
      </c>
      <c r="J50" s="146" t="n">
        <v>-0.335971004067178</v>
      </c>
      <c r="K50" s="146" t="n">
        <v>0</v>
      </c>
      <c r="L50" s="147" t="n">
        <v>12000</v>
      </c>
      <c r="M50" s="148" t="n">
        <v>46191</v>
      </c>
      <c r="N50" s="149" t="n">
        <v>143</v>
      </c>
    </row>
    <row r="51" customFormat="false" ht="12.75" hidden="false" customHeight="false" outlineLevel="0" collapsed="false">
      <c r="A51" s="140" t="n">
        <v>46048</v>
      </c>
      <c r="B51" s="141" t="s">
        <v>70</v>
      </c>
      <c r="C51" s="142" t="s">
        <v>69</v>
      </c>
      <c r="D51" s="143" t="s">
        <v>70</v>
      </c>
      <c r="E51" s="143" t="s">
        <v>83</v>
      </c>
      <c r="F51" s="144" t="n">
        <v>-22.5</v>
      </c>
      <c r="G51" s="44" t="n">
        <v>145</v>
      </c>
      <c r="H51" s="44" t="n">
        <v>181.78</v>
      </c>
      <c r="I51" s="145" t="n">
        <v>11.16</v>
      </c>
      <c r="J51" s="146" t="n">
        <v>-0.202332489822863</v>
      </c>
      <c r="K51" s="146" t="n">
        <v>0</v>
      </c>
      <c r="L51" s="147" t="n">
        <v>16312.5</v>
      </c>
      <c r="M51" s="148" t="n">
        <v>46191</v>
      </c>
      <c r="N51" s="149" t="n">
        <v>143</v>
      </c>
    </row>
    <row r="52" customFormat="false" ht="12.75" hidden="false" customHeight="false" outlineLevel="0" collapsed="false">
      <c r="A52" s="140" t="n">
        <v>46048</v>
      </c>
      <c r="B52" s="141" t="s">
        <v>77</v>
      </c>
      <c r="C52" s="142" t="s">
        <v>69</v>
      </c>
      <c r="D52" s="143" t="s">
        <v>88</v>
      </c>
      <c r="E52" s="143" t="s">
        <v>89</v>
      </c>
      <c r="F52" s="144" t="n">
        <v>-4.5</v>
      </c>
      <c r="G52" s="44" t="n">
        <v>370</v>
      </c>
      <c r="H52" s="44" t="n">
        <v>473.9</v>
      </c>
      <c r="I52" s="145" t="n">
        <v>3.93282</v>
      </c>
      <c r="J52" s="146" t="n">
        <v>-0.219244566364212</v>
      </c>
      <c r="K52" s="146" t="n">
        <v>0</v>
      </c>
      <c r="L52" s="147" t="n">
        <v>8325</v>
      </c>
      <c r="M52" s="148" t="n">
        <v>46191</v>
      </c>
      <c r="N52" s="149" t="n">
        <v>143</v>
      </c>
    </row>
    <row r="53" customFormat="false" ht="12.75" hidden="false" customHeight="false" outlineLevel="0" collapsed="false">
      <c r="A53" s="140" t="n">
        <v>46050</v>
      </c>
      <c r="B53" s="141" t="s">
        <v>22</v>
      </c>
      <c r="C53" s="142" t="s">
        <v>90</v>
      </c>
      <c r="D53" s="143" t="s">
        <v>53</v>
      </c>
      <c r="E53" s="143" t="s">
        <v>54</v>
      </c>
      <c r="F53" s="144" t="n">
        <v>-1500</v>
      </c>
      <c r="G53" s="44" t="n">
        <v>0.715</v>
      </c>
      <c r="H53" s="44" t="n">
        <v>0.707303</v>
      </c>
      <c r="I53" s="145" t="n">
        <v>0</v>
      </c>
      <c r="J53" s="146" t="n">
        <v>0.010882182035139</v>
      </c>
      <c r="K53" s="146" t="n">
        <v>0.441559878827162</v>
      </c>
      <c r="L53" s="147" t="n">
        <v>5304.7725</v>
      </c>
      <c r="M53" s="148" t="n">
        <v>46351</v>
      </c>
      <c r="N53" s="149" t="n">
        <v>301</v>
      </c>
    </row>
    <row r="54" customFormat="false" ht="12.75" hidden="false" customHeight="false" outlineLevel="0" collapsed="false">
      <c r="A54" s="140" t="n">
        <v>46050</v>
      </c>
      <c r="B54" s="141" t="s">
        <v>22</v>
      </c>
      <c r="C54" s="142" t="s">
        <v>69</v>
      </c>
      <c r="D54" s="143" t="s">
        <v>53</v>
      </c>
      <c r="E54" s="143" t="s">
        <v>54</v>
      </c>
      <c r="F54" s="144" t="n">
        <v>-1500</v>
      </c>
      <c r="G54" s="44" t="n">
        <v>0.64</v>
      </c>
      <c r="H54" s="44" t="n">
        <v>0.707303</v>
      </c>
      <c r="I54" s="145" t="n">
        <v>-2.4</v>
      </c>
      <c r="J54" s="146" t="n">
        <v>-0.0951544104860294</v>
      </c>
      <c r="K54" s="146" t="n">
        <v>0.367779024243397</v>
      </c>
      <c r="L54" s="147" t="n">
        <v>5304.7725</v>
      </c>
      <c r="M54" s="148" t="n">
        <v>46351</v>
      </c>
      <c r="N54" s="149" t="n">
        <v>301</v>
      </c>
    </row>
    <row r="55" customFormat="false" ht="12.75" hidden="false" customHeight="false" outlineLevel="0" collapsed="false">
      <c r="A55" s="140" t="n">
        <v>46050</v>
      </c>
      <c r="B55" s="141" t="s">
        <v>81</v>
      </c>
      <c r="C55" s="142" t="s">
        <v>69</v>
      </c>
      <c r="D55" s="143" t="s">
        <v>17</v>
      </c>
      <c r="E55" s="143" t="s">
        <v>67</v>
      </c>
      <c r="F55" s="144" t="n">
        <v>-2500</v>
      </c>
      <c r="G55" s="44" t="n">
        <v>760</v>
      </c>
      <c r="H55" s="44" t="n">
        <v>856.97</v>
      </c>
      <c r="I55" s="145" t="n">
        <v>1.8</v>
      </c>
      <c r="J55" s="146" t="n">
        <v>-0.113154486154708</v>
      </c>
      <c r="K55" s="146" t="n">
        <v>0.341205848596671</v>
      </c>
      <c r="L55" s="147" t="n">
        <v>12500</v>
      </c>
      <c r="M55" s="148" t="n">
        <v>46329</v>
      </c>
      <c r="N55" s="149" t="n">
        <v>279</v>
      </c>
    </row>
    <row r="56" customFormat="false" ht="12.75" hidden="false" customHeight="false" outlineLevel="0" collapsed="false">
      <c r="A56" s="140" t="n">
        <v>46050</v>
      </c>
      <c r="B56" s="141" t="s">
        <v>81</v>
      </c>
      <c r="C56" s="142" t="s">
        <v>90</v>
      </c>
      <c r="D56" s="143" t="s">
        <v>53</v>
      </c>
      <c r="E56" s="143" t="s">
        <v>54</v>
      </c>
      <c r="F56" s="144" t="n">
        <v>-1500</v>
      </c>
      <c r="G56" s="44" t="n">
        <v>0.72</v>
      </c>
      <c r="H56" s="44" t="n">
        <v>0.69885</v>
      </c>
      <c r="I56" s="145" t="n">
        <v>0</v>
      </c>
      <c r="J56" s="146" t="n">
        <v>0.0302640051513201</v>
      </c>
      <c r="K56" s="146" t="n">
        <v>0.409009133177979</v>
      </c>
      <c r="L56" s="147" t="n">
        <v>5241.375</v>
      </c>
      <c r="M56" s="148" t="n">
        <v>46351</v>
      </c>
      <c r="N56" s="149" t="n">
        <v>301</v>
      </c>
    </row>
    <row r="57" customFormat="false" ht="12.75" hidden="false" customHeight="false" outlineLevel="0" collapsed="false">
      <c r="A57" s="140" t="n">
        <v>46050</v>
      </c>
      <c r="B57" s="141" t="s">
        <v>81</v>
      </c>
      <c r="C57" s="142" t="s">
        <v>68</v>
      </c>
      <c r="D57" s="143" t="s">
        <v>53</v>
      </c>
      <c r="E57" s="143" t="s">
        <v>54</v>
      </c>
      <c r="F57" s="144" t="n">
        <v>-1500</v>
      </c>
      <c r="G57" s="156" t="n">
        <v>0.745</v>
      </c>
      <c r="H57" s="44" t="n">
        <v>0.6987</v>
      </c>
      <c r="I57" s="145" t="n">
        <v>0</v>
      </c>
      <c r="J57" s="146" t="n">
        <v>0.0662659224273652</v>
      </c>
      <c r="K57" s="146" t="n">
        <v>0.351843436626731</v>
      </c>
      <c r="L57" s="147" t="n">
        <v>5240.25</v>
      </c>
      <c r="M57" s="148" t="n">
        <v>46351</v>
      </c>
      <c r="N57" s="149" t="n">
        <v>301</v>
      </c>
    </row>
    <row r="58" customFormat="false" ht="12.75" hidden="false" customHeight="false" outlineLevel="0" collapsed="false">
      <c r="A58" s="140" t="n">
        <v>46050</v>
      </c>
      <c r="B58" s="141" t="s">
        <v>81</v>
      </c>
      <c r="C58" s="142" t="s">
        <v>69</v>
      </c>
      <c r="D58" s="143" t="s">
        <v>53</v>
      </c>
      <c r="E58" s="143" t="s">
        <v>54</v>
      </c>
      <c r="F58" s="144" t="n">
        <v>-1500</v>
      </c>
      <c r="G58" s="156" t="n">
        <v>0.635</v>
      </c>
      <c r="H58" s="44" t="n">
        <v>0.6988</v>
      </c>
      <c r="I58" s="145" t="n">
        <v>-0.3</v>
      </c>
      <c r="J58" s="146" t="n">
        <v>-0.09129937034917</v>
      </c>
      <c r="K58" s="146" t="n">
        <v>0.374808755850611</v>
      </c>
      <c r="L58" s="147" t="n">
        <v>5241</v>
      </c>
      <c r="M58" s="148" t="n">
        <v>46351</v>
      </c>
      <c r="N58" s="149" t="n">
        <v>301</v>
      </c>
    </row>
    <row r="59" customFormat="false" ht="12.75" hidden="false" customHeight="false" outlineLevel="0" collapsed="false">
      <c r="A59" s="140" t="n">
        <v>46050</v>
      </c>
      <c r="B59" s="141" t="s">
        <v>77</v>
      </c>
      <c r="C59" s="142" t="s">
        <v>69</v>
      </c>
      <c r="D59" s="143" t="s">
        <v>86</v>
      </c>
      <c r="E59" s="143" t="s">
        <v>87</v>
      </c>
      <c r="F59" s="144" t="n">
        <v>-15</v>
      </c>
      <c r="G59" s="44" t="n">
        <v>115</v>
      </c>
      <c r="H59" s="44" t="n">
        <v>244.53</v>
      </c>
      <c r="I59" s="145" t="n">
        <v>13.5093</v>
      </c>
      <c r="J59" s="146" t="n">
        <v>-0.529710056025845</v>
      </c>
      <c r="K59" s="146" t="n">
        <v>0.054145897854303</v>
      </c>
      <c r="L59" s="147" t="n">
        <v>8625</v>
      </c>
      <c r="M59" s="148" t="n">
        <v>46374</v>
      </c>
      <c r="N59" s="149" t="n">
        <v>324</v>
      </c>
    </row>
    <row r="60" customFormat="false" ht="12.75" hidden="false" customHeight="false" outlineLevel="0" collapsed="false">
      <c r="A60" s="140" t="n">
        <v>46050</v>
      </c>
      <c r="B60" s="141" t="s">
        <v>77</v>
      </c>
      <c r="C60" s="142" t="s">
        <v>69</v>
      </c>
      <c r="D60" s="143" t="s">
        <v>91</v>
      </c>
      <c r="E60" s="143" t="s">
        <v>92</v>
      </c>
      <c r="F60" s="144" t="n">
        <v>-4.5</v>
      </c>
      <c r="G60" s="44" t="n">
        <v>230</v>
      </c>
      <c r="H60" s="44" t="n">
        <v>434.97</v>
      </c>
      <c r="I60" s="145" t="n">
        <v>7.785</v>
      </c>
      <c r="J60" s="154" t="n">
        <v>-0.471227900774766</v>
      </c>
      <c r="K60" s="146" t="n">
        <v>0</v>
      </c>
      <c r="L60" s="147" t="n">
        <v>5175</v>
      </c>
      <c r="M60" s="148" t="n">
        <v>46374</v>
      </c>
      <c r="N60" s="149" t="n">
        <v>324</v>
      </c>
    </row>
    <row r="61" customFormat="false" ht="12.75" hidden="false" customHeight="false" outlineLevel="0" collapsed="false">
      <c r="A61" s="140" t="n">
        <v>46052</v>
      </c>
      <c r="B61" s="141" t="s">
        <v>77</v>
      </c>
      <c r="C61" s="142" t="s">
        <v>82</v>
      </c>
      <c r="D61" s="143" t="s">
        <v>88</v>
      </c>
      <c r="E61" s="143" t="s">
        <v>89</v>
      </c>
      <c r="F61" s="144" t="n">
        <v>-3.5</v>
      </c>
      <c r="G61" s="44" t="n">
        <v>380</v>
      </c>
      <c r="H61" s="44" t="n">
        <v>435.005</v>
      </c>
      <c r="I61" s="145" t="n">
        <v>-6.80848</v>
      </c>
      <c r="J61" s="154" t="n">
        <v>-0.126446822450317</v>
      </c>
      <c r="K61" s="146" t="n">
        <v>0.237354161235641</v>
      </c>
      <c r="L61" s="147" t="n">
        <v>6650</v>
      </c>
      <c r="M61" s="148" t="n">
        <v>46191</v>
      </c>
      <c r="N61" s="149" t="n">
        <v>139</v>
      </c>
    </row>
    <row r="62" customFormat="false" ht="12.75" hidden="false" customHeight="false" outlineLevel="0" collapsed="false">
      <c r="A62" s="140" t="n">
        <v>46052</v>
      </c>
      <c r="B62" s="141" t="s">
        <v>77</v>
      </c>
      <c r="C62" s="142" t="s">
        <v>69</v>
      </c>
      <c r="D62" s="143" t="s">
        <v>88</v>
      </c>
      <c r="E62" s="143" t="s">
        <v>89</v>
      </c>
      <c r="F62" s="144" t="n">
        <v>-3.5</v>
      </c>
      <c r="G62" s="44" t="n">
        <v>320</v>
      </c>
      <c r="H62" s="44" t="n">
        <v>437.63</v>
      </c>
      <c r="I62" s="145" t="n">
        <v>5.50326</v>
      </c>
      <c r="J62" s="154" t="n">
        <v>-0.268788702785458</v>
      </c>
      <c r="K62" s="146" t="n">
        <v>0</v>
      </c>
      <c r="L62" s="147" t="n">
        <v>5600</v>
      </c>
      <c r="M62" s="148" t="n">
        <v>46374</v>
      </c>
      <c r="N62" s="149" t="n">
        <v>322</v>
      </c>
    </row>
    <row r="63" customFormat="false" ht="12.75" hidden="false" customHeight="false" outlineLevel="0" collapsed="false">
      <c r="A63" s="140" t="n">
        <v>46052</v>
      </c>
      <c r="B63" s="141" t="s">
        <v>93</v>
      </c>
      <c r="C63" s="142" t="s">
        <v>68</v>
      </c>
      <c r="D63" s="143" t="s">
        <v>17</v>
      </c>
      <c r="E63" s="143" t="s">
        <v>67</v>
      </c>
      <c r="F63" s="144" t="n">
        <v>-1500</v>
      </c>
      <c r="G63" s="150" t="n">
        <v>910</v>
      </c>
      <c r="H63" s="157" t="n">
        <v>868</v>
      </c>
      <c r="I63" s="145" t="n">
        <v>1.75115207373272</v>
      </c>
      <c r="J63" s="146" t="n">
        <f aca="false">IF(G63="",0,G63/H63-1)</f>
        <v>0.0483870967741935</v>
      </c>
      <c r="K63" s="146" t="n">
        <f aca="false">IFERROR(#REF!,0)</f>
        <v>0</v>
      </c>
      <c r="L63" s="158" t="n">
        <v>3.75</v>
      </c>
      <c r="M63" s="148" t="n">
        <v>46141</v>
      </c>
      <c r="N63" s="159" t="n">
        <f aca="true">IF(M63="","",M63-TODAY())</f>
        <v>-15</v>
      </c>
    </row>
    <row r="64" customFormat="false" ht="12.75" hidden="false" customHeight="false" outlineLevel="0" collapsed="false">
      <c r="A64" s="140" t="n">
        <v>46059</v>
      </c>
      <c r="B64" s="141" t="s">
        <v>77</v>
      </c>
      <c r="C64" s="142" t="s">
        <v>82</v>
      </c>
      <c r="D64" s="143" t="s">
        <v>88</v>
      </c>
      <c r="E64" s="143" t="s">
        <v>89</v>
      </c>
      <c r="F64" s="144" t="n">
        <v>-4.5</v>
      </c>
      <c r="G64" s="150" t="n">
        <v>370</v>
      </c>
      <c r="H64" s="157" t="n">
        <v>394.615</v>
      </c>
      <c r="I64" s="145" t="n">
        <v>0</v>
      </c>
      <c r="J64" s="146" t="n">
        <v>-0.0623772537789998</v>
      </c>
      <c r="K64" s="146" t="n">
        <v>0.365250185156817</v>
      </c>
      <c r="L64" s="158" t="n">
        <v>8325</v>
      </c>
      <c r="M64" s="148" t="n">
        <v>46191</v>
      </c>
      <c r="N64" s="149" t="n">
        <v>132</v>
      </c>
    </row>
    <row r="65" customFormat="false" ht="12.75" hidden="false" customHeight="false" outlineLevel="0" collapsed="false">
      <c r="A65" s="140" t="n">
        <v>46059</v>
      </c>
      <c r="B65" s="141" t="s">
        <v>77</v>
      </c>
      <c r="C65" s="142" t="s">
        <v>69</v>
      </c>
      <c r="D65" s="143" t="s">
        <v>88</v>
      </c>
      <c r="E65" s="143" t="s">
        <v>89</v>
      </c>
      <c r="F65" s="144" t="n">
        <v>-4.5</v>
      </c>
      <c r="G65" s="150" t="n">
        <v>300</v>
      </c>
      <c r="H65" s="157" t="n">
        <v>394.695</v>
      </c>
      <c r="I65" s="145" t="n">
        <v>-6.156</v>
      </c>
      <c r="J65" s="146" t="n">
        <v>-0.239919431459735</v>
      </c>
      <c r="K65" s="146" t="n">
        <v>0.168029044675921</v>
      </c>
      <c r="L65" s="158" t="n">
        <v>6750</v>
      </c>
      <c r="M65" s="148" t="n">
        <v>46374</v>
      </c>
      <c r="N65" s="149" t="n">
        <v>315</v>
      </c>
    </row>
    <row r="66" customFormat="false" ht="12.75" hidden="false" customHeight="false" outlineLevel="0" collapsed="false">
      <c r="A66" s="140" t="n">
        <v>46048</v>
      </c>
      <c r="B66" s="141" t="s">
        <v>70</v>
      </c>
      <c r="C66" s="142" t="s">
        <v>69</v>
      </c>
      <c r="D66" s="143" t="s">
        <v>70</v>
      </c>
      <c r="E66" s="143" t="s">
        <v>83</v>
      </c>
      <c r="F66" s="144" t="n">
        <v>-22.5</v>
      </c>
      <c r="G66" s="150" t="n">
        <v>145</v>
      </c>
      <c r="H66" s="157" t="n">
        <v>167.695</v>
      </c>
      <c r="I66" s="145" t="n">
        <v>-25.09935</v>
      </c>
      <c r="J66" s="146" t="n">
        <v>-0.13533498315394</v>
      </c>
      <c r="K66" s="146" t="n">
        <v>0.224817357814193</v>
      </c>
      <c r="L66" s="158" t="n">
        <v>16312.5</v>
      </c>
      <c r="M66" s="148" t="n">
        <v>46191</v>
      </c>
      <c r="N66" s="149" t="n">
        <v>125</v>
      </c>
    </row>
    <row r="67" customFormat="false" ht="12.75" hidden="false" customHeight="false" outlineLevel="0" collapsed="false">
      <c r="A67" s="140" t="n">
        <v>46066</v>
      </c>
      <c r="B67" s="141" t="s">
        <v>70</v>
      </c>
      <c r="C67" s="142" t="s">
        <v>69</v>
      </c>
      <c r="D67" s="143" t="s">
        <v>70</v>
      </c>
      <c r="E67" s="143" t="s">
        <v>83</v>
      </c>
      <c r="F67" s="144" t="n">
        <v>-25</v>
      </c>
      <c r="G67" s="150" t="n">
        <v>120</v>
      </c>
      <c r="H67" s="157" t="n">
        <v>170.265</v>
      </c>
      <c r="I67" s="145" t="n">
        <v>21.6494</v>
      </c>
      <c r="J67" s="146" t="n">
        <v>-0.29521628050392</v>
      </c>
      <c r="K67" s="146" t="n">
        <v>0</v>
      </c>
      <c r="L67" s="158" t="n">
        <v>15000</v>
      </c>
      <c r="M67" s="148" t="n">
        <v>46374</v>
      </c>
      <c r="N67" s="149" t="n">
        <v>308</v>
      </c>
    </row>
    <row r="68" customFormat="false" ht="12.75" hidden="false" customHeight="false" outlineLevel="0" collapsed="false">
      <c r="A68" s="140" t="n">
        <v>46006</v>
      </c>
      <c r="B68" s="141" t="s">
        <v>77</v>
      </c>
      <c r="C68" s="142" t="s">
        <v>69</v>
      </c>
      <c r="D68" s="143" t="s">
        <v>79</v>
      </c>
      <c r="E68" s="143" t="s">
        <v>80</v>
      </c>
      <c r="F68" s="144" t="n">
        <v>-2</v>
      </c>
      <c r="G68" s="150" t="n">
        <v>290</v>
      </c>
      <c r="H68" s="157" t="n">
        <v>308.54</v>
      </c>
      <c r="I68" s="145" t="n">
        <v>-16.812</v>
      </c>
      <c r="J68" s="146" t="n">
        <v>-0.0600894535554546</v>
      </c>
      <c r="K68" s="146" t="n">
        <v>0.470860352723364</v>
      </c>
      <c r="L68" s="158" t="n">
        <v>2900</v>
      </c>
      <c r="M68" s="148" t="n">
        <v>46191</v>
      </c>
      <c r="N68" s="149" t="n">
        <v>115</v>
      </c>
    </row>
    <row r="69" customFormat="false" ht="12.75" hidden="false" customHeight="false" outlineLevel="0" collapsed="false">
      <c r="A69" s="140" t="n">
        <v>46076</v>
      </c>
      <c r="B69" s="141" t="s">
        <v>77</v>
      </c>
      <c r="C69" s="142" t="s">
        <v>69</v>
      </c>
      <c r="D69" s="143" t="s">
        <v>91</v>
      </c>
      <c r="E69" s="143" t="s">
        <v>92</v>
      </c>
      <c r="F69" s="144" t="n">
        <v>-6</v>
      </c>
      <c r="G69" s="150" t="n">
        <v>220</v>
      </c>
      <c r="H69" s="157" t="n">
        <v>394.665</v>
      </c>
      <c r="I69" s="145" t="n">
        <v>9.9</v>
      </c>
      <c r="J69" s="146" t="n">
        <v>-0.44256521353553</v>
      </c>
      <c r="K69" s="146" t="n">
        <v>0</v>
      </c>
      <c r="L69" s="158" t="n">
        <v>6600</v>
      </c>
      <c r="M69" s="148" t="n">
        <v>46374</v>
      </c>
      <c r="N69" s="149" t="n">
        <v>298</v>
      </c>
    </row>
    <row r="70" customFormat="false" ht="12.75" hidden="false" customHeight="false" outlineLevel="0" collapsed="false">
      <c r="A70" s="140" t="n">
        <v>46015</v>
      </c>
      <c r="B70" s="141" t="s">
        <v>77</v>
      </c>
      <c r="C70" s="142" t="s">
        <v>69</v>
      </c>
      <c r="D70" s="143" t="s">
        <v>88</v>
      </c>
      <c r="E70" s="143" t="s">
        <v>89</v>
      </c>
      <c r="F70" s="144" t="n">
        <v>-4.5</v>
      </c>
      <c r="G70" s="150" t="n">
        <v>340</v>
      </c>
      <c r="H70" s="157" t="n">
        <v>387.53</v>
      </c>
      <c r="I70" s="145" t="n">
        <v>-18.70299</v>
      </c>
      <c r="J70" s="146" t="n">
        <v>-0.122648569143034</v>
      </c>
      <c r="K70" s="146" t="n">
        <v>0.321243285389066</v>
      </c>
      <c r="L70" s="158" t="n">
        <v>7650</v>
      </c>
      <c r="M70" s="148" t="n">
        <v>46374</v>
      </c>
      <c r="N70" s="149" t="n">
        <v>298</v>
      </c>
    </row>
    <row r="71" customFormat="false" ht="12.75" hidden="false" customHeight="false" outlineLevel="0" collapsed="false">
      <c r="A71" s="140" t="n">
        <v>46034</v>
      </c>
      <c r="B71" s="141" t="s">
        <v>70</v>
      </c>
      <c r="C71" s="142" t="s">
        <v>69</v>
      </c>
      <c r="D71" s="143" t="s">
        <v>79</v>
      </c>
      <c r="E71" s="143" t="s">
        <v>80</v>
      </c>
      <c r="F71" s="144" t="n">
        <v>-2</v>
      </c>
      <c r="G71" s="150" t="n">
        <v>280</v>
      </c>
      <c r="H71" s="157" t="n">
        <v>313.425</v>
      </c>
      <c r="I71" s="145" t="n">
        <v>-14.6886</v>
      </c>
      <c r="J71" s="146" t="n">
        <v>-0.106644332774986</v>
      </c>
      <c r="K71" s="146" t="n">
        <v>0.407511278993648</v>
      </c>
      <c r="L71" s="158" t="n">
        <v>2800</v>
      </c>
      <c r="M71" s="148" t="n">
        <v>46191</v>
      </c>
      <c r="N71" s="149" t="n">
        <v>114</v>
      </c>
    </row>
    <row r="72" customFormat="false" ht="12.75" hidden="false" customHeight="false" outlineLevel="0" collapsed="false">
      <c r="A72" s="140" t="n">
        <v>46077</v>
      </c>
      <c r="B72" s="141" t="s">
        <v>70</v>
      </c>
      <c r="C72" s="142" t="s">
        <v>69</v>
      </c>
      <c r="D72" s="143" t="s">
        <v>86</v>
      </c>
      <c r="E72" s="143" t="s">
        <v>87</v>
      </c>
      <c r="F72" s="144" t="n">
        <v>-17.5</v>
      </c>
      <c r="G72" s="150" t="n">
        <v>95</v>
      </c>
      <c r="H72" s="157" t="n">
        <v>199.23</v>
      </c>
      <c r="I72" s="145" t="n">
        <v>8.2944</v>
      </c>
      <c r="J72" s="146" t="n">
        <v>-0.523164182101089</v>
      </c>
      <c r="K72" s="146" t="n">
        <v>0.0488867331078919</v>
      </c>
      <c r="L72" s="147" t="n">
        <v>8312.5</v>
      </c>
      <c r="M72" s="148" t="n">
        <v>46374</v>
      </c>
      <c r="N72" s="149" t="n">
        <v>297</v>
      </c>
    </row>
    <row r="73" customFormat="false" ht="12.75" hidden="false" customHeight="false" outlineLevel="0" collapsed="false">
      <c r="A73" s="140" t="n">
        <v>46077</v>
      </c>
      <c r="B73" s="141" t="s">
        <v>70</v>
      </c>
      <c r="C73" s="142" t="s">
        <v>69</v>
      </c>
      <c r="D73" s="143" t="s">
        <v>94</v>
      </c>
      <c r="E73" s="143" t="s">
        <v>95</v>
      </c>
      <c r="F73" s="144" t="n">
        <v>-37.5</v>
      </c>
      <c r="G73" s="150" t="n">
        <v>42</v>
      </c>
      <c r="H73" s="157" t="n">
        <v>49.975</v>
      </c>
      <c r="I73" s="145" t="n">
        <v>-7.7256</v>
      </c>
      <c r="J73" s="146" t="n">
        <v>-0.159579789894947</v>
      </c>
      <c r="K73" s="146" t="n">
        <v>0.152061882295438</v>
      </c>
      <c r="L73" s="147" t="n">
        <v>15750</v>
      </c>
      <c r="M73" s="148" t="n">
        <v>46191</v>
      </c>
      <c r="N73" s="149" t="n">
        <v>114</v>
      </c>
    </row>
    <row r="74" customFormat="false" ht="12.75" hidden="false" customHeight="false" outlineLevel="0" collapsed="false">
      <c r="A74" s="140" t="n">
        <v>46077</v>
      </c>
      <c r="B74" s="141" t="s">
        <v>70</v>
      </c>
      <c r="C74" s="142" t="s">
        <v>69</v>
      </c>
      <c r="D74" s="143" t="s">
        <v>94</v>
      </c>
      <c r="E74" s="143" t="s">
        <v>95</v>
      </c>
      <c r="F74" s="144" t="n">
        <v>-37.5</v>
      </c>
      <c r="G74" s="150" t="n">
        <v>28</v>
      </c>
      <c r="H74" s="157" t="n">
        <v>49.915</v>
      </c>
      <c r="I74" s="145" t="n">
        <v>3.32865</v>
      </c>
      <c r="J74" s="146" t="n">
        <v>-0.439046378844035</v>
      </c>
      <c r="K74" s="146" t="n">
        <v>0.0169496194716332</v>
      </c>
      <c r="L74" s="147" t="n">
        <v>5250</v>
      </c>
      <c r="M74" s="148" t="n">
        <v>46374</v>
      </c>
      <c r="N74" s="149" t="n">
        <v>297</v>
      </c>
    </row>
    <row r="75" customFormat="false" ht="12.75" hidden="false" customHeight="false" outlineLevel="0" collapsed="false">
      <c r="A75" s="140" t="n">
        <v>46077</v>
      </c>
      <c r="B75" s="141" t="s">
        <v>77</v>
      </c>
      <c r="C75" s="142" t="s">
        <v>69</v>
      </c>
      <c r="D75" s="143" t="s">
        <v>75</v>
      </c>
      <c r="E75" s="143" t="s">
        <v>76</v>
      </c>
      <c r="F75" s="144" t="n">
        <v>-3.75</v>
      </c>
      <c r="G75" s="150" t="n">
        <v>750</v>
      </c>
      <c r="H75" s="157" t="n">
        <v>897.63</v>
      </c>
      <c r="I75" s="145" t="n">
        <v>-16.5</v>
      </c>
      <c r="J75" s="146" t="n">
        <v>-0.164466428261087</v>
      </c>
      <c r="K75" s="146" t="n">
        <v>0.171100498189031</v>
      </c>
      <c r="L75" s="147" t="n">
        <v>14062.5</v>
      </c>
      <c r="M75" s="148" t="n">
        <v>46191</v>
      </c>
      <c r="N75" s="149" t="n">
        <v>114</v>
      </c>
    </row>
    <row r="76" customFormat="false" ht="12.75" hidden="false" customHeight="false" outlineLevel="0" collapsed="false">
      <c r="A76" s="140" t="n">
        <v>46077</v>
      </c>
      <c r="B76" s="141" t="s">
        <v>77</v>
      </c>
      <c r="C76" s="142" t="s">
        <v>69</v>
      </c>
      <c r="D76" s="143" t="s">
        <v>75</v>
      </c>
      <c r="E76" s="143" t="s">
        <v>76</v>
      </c>
      <c r="F76" s="144" t="n">
        <v>-3.75</v>
      </c>
      <c r="G76" s="150" t="n">
        <v>600</v>
      </c>
      <c r="H76" s="157" t="n">
        <v>896.655</v>
      </c>
      <c r="I76" s="145" t="n">
        <v>13.125</v>
      </c>
      <c r="J76" s="146" t="n">
        <v>-0.330846312126738</v>
      </c>
      <c r="K76" s="146" t="n">
        <v>0</v>
      </c>
      <c r="L76" s="147" t="n">
        <v>11250</v>
      </c>
      <c r="M76" s="148" t="n">
        <v>46374</v>
      </c>
      <c r="N76" s="149" t="n">
        <v>297</v>
      </c>
    </row>
    <row r="77" customFormat="false" ht="12.75" hidden="false" customHeight="false" outlineLevel="0" collapsed="false">
      <c r="A77" s="140" t="n">
        <v>46077</v>
      </c>
      <c r="B77" s="141" t="s">
        <v>22</v>
      </c>
      <c r="C77" s="142" t="s">
        <v>69</v>
      </c>
      <c r="D77" s="143" t="s">
        <v>86</v>
      </c>
      <c r="E77" s="143" t="s">
        <v>87</v>
      </c>
      <c r="F77" s="144" t="n">
        <v>-17.5</v>
      </c>
      <c r="G77" s="150" t="n">
        <v>110</v>
      </c>
      <c r="H77" s="157" t="n">
        <v>192.595</v>
      </c>
      <c r="I77" s="145" t="n">
        <v>13.65</v>
      </c>
      <c r="J77" s="146" t="n">
        <v>-0.428853293179989</v>
      </c>
      <c r="K77" s="146" t="n">
        <v>0.111079046869093</v>
      </c>
      <c r="L77" s="147" t="n">
        <v>9625</v>
      </c>
      <c r="M77" s="148" t="n">
        <v>46374</v>
      </c>
      <c r="N77" s="149" t="n">
        <v>297</v>
      </c>
    </row>
    <row r="78" customFormat="false" ht="12.75" hidden="false" customHeight="false" outlineLevel="0" collapsed="false">
      <c r="A78" s="140" t="n">
        <v>46078</v>
      </c>
      <c r="B78" s="141" t="s">
        <v>22</v>
      </c>
      <c r="C78" s="142" t="s">
        <v>69</v>
      </c>
      <c r="D78" s="143" t="s">
        <v>91</v>
      </c>
      <c r="E78" s="143" t="s">
        <v>92</v>
      </c>
      <c r="F78" s="144" t="n">
        <v>-6</v>
      </c>
      <c r="G78" s="150" t="n">
        <v>200</v>
      </c>
      <c r="H78" s="157" t="n">
        <v>413.935</v>
      </c>
      <c r="I78" s="145" t="n">
        <v>6.72</v>
      </c>
      <c r="J78" s="146" t="n">
        <v>-0.516832352905649</v>
      </c>
      <c r="K78" s="146" t="n">
        <v>0</v>
      </c>
      <c r="L78" s="158" t="n">
        <v>6000</v>
      </c>
      <c r="M78" s="155" t="n">
        <v>46374</v>
      </c>
      <c r="N78" s="149" t="n">
        <v>296</v>
      </c>
    </row>
    <row r="79" customFormat="false" ht="12.75" hidden="false" customHeight="false" outlineLevel="0" collapsed="false">
      <c r="A79" s="140" t="n">
        <v>46079</v>
      </c>
      <c r="B79" s="141" t="s">
        <v>22</v>
      </c>
      <c r="C79" s="142" t="s">
        <v>69</v>
      </c>
      <c r="D79" s="143" t="s">
        <v>86</v>
      </c>
      <c r="E79" s="143" t="s">
        <v>87</v>
      </c>
      <c r="F79" s="144" t="n">
        <v>-10</v>
      </c>
      <c r="G79" s="150" t="n">
        <v>150</v>
      </c>
      <c r="H79" s="157" t="n">
        <v>193.68</v>
      </c>
      <c r="I79" s="145" t="n">
        <v>11</v>
      </c>
      <c r="J79" s="146" t="n">
        <v>-0.225526641883519</v>
      </c>
      <c r="K79" s="146" t="n">
        <v>0.177809821146428</v>
      </c>
      <c r="L79" s="158" t="n">
        <v>7500</v>
      </c>
      <c r="M79" s="155" t="n">
        <v>46191</v>
      </c>
      <c r="N79" s="149" t="n">
        <v>112</v>
      </c>
    </row>
    <row r="80" customFormat="false" ht="12.75" hidden="false" customHeight="false" outlineLevel="0" collapsed="false">
      <c r="A80" s="140" t="n">
        <v>46091</v>
      </c>
      <c r="B80" s="141" t="s">
        <v>77</v>
      </c>
      <c r="C80" s="142" t="s">
        <v>96</v>
      </c>
      <c r="D80" s="143" t="s">
        <v>91</v>
      </c>
      <c r="E80" s="143" t="s">
        <v>92</v>
      </c>
      <c r="F80" s="144" t="n">
        <v>-3</v>
      </c>
      <c r="G80" s="44" t="n">
        <v>310</v>
      </c>
      <c r="H80" s="44" t="n">
        <v>401.32</v>
      </c>
      <c r="I80" s="145" t="n">
        <v>-5.3394</v>
      </c>
      <c r="J80" s="154" t="n">
        <v>-0.227549088009568</v>
      </c>
      <c r="K80" s="146" t="n">
        <v>0</v>
      </c>
      <c r="L80" s="147" t="n">
        <v>4650</v>
      </c>
      <c r="M80" s="155" t="n">
        <v>46191</v>
      </c>
      <c r="N80" s="149" t="n">
        <v>100</v>
      </c>
    </row>
    <row r="81" customFormat="false" ht="12.75" hidden="false" customHeight="false" outlineLevel="0" collapsed="false">
      <c r="A81" s="140" t="n">
        <v>46091</v>
      </c>
      <c r="B81" s="141" t="s">
        <v>77</v>
      </c>
      <c r="C81" s="142" t="s">
        <v>69</v>
      </c>
      <c r="D81" s="143" t="s">
        <v>91</v>
      </c>
      <c r="E81" s="143" t="s">
        <v>92</v>
      </c>
      <c r="F81" s="144" t="n">
        <v>-6</v>
      </c>
      <c r="G81" s="44" t="n">
        <v>210</v>
      </c>
      <c r="H81" s="44" t="n">
        <v>401.92</v>
      </c>
      <c r="I81" s="145" t="n">
        <v>8.22</v>
      </c>
      <c r="J81" s="154" t="n">
        <v>-0.452627388535032</v>
      </c>
      <c r="K81" s="146" t="n">
        <v>0</v>
      </c>
      <c r="L81" s="147" t="n">
        <v>6600</v>
      </c>
      <c r="M81" s="155" t="n">
        <v>46374</v>
      </c>
      <c r="N81" s="149" t="n">
        <v>283</v>
      </c>
    </row>
    <row r="82" customFormat="false" ht="12.75" hidden="false" customHeight="false" outlineLevel="0" collapsed="false">
      <c r="A82" s="140" t="n">
        <v>46093</v>
      </c>
      <c r="B82" s="141" t="s">
        <v>70</v>
      </c>
      <c r="C82" s="142" t="s">
        <v>96</v>
      </c>
      <c r="D82" s="143" t="s">
        <v>84</v>
      </c>
      <c r="E82" s="143" t="s">
        <v>84</v>
      </c>
      <c r="F82" s="144" t="n">
        <v>-7.5</v>
      </c>
      <c r="G82" s="44" t="n">
        <v>240</v>
      </c>
      <c r="H82" s="44" t="n">
        <v>279.305</v>
      </c>
      <c r="I82" s="145" t="n">
        <v>-9.4806</v>
      </c>
      <c r="J82" s="154" t="n">
        <v>-0.140724297810637</v>
      </c>
      <c r="K82" s="146" t="n">
        <v>0.210461586317637</v>
      </c>
      <c r="L82" s="147" t="n">
        <v>9000</v>
      </c>
      <c r="M82" s="155" t="n">
        <v>46191</v>
      </c>
      <c r="N82" s="149" t="n">
        <v>98</v>
      </c>
    </row>
    <row r="83" customFormat="false" ht="12.75" hidden="false" customHeight="false" outlineLevel="0" collapsed="false">
      <c r="A83" s="140" t="n">
        <v>46094</v>
      </c>
      <c r="B83" s="141" t="s">
        <v>85</v>
      </c>
      <c r="C83" s="142" t="s">
        <v>69</v>
      </c>
      <c r="D83" s="143" t="s">
        <v>17</v>
      </c>
      <c r="E83" s="143" t="s">
        <v>67</v>
      </c>
      <c r="F83" s="144" t="n">
        <v>-2500</v>
      </c>
      <c r="G83" s="44" t="n">
        <v>815</v>
      </c>
      <c r="H83" s="44" t="n">
        <v>914.725</v>
      </c>
      <c r="I83" s="145" t="n">
        <v>2.55</v>
      </c>
      <c r="J83" s="154" t="n">
        <v>-0.109021837164175</v>
      </c>
      <c r="K83" s="146" t="n">
        <v>0.353734818847038</v>
      </c>
      <c r="L83" s="147" t="n">
        <v>12500</v>
      </c>
      <c r="M83" s="155" t="n">
        <v>46329</v>
      </c>
      <c r="N83" s="149" t="n">
        <v>235</v>
      </c>
    </row>
    <row r="84" customFormat="false" ht="12.75" hidden="false" customHeight="false" outlineLevel="0" collapsed="false">
      <c r="A84" s="140" t="n">
        <v>46094</v>
      </c>
      <c r="B84" s="141" t="s">
        <v>77</v>
      </c>
      <c r="C84" s="142" t="s">
        <v>96</v>
      </c>
      <c r="D84" s="143" t="s">
        <v>75</v>
      </c>
      <c r="E84" s="143" t="s">
        <v>76</v>
      </c>
      <c r="F84" s="144" t="n">
        <v>-4</v>
      </c>
      <c r="G84" s="44" t="n">
        <v>670</v>
      </c>
      <c r="H84" s="44" t="n">
        <v>796.99</v>
      </c>
      <c r="I84" s="145" t="n">
        <v>-17.184</v>
      </c>
      <c r="J84" s="154" t="n">
        <v>-0.15933700548313</v>
      </c>
      <c r="K84" s="146" t="n">
        <v>0.235730701526313</v>
      </c>
      <c r="L84" s="147" t="n">
        <v>13400</v>
      </c>
      <c r="M84" s="155" t="n">
        <v>46191</v>
      </c>
      <c r="N84" s="149" t="n">
        <v>97</v>
      </c>
    </row>
    <row r="85" customFormat="false" ht="12.75" hidden="false" customHeight="false" outlineLevel="0" collapsed="false">
      <c r="A85" s="140" t="n">
        <v>46094</v>
      </c>
      <c r="B85" s="141" t="s">
        <v>77</v>
      </c>
      <c r="C85" s="142" t="s">
        <v>69</v>
      </c>
      <c r="D85" s="143" t="s">
        <v>75</v>
      </c>
      <c r="E85" s="143" t="s">
        <v>76</v>
      </c>
      <c r="F85" s="144" t="n">
        <v>-4</v>
      </c>
      <c r="G85" s="44" t="n">
        <v>550</v>
      </c>
      <c r="H85" s="44" t="n">
        <v>796.55</v>
      </c>
      <c r="I85" s="145" t="n">
        <v>16.24</v>
      </c>
      <c r="J85" s="154" t="n">
        <v>-0.309522314983366</v>
      </c>
      <c r="K85" s="146" t="n">
        <v>0.190357239699365</v>
      </c>
      <c r="L85" s="147" t="n">
        <v>11000</v>
      </c>
      <c r="M85" s="155" t="n">
        <v>46374</v>
      </c>
      <c r="N85" s="149" t="n">
        <v>280</v>
      </c>
    </row>
    <row r="86" customFormat="false" ht="12.75" hidden="false" customHeight="false" outlineLevel="0" collapsed="false">
      <c r="A86" s="140" t="n">
        <v>46013</v>
      </c>
      <c r="B86" s="141" t="s">
        <v>77</v>
      </c>
      <c r="C86" s="142" t="s">
        <v>96</v>
      </c>
      <c r="D86" s="143" t="s">
        <v>70</v>
      </c>
      <c r="E86" s="143" t="s">
        <v>83</v>
      </c>
      <c r="F86" s="144" t="n">
        <v>-20</v>
      </c>
      <c r="G86" s="44" t="n">
        <v>130</v>
      </c>
      <c r="H86" s="44" t="n">
        <v>156.31</v>
      </c>
      <c r="I86" s="145" t="n">
        <v>-16.6</v>
      </c>
      <c r="J86" s="154" t="n">
        <v>-0.1683193653637</v>
      </c>
      <c r="K86" s="146" t="n">
        <v>0.221076044613565</v>
      </c>
      <c r="L86" s="147" t="n">
        <v>13000</v>
      </c>
      <c r="M86" s="155" t="n">
        <v>46191</v>
      </c>
      <c r="N86" s="149" t="n">
        <v>97</v>
      </c>
    </row>
    <row r="87" customFormat="false" ht="12.75" hidden="false" customHeight="false" outlineLevel="0" collapsed="false">
      <c r="A87" s="140" t="n">
        <v>46094</v>
      </c>
      <c r="B87" s="141" t="s">
        <v>77</v>
      </c>
      <c r="C87" s="142" t="s">
        <v>69</v>
      </c>
      <c r="D87" s="143" t="s">
        <v>70</v>
      </c>
      <c r="E87" s="143" t="s">
        <v>83</v>
      </c>
      <c r="F87" s="144" t="n">
        <v>-20</v>
      </c>
      <c r="G87" s="44" t="n">
        <v>105</v>
      </c>
      <c r="H87" s="44" t="n">
        <v>156.47</v>
      </c>
      <c r="I87" s="145" t="n">
        <v>15.8</v>
      </c>
      <c r="J87" s="154" t="n">
        <v>-0.328944845657315</v>
      </c>
      <c r="K87" s="146" t="n">
        <v>0.170462306819702</v>
      </c>
      <c r="L87" s="147" t="n">
        <v>10500</v>
      </c>
      <c r="M87" s="155" t="n">
        <v>46374</v>
      </c>
      <c r="N87" s="149" t="n">
        <v>280</v>
      </c>
    </row>
    <row r="88" customFormat="false" ht="12.75" hidden="false" customHeight="false" outlineLevel="0" collapsed="false">
      <c r="A88" s="140" t="n">
        <v>46035</v>
      </c>
      <c r="B88" s="141" t="s">
        <v>70</v>
      </c>
      <c r="C88" s="142" t="s">
        <v>96</v>
      </c>
      <c r="D88" s="143" t="s">
        <v>84</v>
      </c>
      <c r="E88" s="143" t="s">
        <v>84</v>
      </c>
      <c r="F88" s="144" t="n">
        <v>-7.5</v>
      </c>
      <c r="G88" s="44" t="n">
        <v>235</v>
      </c>
      <c r="H88" s="44" t="n">
        <v>285.785</v>
      </c>
      <c r="I88" s="145" t="n">
        <v>-7.05</v>
      </c>
      <c r="J88" s="154" t="n">
        <v>-0.177703518379201</v>
      </c>
      <c r="K88" s="146" t="n">
        <v>0.169766366861489</v>
      </c>
      <c r="L88" s="147" t="n">
        <v>8812.5</v>
      </c>
      <c r="M88" s="155" t="n">
        <v>46191</v>
      </c>
      <c r="N88" s="149" t="n">
        <v>97</v>
      </c>
    </row>
    <row r="89" customFormat="false" ht="12.75" hidden="false" customHeight="false" outlineLevel="0" collapsed="false">
      <c r="A89" s="140" t="n">
        <v>46094</v>
      </c>
      <c r="B89" s="141" t="s">
        <v>70</v>
      </c>
      <c r="C89" s="142" t="s">
        <v>69</v>
      </c>
      <c r="D89" s="143" t="s">
        <v>84</v>
      </c>
      <c r="E89" s="143" t="s">
        <v>84</v>
      </c>
      <c r="F89" s="144" t="n">
        <v>-7.5</v>
      </c>
      <c r="G89" s="44" t="n">
        <v>200</v>
      </c>
      <c r="H89" s="44" t="n">
        <v>285.745</v>
      </c>
      <c r="I89" s="145" t="n">
        <v>8.25</v>
      </c>
      <c r="J89" s="154" t="n">
        <v>-0.300075241911495</v>
      </c>
      <c r="K89" s="146" t="n">
        <v>0.159196845643803</v>
      </c>
      <c r="L89" s="147" t="n">
        <v>7500</v>
      </c>
      <c r="M89" s="155" t="n">
        <v>46374</v>
      </c>
      <c r="N89" s="149" t="n">
        <v>280</v>
      </c>
    </row>
    <row r="90" customFormat="false" ht="12.75" hidden="false" customHeight="false" outlineLevel="0" collapsed="false">
      <c r="A90" s="140" t="n">
        <v>46097</v>
      </c>
      <c r="B90" s="141" t="s">
        <v>77</v>
      </c>
      <c r="C90" s="142" t="s">
        <v>96</v>
      </c>
      <c r="D90" s="143" t="s">
        <v>71</v>
      </c>
      <c r="E90" s="143" t="s">
        <v>72</v>
      </c>
      <c r="F90" s="144" t="n">
        <v>-8.5</v>
      </c>
      <c r="G90" s="44" t="n">
        <v>470</v>
      </c>
      <c r="H90" s="44" t="n">
        <v>600.295</v>
      </c>
      <c r="I90" s="145" t="n">
        <v>-8.432</v>
      </c>
      <c r="J90" s="154" t="n">
        <v>-0.217051616288658</v>
      </c>
      <c r="K90" s="146" t="n">
        <v>0.0881360635821526</v>
      </c>
      <c r="L90" s="147" t="n">
        <v>19975</v>
      </c>
      <c r="M90" s="155" t="n">
        <v>46203</v>
      </c>
      <c r="N90" s="149" t="n">
        <v>106</v>
      </c>
    </row>
    <row r="91" customFormat="false" ht="12.75" hidden="false" customHeight="false" outlineLevel="0" collapsed="false">
      <c r="A91" s="140" t="n">
        <v>46097</v>
      </c>
      <c r="B91" s="141" t="s">
        <v>77</v>
      </c>
      <c r="C91" s="142" t="s">
        <v>69</v>
      </c>
      <c r="D91" s="143" t="s">
        <v>71</v>
      </c>
      <c r="E91" s="143" t="s">
        <v>72</v>
      </c>
      <c r="F91" s="144" t="n">
        <v>-8.5</v>
      </c>
      <c r="G91" s="44" t="n">
        <v>360</v>
      </c>
      <c r="H91" s="44" t="n">
        <v>600.235</v>
      </c>
      <c r="I91" s="145" t="n">
        <v>7.582</v>
      </c>
      <c r="J91" s="154" t="n">
        <v>-0.400234907994369</v>
      </c>
      <c r="K91" s="146" t="n">
        <v>0.0409184759930755</v>
      </c>
      <c r="L91" s="147" t="n">
        <v>15300</v>
      </c>
      <c r="M91" s="155" t="n">
        <v>46374</v>
      </c>
      <c r="N91" s="149" t="n">
        <v>277</v>
      </c>
    </row>
    <row r="92" customFormat="false" ht="12.75" hidden="false" customHeight="false" outlineLevel="0" collapsed="false">
      <c r="A92" s="140" t="n">
        <v>46097</v>
      </c>
      <c r="B92" s="141" t="s">
        <v>70</v>
      </c>
      <c r="C92" s="142" t="s">
        <v>96</v>
      </c>
      <c r="D92" s="143" t="s">
        <v>73</v>
      </c>
      <c r="E92" s="143" t="s">
        <v>74</v>
      </c>
      <c r="F92" s="144" t="n">
        <v>-7.5</v>
      </c>
      <c r="G92" s="44" t="n">
        <v>525</v>
      </c>
      <c r="H92" s="44" t="n">
        <v>668.18</v>
      </c>
      <c r="I92" s="145" t="n">
        <v>-5.7606</v>
      </c>
      <c r="J92" s="154" t="n">
        <v>-0.21428357628184</v>
      </c>
      <c r="K92" s="146" t="n">
        <v>0.0575614228757193</v>
      </c>
      <c r="L92" s="147" t="n">
        <v>19687.5</v>
      </c>
      <c r="M92" s="155" t="n">
        <v>46191</v>
      </c>
      <c r="N92" s="149" t="n">
        <v>94</v>
      </c>
    </row>
    <row r="93" customFormat="false" ht="12.75" hidden="false" customHeight="false" outlineLevel="0" collapsed="false">
      <c r="A93" s="140" t="n">
        <v>46097</v>
      </c>
      <c r="B93" s="141" t="s">
        <v>70</v>
      </c>
      <c r="C93" s="142" t="s">
        <v>69</v>
      </c>
      <c r="D93" s="143" t="s">
        <v>73</v>
      </c>
      <c r="E93" s="143" t="s">
        <v>74</v>
      </c>
      <c r="F93" s="144" t="n">
        <v>-7.5</v>
      </c>
      <c r="G93" s="44" t="n">
        <v>400</v>
      </c>
      <c r="H93" s="44" t="n">
        <v>668.19</v>
      </c>
      <c r="I93" s="145" t="n">
        <v>6.0594</v>
      </c>
      <c r="J93" s="154" t="n">
        <v>-0.40136787440698</v>
      </c>
      <c r="K93" s="146" t="n">
        <v>0.0256587972900315</v>
      </c>
      <c r="L93" s="147" t="n">
        <v>15000</v>
      </c>
      <c r="M93" s="155" t="n">
        <v>46374</v>
      </c>
      <c r="N93" s="149" t="n">
        <v>277</v>
      </c>
    </row>
    <row r="94" customFormat="false" ht="12.75" hidden="false" customHeight="false" outlineLevel="0" collapsed="false">
      <c r="A94" s="140" t="n">
        <v>46097</v>
      </c>
      <c r="B94" s="141" t="s">
        <v>81</v>
      </c>
      <c r="C94" s="142" t="s">
        <v>96</v>
      </c>
      <c r="D94" s="143" t="s">
        <v>73</v>
      </c>
      <c r="E94" s="143" t="s">
        <v>74</v>
      </c>
      <c r="F94" s="144" t="n">
        <v>-7.5</v>
      </c>
      <c r="G94" s="44" t="n">
        <v>520</v>
      </c>
      <c r="H94" s="44" t="n">
        <v>670.04</v>
      </c>
      <c r="I94" s="145" t="n">
        <v>-5.4447</v>
      </c>
      <c r="J94" s="154" t="n">
        <v>-0.223926929735538</v>
      </c>
      <c r="K94" s="146" t="n">
        <v>0.0487906502515838</v>
      </c>
      <c r="L94" s="147" t="n">
        <v>19500</v>
      </c>
      <c r="M94" s="155" t="n">
        <v>46191</v>
      </c>
      <c r="N94" s="149" t="n">
        <v>94</v>
      </c>
    </row>
    <row r="95" customFormat="false" ht="12.75" hidden="false" customHeight="false" outlineLevel="0" collapsed="false">
      <c r="A95" s="140" t="n">
        <v>46097</v>
      </c>
      <c r="B95" s="141" t="s">
        <v>81</v>
      </c>
      <c r="C95" s="142" t="s">
        <v>69</v>
      </c>
      <c r="D95" s="143" t="s">
        <v>73</v>
      </c>
      <c r="E95" s="143" t="s">
        <v>74</v>
      </c>
      <c r="F95" s="144" t="n">
        <v>-7.5</v>
      </c>
      <c r="G95" s="44" t="n">
        <v>390</v>
      </c>
      <c r="H95" s="44" t="n">
        <v>670.105</v>
      </c>
      <c r="I95" s="145" t="n">
        <v>5.7747</v>
      </c>
      <c r="J95" s="154" t="n">
        <v>-0.418001656456824</v>
      </c>
      <c r="K95" s="146" t="n">
        <v>0.0198604442497737</v>
      </c>
      <c r="L95" s="147" t="n">
        <v>14625</v>
      </c>
      <c r="M95" s="155" t="n">
        <v>46374</v>
      </c>
      <c r="N95" s="149" t="n">
        <v>277</v>
      </c>
    </row>
    <row r="96" customFormat="false" ht="12.75" hidden="false" customHeight="false" outlineLevel="0" collapsed="false">
      <c r="A96" s="140" t="n">
        <v>46097</v>
      </c>
      <c r="B96" s="141" t="s">
        <v>81</v>
      </c>
      <c r="C96" s="142" t="s">
        <v>96</v>
      </c>
      <c r="D96" s="143" t="s">
        <v>73</v>
      </c>
      <c r="E96" s="143" t="s">
        <v>74</v>
      </c>
      <c r="F96" s="144" t="n">
        <v>-7.5</v>
      </c>
      <c r="G96" s="44" t="n">
        <v>500</v>
      </c>
      <c r="H96" s="44" t="n">
        <v>667.65</v>
      </c>
      <c r="I96" s="145" t="n">
        <v>-4.335</v>
      </c>
      <c r="J96" s="154" t="n">
        <v>-0.25110462068449</v>
      </c>
      <c r="K96" s="146" t="n">
        <v>0.0293227556418859</v>
      </c>
      <c r="L96" s="147" t="n">
        <v>18750</v>
      </c>
      <c r="M96" s="155" t="n">
        <v>46191</v>
      </c>
      <c r="N96" s="149" t="n">
        <v>94</v>
      </c>
    </row>
    <row r="97" customFormat="false" ht="12.75" hidden="false" customHeight="false" outlineLevel="0" collapsed="false">
      <c r="A97" s="140" t="n">
        <v>46097</v>
      </c>
      <c r="B97" s="141" t="s">
        <v>81</v>
      </c>
      <c r="C97" s="142" t="s">
        <v>69</v>
      </c>
      <c r="D97" s="143" t="s">
        <v>73</v>
      </c>
      <c r="E97" s="143" t="s">
        <v>74</v>
      </c>
      <c r="F97" s="144" t="n">
        <v>-7.5</v>
      </c>
      <c r="G97" s="44" t="n">
        <v>380</v>
      </c>
      <c r="H97" s="44" t="n">
        <v>667.545</v>
      </c>
      <c r="I97" s="145" t="n">
        <v>5.295</v>
      </c>
      <c r="J97" s="154" t="n">
        <v>-0.430749986892269</v>
      </c>
      <c r="K97" s="146" t="n">
        <v>0.0161214850242954</v>
      </c>
      <c r="L97" s="147" t="n">
        <v>14250</v>
      </c>
      <c r="M97" s="155" t="n">
        <v>46374</v>
      </c>
      <c r="N97" s="149" t="n">
        <v>277</v>
      </c>
    </row>
    <row r="98" customFormat="false" ht="12.75" hidden="false" customHeight="false" outlineLevel="0" collapsed="false">
      <c r="A98" s="140" t="n">
        <v>46097</v>
      </c>
      <c r="B98" s="141" t="s">
        <v>70</v>
      </c>
      <c r="C98" s="142" t="s">
        <v>69</v>
      </c>
      <c r="D98" s="143" t="s">
        <v>75</v>
      </c>
      <c r="E98" s="143" t="s">
        <v>76</v>
      </c>
      <c r="F98" s="144" t="n">
        <v>-0.75</v>
      </c>
      <c r="G98" s="44" t="n">
        <v>640</v>
      </c>
      <c r="H98" s="44" t="n">
        <v>808.175</v>
      </c>
      <c r="I98" s="145" t="n">
        <v>-2.0436</v>
      </c>
      <c r="J98" s="154" t="n">
        <v>-0.208092306740496</v>
      </c>
      <c r="K98" s="146" t="n">
        <v>0.155449833584243</v>
      </c>
      <c r="L98" s="147" t="n">
        <v>19200</v>
      </c>
      <c r="M98" s="155" t="n">
        <v>46191</v>
      </c>
      <c r="N98" s="149" t="n">
        <v>93</v>
      </c>
    </row>
    <row r="99" customFormat="false" ht="12.75" hidden="false" customHeight="false" outlineLevel="0" collapsed="false">
      <c r="A99" s="140" t="n">
        <v>46098</v>
      </c>
      <c r="B99" s="141" t="s">
        <v>70</v>
      </c>
      <c r="C99" s="142" t="s">
        <v>69</v>
      </c>
      <c r="D99" s="143" t="s">
        <v>78</v>
      </c>
      <c r="E99" s="143" t="s">
        <v>78</v>
      </c>
      <c r="F99" s="144" t="n">
        <v>-12.5</v>
      </c>
      <c r="G99" s="44" t="n">
        <v>160</v>
      </c>
      <c r="H99" s="44" t="n">
        <v>253.625</v>
      </c>
      <c r="I99" s="145" t="n">
        <v>5.8994</v>
      </c>
      <c r="J99" s="154" t="n">
        <v>-0.36914736323312</v>
      </c>
      <c r="K99" s="146" t="n">
        <v>0.0950343330456256</v>
      </c>
      <c r="L99" s="147" t="n">
        <v>10000</v>
      </c>
      <c r="M99" s="155" t="n">
        <v>46374</v>
      </c>
      <c r="N99" s="149" t="n">
        <v>276</v>
      </c>
    </row>
    <row r="100" customFormat="false" ht="12.75" hidden="false" customHeight="false" outlineLevel="0" collapsed="false">
      <c r="A100" s="140" t="n">
        <v>46098</v>
      </c>
      <c r="B100" s="141" t="s">
        <v>22</v>
      </c>
      <c r="C100" s="142" t="s">
        <v>69</v>
      </c>
      <c r="D100" s="143" t="s">
        <v>53</v>
      </c>
      <c r="E100" s="143" t="s">
        <v>54</v>
      </c>
      <c r="F100" s="144" t="n">
        <v>-1500</v>
      </c>
      <c r="G100" s="44" t="n">
        <v>0.645</v>
      </c>
      <c r="H100" s="44" t="n">
        <v>0.7105</v>
      </c>
      <c r="I100" s="145" t="n">
        <v>1.83</v>
      </c>
      <c r="J100" s="154" t="n">
        <v>-0.0921885995777622</v>
      </c>
      <c r="K100" s="146" t="n">
        <v>0.393578674362982</v>
      </c>
      <c r="L100" s="147" t="n">
        <v>5328.75</v>
      </c>
      <c r="M100" s="155" t="n">
        <v>46351</v>
      </c>
      <c r="N100" s="149" t="n">
        <v>253</v>
      </c>
    </row>
    <row r="101" customFormat="false" ht="12.75" hidden="false" customHeight="false" outlineLevel="0" collapsed="false">
      <c r="A101" s="140" t="n">
        <v>46099</v>
      </c>
      <c r="B101" s="141" t="s">
        <v>85</v>
      </c>
      <c r="C101" s="142" t="s">
        <v>68</v>
      </c>
      <c r="D101" s="143" t="s">
        <v>17</v>
      </c>
      <c r="E101" s="143" t="s">
        <v>67</v>
      </c>
      <c r="F101" s="144" t="n">
        <v>-1500</v>
      </c>
      <c r="G101" s="44" t="n">
        <v>1010</v>
      </c>
      <c r="H101" s="44" t="n">
        <v>911.825</v>
      </c>
      <c r="I101" s="145" t="n">
        <v>0</v>
      </c>
      <c r="J101" s="154" t="n">
        <v>0.107668686425575</v>
      </c>
      <c r="K101" s="146" t="n">
        <v>0.170345741139095</v>
      </c>
      <c r="L101" s="147" t="n">
        <v>7500</v>
      </c>
      <c r="M101" s="155" t="n">
        <v>46329</v>
      </c>
      <c r="N101" s="149" t="n">
        <v>230</v>
      </c>
    </row>
    <row r="102" customFormat="false" ht="12.75" hidden="false" customHeight="false" outlineLevel="0" collapsed="false">
      <c r="A102" s="140" t="n">
        <v>46099</v>
      </c>
      <c r="B102" s="141" t="s">
        <v>85</v>
      </c>
      <c r="C102" s="142" t="s">
        <v>69</v>
      </c>
      <c r="D102" s="143" t="s">
        <v>17</v>
      </c>
      <c r="E102" s="143" t="s">
        <v>67</v>
      </c>
      <c r="F102" s="144" t="n">
        <v>-1500</v>
      </c>
      <c r="G102" s="44" t="n">
        <v>805</v>
      </c>
      <c r="H102" s="44" t="n">
        <v>911.9</v>
      </c>
      <c r="I102" s="145" t="n">
        <v>4.92</v>
      </c>
      <c r="J102" s="154" t="n">
        <v>-0.111744708849655</v>
      </c>
      <c r="K102" s="146" t="n">
        <v>0.346698352453675</v>
      </c>
      <c r="L102" s="147" t="n">
        <v>7500</v>
      </c>
      <c r="M102" s="155" t="n">
        <v>46329</v>
      </c>
      <c r="N102" s="149" t="n">
        <v>230</v>
      </c>
    </row>
    <row r="103" customFormat="false" ht="12.75" hidden="false" customHeight="false" outlineLevel="0" collapsed="false">
      <c r="A103" s="140" t="n">
        <v>46100</v>
      </c>
      <c r="B103" s="141" t="s">
        <v>77</v>
      </c>
      <c r="C103" s="142" t="s">
        <v>96</v>
      </c>
      <c r="D103" s="143" t="s">
        <v>97</v>
      </c>
      <c r="E103" s="143" t="s">
        <v>97</v>
      </c>
      <c r="F103" s="144" t="n">
        <v>-3.5</v>
      </c>
      <c r="G103" s="44" t="n">
        <v>510</v>
      </c>
      <c r="H103" s="44" t="n">
        <v>612.99</v>
      </c>
      <c r="I103" s="145" t="n">
        <v>-9.135</v>
      </c>
      <c r="J103" s="154" t="n">
        <v>-0.168012528752508</v>
      </c>
      <c r="K103" s="146" t="n">
        <v>0.221668086848542</v>
      </c>
      <c r="L103" s="147" t="n">
        <v>8925</v>
      </c>
      <c r="M103" s="155" t="n">
        <v>46191</v>
      </c>
      <c r="N103" s="149" t="n">
        <v>91</v>
      </c>
    </row>
    <row r="104" customFormat="false" ht="12.75" hidden="false" customHeight="false" outlineLevel="0" collapsed="false">
      <c r="A104" s="140" t="n">
        <v>46100</v>
      </c>
      <c r="B104" s="141" t="s">
        <v>77</v>
      </c>
      <c r="C104" s="142" t="s">
        <v>69</v>
      </c>
      <c r="D104" s="143" t="s">
        <v>97</v>
      </c>
      <c r="E104" s="143" t="s">
        <v>97</v>
      </c>
      <c r="F104" s="144" t="n">
        <v>-5</v>
      </c>
      <c r="G104" s="44" t="n">
        <v>360</v>
      </c>
      <c r="H104" s="44" t="n">
        <v>612.965</v>
      </c>
      <c r="I104" s="145" t="n">
        <v>8.115</v>
      </c>
      <c r="J104" s="154" t="n">
        <v>-0.412690773535194</v>
      </c>
      <c r="K104" s="146" t="n">
        <v>0.101363692122816</v>
      </c>
      <c r="L104" s="147" t="n">
        <v>9000</v>
      </c>
      <c r="M104" s="155" t="n">
        <v>46374</v>
      </c>
      <c r="N104" s="149" t="n">
        <v>274</v>
      </c>
    </row>
    <row r="105" customFormat="false" ht="12.75" hidden="false" customHeight="false" outlineLevel="0" collapsed="false">
      <c r="A105" s="140"/>
      <c r="B105" s="141"/>
      <c r="C105" s="142"/>
      <c r="D105" s="143"/>
      <c r="E105" s="143"/>
      <c r="F105" s="144"/>
      <c r="G105" s="44"/>
      <c r="H105" s="44"/>
      <c r="I105" s="64"/>
      <c r="J105" s="154"/>
      <c r="K105" s="146"/>
      <c r="L105" s="147"/>
      <c r="M105" s="155"/>
      <c r="N105" s="149"/>
    </row>
    <row r="106" customFormat="false" ht="12.75" hidden="false" customHeight="false" outlineLevel="0" collapsed="false">
      <c r="A106" s="140"/>
      <c r="B106" s="141"/>
      <c r="C106" s="142"/>
      <c r="D106" s="143"/>
      <c r="E106" s="143"/>
      <c r="F106" s="144"/>
      <c r="G106" s="44"/>
      <c r="H106" s="44"/>
      <c r="I106" s="64"/>
      <c r="J106" s="154"/>
      <c r="K106" s="146"/>
      <c r="L106" s="147"/>
      <c r="M106" s="155"/>
      <c r="N106" s="149"/>
    </row>
    <row r="107" customFormat="false" ht="12.75" hidden="false" customHeight="false" outlineLevel="0" collapsed="false">
      <c r="A107" s="140"/>
      <c r="B107" s="141"/>
      <c r="C107" s="142"/>
      <c r="D107" s="143"/>
      <c r="E107" s="143"/>
      <c r="F107" s="160"/>
      <c r="G107" s="44"/>
      <c r="H107" s="161" t="s">
        <v>31</v>
      </c>
      <c r="I107" s="162" t="n">
        <f aca="false">SUM(I8:I106)</f>
        <v>117.327661373733</v>
      </c>
      <c r="J107" s="163"/>
      <c r="K107" s="164"/>
      <c r="L107" s="165"/>
      <c r="M107" s="166"/>
      <c r="N107" s="167"/>
    </row>
    <row r="108" customFormat="false" ht="12.75" hidden="false" customHeight="false" outlineLevel="0" collapsed="false">
      <c r="A108" s="168"/>
      <c r="B108" s="141"/>
      <c r="C108" s="142"/>
      <c r="D108" s="143"/>
      <c r="E108" s="143"/>
      <c r="F108" s="160"/>
      <c r="G108" s="44"/>
      <c r="H108" s="44"/>
      <c r="I108" s="169"/>
      <c r="J108" s="170"/>
      <c r="K108" s="64"/>
      <c r="L108" s="171"/>
      <c r="M108" s="166"/>
      <c r="N108" s="167"/>
    </row>
    <row r="109" customFormat="false" ht="12.75" hidden="false" customHeight="false" outlineLevel="0" collapsed="false">
      <c r="A109" s="140"/>
      <c r="B109" s="141"/>
      <c r="C109" s="142"/>
      <c r="D109" s="143"/>
      <c r="E109" s="143"/>
      <c r="F109" s="160"/>
      <c r="G109" s="44"/>
      <c r="H109" s="44"/>
      <c r="I109" s="147"/>
      <c r="J109" s="170"/>
      <c r="K109" s="172"/>
      <c r="L109" s="171"/>
      <c r="M109" s="166"/>
      <c r="N109" s="167"/>
    </row>
    <row r="110" customFormat="false" ht="12.75" hidden="false" customHeight="false" outlineLevel="0" collapsed="false">
      <c r="A110" s="140"/>
      <c r="B110" s="141"/>
      <c r="C110" s="142"/>
      <c r="D110" s="143"/>
      <c r="E110" s="143"/>
      <c r="F110" s="160"/>
      <c r="G110" s="44"/>
      <c r="H110" s="44"/>
      <c r="I110" s="147"/>
      <c r="J110" s="170"/>
      <c r="K110" s="172"/>
      <c r="L110" s="171"/>
      <c r="M110" s="166"/>
      <c r="N110" s="167"/>
    </row>
    <row r="111" customFormat="false" ht="12.75" hidden="false" customHeight="false" outlineLevel="0" collapsed="false">
      <c r="A111" s="140"/>
      <c r="B111" s="141"/>
      <c r="C111" s="142"/>
      <c r="D111" s="143"/>
      <c r="E111" s="143"/>
      <c r="F111" s="160"/>
      <c r="G111" s="44"/>
      <c r="H111" s="44"/>
      <c r="I111" s="147"/>
      <c r="J111" s="170"/>
      <c r="K111" s="172"/>
      <c r="L111" s="171"/>
      <c r="M111" s="166"/>
      <c r="N111" s="167"/>
    </row>
    <row r="112" customFormat="false" ht="12.75" hidden="false" customHeight="false" outlineLevel="0" collapsed="false">
      <c r="A112" s="140"/>
      <c r="B112" s="141"/>
      <c r="C112" s="142"/>
      <c r="D112" s="143"/>
      <c r="E112" s="143"/>
      <c r="F112" s="160"/>
      <c r="G112" s="44"/>
      <c r="H112" s="44"/>
      <c r="I112" s="147"/>
      <c r="J112" s="170"/>
      <c r="K112" s="172"/>
      <c r="L112" s="171"/>
      <c r="M112" s="166"/>
      <c r="N112" s="167"/>
    </row>
    <row r="113" customFormat="false" ht="12.75" hidden="false" customHeight="false" outlineLevel="0" collapsed="false">
      <c r="A113" s="167"/>
      <c r="B113" s="167"/>
      <c r="C113" s="167"/>
      <c r="D113" s="167"/>
      <c r="E113" s="167"/>
      <c r="F113" s="167"/>
      <c r="G113" s="167"/>
      <c r="H113" s="167"/>
      <c r="I113" s="173"/>
      <c r="J113" s="170"/>
      <c r="K113" s="172"/>
      <c r="L113" s="167"/>
      <c r="M113" s="166"/>
      <c r="N113" s="167"/>
    </row>
    <row r="114" customFormat="false" ht="15" hidden="false" customHeight="true" outlineLevel="0" collapsed="false">
      <c r="A114" s="167"/>
      <c r="B114" s="174"/>
      <c r="C114" s="167"/>
      <c r="D114" s="167"/>
      <c r="E114" s="175"/>
      <c r="F114" s="167"/>
      <c r="G114" s="167"/>
      <c r="H114" s="176"/>
      <c r="I114" s="177"/>
      <c r="K114" s="178"/>
      <c r="L114" s="167"/>
      <c r="M114" s="166"/>
      <c r="N114" s="147"/>
    </row>
    <row r="115" customFormat="false" ht="12.75" hidden="false" customHeight="false" outlineLevel="0" collapsed="false">
      <c r="A115" s="179" t="s">
        <v>2</v>
      </c>
      <c r="B115" s="179" t="s">
        <v>3</v>
      </c>
      <c r="C115" s="179" t="s">
        <v>26</v>
      </c>
      <c r="D115" s="179" t="s">
        <v>5</v>
      </c>
      <c r="E115" s="179" t="s">
        <v>6</v>
      </c>
      <c r="F115" s="179" t="s">
        <v>7</v>
      </c>
      <c r="G115" s="179" t="s">
        <v>62</v>
      </c>
      <c r="H115" s="179" t="s">
        <v>9</v>
      </c>
      <c r="I115" s="139" t="s">
        <v>10</v>
      </c>
      <c r="J115" s="138" t="s">
        <v>62</v>
      </c>
      <c r="K115" s="138" t="s">
        <v>63</v>
      </c>
      <c r="L115" s="139" t="s">
        <v>64</v>
      </c>
      <c r="M115" s="139" t="s">
        <v>98</v>
      </c>
      <c r="N115" s="139" t="s">
        <v>66</v>
      </c>
    </row>
    <row r="116" customFormat="false" ht="12.75" hidden="false" customHeight="false" outlineLevel="0" collapsed="false">
      <c r="A116" s="180"/>
      <c r="B116" s="180"/>
      <c r="C116" s="180"/>
      <c r="D116" s="180"/>
      <c r="E116" s="180"/>
      <c r="F116" s="180"/>
      <c r="G116" s="180"/>
      <c r="H116" s="180"/>
      <c r="I116" s="180"/>
      <c r="J116" s="181"/>
      <c r="K116" s="181"/>
      <c r="L116" s="180"/>
      <c r="M116" s="180"/>
      <c r="N116" s="180"/>
    </row>
    <row r="117" customFormat="false" ht="13.8" hidden="false" customHeight="false" outlineLevel="0" collapsed="false">
      <c r="A117" s="180"/>
      <c r="B117" s="180"/>
      <c r="C117" s="182" t="s">
        <v>0</v>
      </c>
      <c r="D117" s="182"/>
      <c r="E117" s="182"/>
      <c r="F117" s="180"/>
      <c r="G117" s="180"/>
      <c r="H117" s="180"/>
      <c r="I117" s="180"/>
      <c r="J117" s="181"/>
      <c r="K117" s="181"/>
      <c r="L117" s="180"/>
      <c r="M117" s="180"/>
      <c r="N117" s="180"/>
    </row>
    <row r="118" customFormat="false" ht="16.15" hidden="false" customHeight="false" outlineLevel="0" collapsed="false">
      <c r="A118" s="183"/>
      <c r="B118" s="183"/>
      <c r="C118" s="184"/>
      <c r="D118" s="185" t="s">
        <v>99</v>
      </c>
      <c r="E118" s="184"/>
      <c r="F118" s="183"/>
      <c r="G118" s="183"/>
      <c r="H118" s="183"/>
      <c r="I118" s="183"/>
      <c r="J118" s="186" t="s">
        <v>62</v>
      </c>
      <c r="K118" s="186" t="s">
        <v>63</v>
      </c>
      <c r="L118" s="183"/>
      <c r="M118" s="183"/>
      <c r="N118" s="183"/>
    </row>
    <row r="119" customFormat="false" ht="12.75" hidden="false" customHeight="false" outlineLevel="0" collapsed="false">
      <c r="A119" s="187"/>
      <c r="B119" s="141"/>
      <c r="C119" s="142"/>
      <c r="D119" s="143"/>
      <c r="E119" s="143"/>
      <c r="F119" s="144"/>
      <c r="G119" s="151"/>
      <c r="H119" s="151"/>
      <c r="I119" s="64"/>
      <c r="J119" s="170"/>
      <c r="K119" s="170"/>
      <c r="L119" s="147"/>
      <c r="M119" s="148"/>
      <c r="N119" s="188"/>
    </row>
    <row r="120" customFormat="false" ht="12.75" hidden="false" customHeight="false" outlineLevel="0" collapsed="false">
      <c r="A120" s="140"/>
      <c r="B120" s="141"/>
      <c r="C120" s="142"/>
      <c r="D120" s="143"/>
      <c r="E120" s="143"/>
      <c r="F120" s="144"/>
      <c r="G120" s="189"/>
      <c r="H120" s="151"/>
      <c r="I120" s="64"/>
      <c r="J120" s="154"/>
      <c r="K120" s="154"/>
      <c r="L120" s="158"/>
      <c r="M120" s="155"/>
      <c r="N120" s="159"/>
    </row>
    <row r="121" customFormat="false" ht="12.75" hidden="false" customHeight="false" outlineLevel="0" collapsed="false">
      <c r="A121" s="140"/>
      <c r="B121" s="141"/>
      <c r="C121" s="142" t="s">
        <v>68</v>
      </c>
      <c r="D121" s="143" t="s">
        <v>48</v>
      </c>
      <c r="E121" s="143" t="s">
        <v>100</v>
      </c>
      <c r="F121" s="144"/>
      <c r="G121" s="150"/>
      <c r="H121" s="151" t="n">
        <v>1.17165</v>
      </c>
      <c r="I121" s="64" t="n">
        <v>0</v>
      </c>
      <c r="J121" s="146" t="n">
        <v>0</v>
      </c>
      <c r="K121" s="146" t="n">
        <v>0</v>
      </c>
      <c r="L121" s="158" t="n">
        <v>0</v>
      </c>
      <c r="M121" s="155"/>
      <c r="N121" s="159"/>
    </row>
    <row r="122" customFormat="false" ht="12.75" hidden="false" customHeight="false" outlineLevel="0" collapsed="false">
      <c r="A122" s="140"/>
      <c r="B122" s="141"/>
      <c r="C122" s="142" t="s">
        <v>68</v>
      </c>
      <c r="D122" s="143" t="s">
        <v>48</v>
      </c>
      <c r="E122" s="143" t="s">
        <v>100</v>
      </c>
      <c r="F122" s="144"/>
      <c r="G122" s="150"/>
      <c r="H122" s="151" t="n">
        <v>1.17165</v>
      </c>
      <c r="I122" s="64" t="n">
        <v>0</v>
      </c>
      <c r="J122" s="146" t="n">
        <v>0</v>
      </c>
      <c r="K122" s="146" t="n">
        <v>0</v>
      </c>
      <c r="L122" s="158" t="n">
        <v>0</v>
      </c>
      <c r="M122" s="155"/>
      <c r="N122" s="159"/>
    </row>
    <row r="123" customFormat="false" ht="12.75" hidden="false" customHeight="false" outlineLevel="0" collapsed="false">
      <c r="A123" s="140"/>
      <c r="B123" s="141"/>
      <c r="C123" s="142" t="s">
        <v>68</v>
      </c>
      <c r="D123" s="143" t="s">
        <v>48</v>
      </c>
      <c r="E123" s="143" t="s">
        <v>100</v>
      </c>
      <c r="F123" s="144"/>
      <c r="G123" s="150"/>
      <c r="H123" s="151" t="n">
        <v>1.17165</v>
      </c>
      <c r="I123" s="64" t="n">
        <v>0</v>
      </c>
      <c r="J123" s="146" t="n">
        <v>0</v>
      </c>
      <c r="K123" s="146" t="n">
        <v>0</v>
      </c>
      <c r="L123" s="158" t="n">
        <v>0</v>
      </c>
      <c r="M123" s="155"/>
      <c r="N123" s="159"/>
    </row>
    <row r="124" customFormat="false" ht="12.75" hidden="false" customHeight="false" outlineLevel="0" collapsed="false">
      <c r="A124" s="140"/>
      <c r="B124" s="141"/>
      <c r="C124" s="142" t="s">
        <v>68</v>
      </c>
      <c r="D124" s="143" t="s">
        <v>48</v>
      </c>
      <c r="E124" s="143" t="s">
        <v>100</v>
      </c>
      <c r="F124" s="144"/>
      <c r="G124" s="150"/>
      <c r="H124" s="151" t="n">
        <v>1.17165</v>
      </c>
      <c r="I124" s="64" t="n">
        <v>0</v>
      </c>
      <c r="J124" s="146" t="n">
        <v>0</v>
      </c>
      <c r="K124" s="146" t="n">
        <v>0</v>
      </c>
      <c r="L124" s="158" t="n">
        <v>0</v>
      </c>
      <c r="M124" s="155"/>
      <c r="N124" s="159"/>
    </row>
    <row r="125" customFormat="false" ht="12.75" hidden="false" customHeight="false" outlineLevel="0" collapsed="false">
      <c r="A125" s="140"/>
      <c r="B125" s="141"/>
      <c r="C125" s="142" t="s">
        <v>68</v>
      </c>
      <c r="D125" s="143" t="s">
        <v>48</v>
      </c>
      <c r="E125" s="143" t="s">
        <v>100</v>
      </c>
      <c r="F125" s="144"/>
      <c r="G125" s="150"/>
      <c r="H125" s="151" t="n">
        <v>1.17165</v>
      </c>
      <c r="I125" s="64" t="n">
        <v>0</v>
      </c>
      <c r="J125" s="146" t="n">
        <v>0</v>
      </c>
      <c r="K125" s="146" t="n">
        <v>0</v>
      </c>
      <c r="L125" s="158" t="n">
        <v>0</v>
      </c>
      <c r="M125" s="155"/>
      <c r="N125" s="159"/>
    </row>
    <row r="126" customFormat="false" ht="12.75" hidden="false" customHeight="false" outlineLevel="0" collapsed="false">
      <c r="A126" s="140"/>
      <c r="B126" s="141"/>
      <c r="C126" s="142" t="s">
        <v>68</v>
      </c>
      <c r="D126" s="143" t="s">
        <v>48</v>
      </c>
      <c r="E126" s="143" t="s">
        <v>100</v>
      </c>
      <c r="F126" s="144"/>
      <c r="G126" s="150"/>
      <c r="H126" s="151" t="n">
        <v>1.17165</v>
      </c>
      <c r="I126" s="64" t="n">
        <v>0</v>
      </c>
      <c r="J126" s="146" t="n">
        <v>0</v>
      </c>
      <c r="K126" s="146" t="n">
        <v>0</v>
      </c>
      <c r="L126" s="158" t="n">
        <v>0</v>
      </c>
      <c r="M126" s="155"/>
      <c r="N126" s="159"/>
    </row>
    <row r="127" customFormat="false" ht="12.75" hidden="false" customHeight="false" outlineLevel="0" collapsed="false">
      <c r="A127" s="140"/>
      <c r="B127" s="141"/>
      <c r="C127" s="142"/>
      <c r="D127" s="143"/>
      <c r="E127" s="143"/>
      <c r="F127" s="144"/>
      <c r="G127" s="150"/>
      <c r="H127" s="151"/>
      <c r="I127" s="64"/>
      <c r="J127" s="146"/>
      <c r="K127" s="146"/>
      <c r="L127" s="158"/>
      <c r="M127" s="155"/>
      <c r="N127" s="159"/>
    </row>
    <row r="128" customFormat="false" ht="12.75" hidden="false" customHeight="false" outlineLevel="0" collapsed="false">
      <c r="A128" s="140"/>
      <c r="B128" s="141"/>
      <c r="C128" s="142"/>
      <c r="D128" s="143"/>
      <c r="E128" s="143"/>
      <c r="F128" s="144"/>
      <c r="G128" s="150"/>
      <c r="H128" s="151"/>
      <c r="I128" s="64"/>
      <c r="J128" s="146"/>
      <c r="K128" s="146"/>
      <c r="L128" s="158"/>
      <c r="M128" s="155"/>
      <c r="N128" s="159"/>
    </row>
    <row r="129" customFormat="false" ht="12.75" hidden="false" customHeight="false" outlineLevel="0" collapsed="false">
      <c r="A129" s="140" t="n">
        <v>45967</v>
      </c>
      <c r="B129" s="141" t="s">
        <v>67</v>
      </c>
      <c r="C129" s="142" t="s">
        <v>68</v>
      </c>
      <c r="D129" s="143" t="s">
        <v>17</v>
      </c>
      <c r="E129" s="143" t="s">
        <v>67</v>
      </c>
      <c r="F129" s="144" t="n">
        <v>-1333.33333333333</v>
      </c>
      <c r="G129" s="150" t="n">
        <v>1180</v>
      </c>
      <c r="H129" s="157" t="n">
        <v>898.505</v>
      </c>
      <c r="I129" s="64" t="n">
        <v>0</v>
      </c>
      <c r="J129" s="146" t="n">
        <v>0.313292636101079</v>
      </c>
      <c r="K129" s="146" t="n">
        <v>0.00607549475591118</v>
      </c>
      <c r="L129" s="158" t="n">
        <v>1333.33333333333</v>
      </c>
      <c r="M129" s="155" t="n">
        <v>46329</v>
      </c>
      <c r="N129" s="159" t="n">
        <v>204</v>
      </c>
    </row>
    <row r="130" customFormat="false" ht="12.75" hidden="false" customHeight="false" outlineLevel="0" collapsed="false">
      <c r="A130" s="140" t="n">
        <v>45967</v>
      </c>
      <c r="B130" s="141" t="s">
        <v>67</v>
      </c>
      <c r="C130" s="142" t="s">
        <v>68</v>
      </c>
      <c r="D130" s="143" t="s">
        <v>17</v>
      </c>
      <c r="E130" s="143" t="s">
        <v>67</v>
      </c>
      <c r="F130" s="144" t="n">
        <v>-1333.33333333333</v>
      </c>
      <c r="G130" s="150" t="n">
        <v>1170</v>
      </c>
      <c r="H130" s="157" t="n">
        <v>898.505</v>
      </c>
      <c r="I130" s="64" t="n">
        <v>0</v>
      </c>
      <c r="J130" s="146" t="n">
        <v>0.302163037490053</v>
      </c>
      <c r="K130" s="146" t="n">
        <v>0.00750046011876603</v>
      </c>
      <c r="L130" s="158" t="n">
        <v>1333.33333333333</v>
      </c>
      <c r="M130" s="155" t="n">
        <v>46329</v>
      </c>
      <c r="N130" s="159" t="n">
        <v>204</v>
      </c>
    </row>
    <row r="131" customFormat="false" ht="12.75" hidden="false" customHeight="false" outlineLevel="0" collapsed="false">
      <c r="A131" s="140" t="n">
        <v>45971</v>
      </c>
      <c r="B131" s="141" t="s">
        <v>67</v>
      </c>
      <c r="C131" s="142" t="s">
        <v>68</v>
      </c>
      <c r="D131" s="143" t="s">
        <v>17</v>
      </c>
      <c r="E131" s="143" t="s">
        <v>67</v>
      </c>
      <c r="F131" s="144" t="n">
        <v>-1333.33333333333</v>
      </c>
      <c r="G131" s="150" t="n">
        <v>1160</v>
      </c>
      <c r="H131" s="157" t="n">
        <v>898.505</v>
      </c>
      <c r="I131" s="64" t="n">
        <v>0</v>
      </c>
      <c r="J131" s="146" t="n">
        <v>0.291033438879027</v>
      </c>
      <c r="K131" s="146" t="n">
        <v>0.00922805968408709</v>
      </c>
      <c r="L131" s="158" t="n">
        <v>1333.33333333333</v>
      </c>
      <c r="M131" s="155" t="n">
        <v>46329</v>
      </c>
      <c r="N131" s="159" t="n">
        <v>204</v>
      </c>
    </row>
    <row r="132" customFormat="false" ht="12.75" hidden="false" customHeight="false" outlineLevel="0" collapsed="false">
      <c r="A132" s="140" t="n">
        <v>45987</v>
      </c>
      <c r="B132" s="141" t="s">
        <v>67</v>
      </c>
      <c r="C132" s="142" t="s">
        <v>68</v>
      </c>
      <c r="D132" s="143" t="s">
        <v>17</v>
      </c>
      <c r="E132" s="143" t="s">
        <v>67</v>
      </c>
      <c r="F132" s="144" t="n">
        <v>-1333.33333333333</v>
      </c>
      <c r="G132" s="150" t="n">
        <v>1140</v>
      </c>
      <c r="H132" s="157" t="n">
        <v>898.505</v>
      </c>
      <c r="I132" s="64" t="n">
        <v>0</v>
      </c>
      <c r="J132" s="146" t="n">
        <v>0.268774241656975</v>
      </c>
      <c r="K132" s="146" t="n">
        <v>0.0138215656061703</v>
      </c>
      <c r="L132" s="158" t="n">
        <v>1333.33333333333</v>
      </c>
      <c r="M132" s="155" t="n">
        <v>46329</v>
      </c>
      <c r="N132" s="159" t="n">
        <v>204</v>
      </c>
    </row>
    <row r="133" customFormat="false" ht="12.75" hidden="false" customHeight="false" outlineLevel="0" collapsed="false">
      <c r="A133" s="140" t="n">
        <v>45987</v>
      </c>
      <c r="B133" s="141" t="s">
        <v>101</v>
      </c>
      <c r="C133" s="142" t="s">
        <v>68</v>
      </c>
      <c r="D133" s="143" t="s">
        <v>17</v>
      </c>
      <c r="E133" s="143" t="s">
        <v>67</v>
      </c>
      <c r="F133" s="144" t="n">
        <v>-1333.33333333333</v>
      </c>
      <c r="G133" s="150" t="n">
        <v>1130</v>
      </c>
      <c r="H133" s="157" t="n">
        <v>898.505</v>
      </c>
      <c r="I133" s="64" t="n">
        <v>0</v>
      </c>
      <c r="J133" s="146" t="n">
        <v>0.257644643045949</v>
      </c>
      <c r="K133" s="146" t="n">
        <v>0.0168231254001379</v>
      </c>
      <c r="L133" s="158" t="n">
        <v>1333.33333333333</v>
      </c>
      <c r="M133" s="155" t="n">
        <v>46329</v>
      </c>
      <c r="N133" s="159" t="n">
        <v>204</v>
      </c>
    </row>
    <row r="134" customFormat="false" ht="12.75" hidden="false" customHeight="false" outlineLevel="0" collapsed="false">
      <c r="A134" s="140" t="n">
        <v>45988</v>
      </c>
      <c r="B134" s="141" t="s">
        <v>67</v>
      </c>
      <c r="C134" s="142" t="s">
        <v>68</v>
      </c>
      <c r="D134" s="143" t="s">
        <v>17</v>
      </c>
      <c r="E134" s="143" t="s">
        <v>67</v>
      </c>
      <c r="F134" s="144" t="n">
        <v>-1333.33333333333</v>
      </c>
      <c r="G134" s="150" t="n">
        <v>1120</v>
      </c>
      <c r="H134" s="157" t="n">
        <v>898.505</v>
      </c>
      <c r="I134" s="64" t="n">
        <v>0</v>
      </c>
      <c r="J134" s="146" t="n">
        <v>0.246515044434922</v>
      </c>
      <c r="K134" s="146" t="n">
        <v>0.0203996443178001</v>
      </c>
      <c r="L134" s="158" t="n">
        <v>1333.33333333333</v>
      </c>
      <c r="M134" s="155" t="n">
        <v>46329</v>
      </c>
      <c r="N134" s="159" t="n">
        <v>204</v>
      </c>
    </row>
    <row r="135" customFormat="false" ht="12.75" hidden="false" customHeight="false" outlineLevel="0" collapsed="false">
      <c r="A135" s="140" t="n">
        <v>45992</v>
      </c>
      <c r="B135" s="141" t="s">
        <v>67</v>
      </c>
      <c r="C135" s="142" t="s">
        <v>68</v>
      </c>
      <c r="D135" s="143" t="s">
        <v>17</v>
      </c>
      <c r="E135" s="143" t="s">
        <v>67</v>
      </c>
      <c r="F135" s="144" t="n">
        <v>-1333.33333333333</v>
      </c>
      <c r="G135" s="150" t="n">
        <v>1110</v>
      </c>
      <c r="H135" s="157" t="n">
        <v>898.505</v>
      </c>
      <c r="I135" s="64" t="n">
        <v>0</v>
      </c>
      <c r="J135" s="146" t="n">
        <v>0.235385445823896</v>
      </c>
      <c r="K135" s="146" t="n">
        <v>0.0246414456084696</v>
      </c>
      <c r="L135" s="158" t="n">
        <v>1333.33333333333</v>
      </c>
      <c r="M135" s="155" t="n">
        <v>46329</v>
      </c>
      <c r="N135" s="159" t="n">
        <v>204</v>
      </c>
    </row>
    <row r="136" customFormat="false" ht="12.75" hidden="false" customHeight="false" outlineLevel="0" collapsed="false">
      <c r="A136" s="140" t="n">
        <v>45992</v>
      </c>
      <c r="B136" s="141" t="s">
        <v>101</v>
      </c>
      <c r="C136" s="142" t="s">
        <v>68</v>
      </c>
      <c r="D136" s="143" t="s">
        <v>17</v>
      </c>
      <c r="E136" s="143" t="s">
        <v>67</v>
      </c>
      <c r="F136" s="144" t="n">
        <v>-1333.33333333333</v>
      </c>
      <c r="G136" s="150" t="n">
        <v>1100</v>
      </c>
      <c r="H136" s="157" t="n">
        <v>898.505</v>
      </c>
      <c r="I136" s="64" t="n">
        <v>0</v>
      </c>
      <c r="J136" s="146" t="n">
        <v>0.22425584721287</v>
      </c>
      <c r="K136" s="146" t="n">
        <v>0.0296481908242021</v>
      </c>
      <c r="L136" s="158" t="n">
        <v>1333.33333333333</v>
      </c>
      <c r="M136" s="155" t="n">
        <v>46329</v>
      </c>
      <c r="N136" s="159" t="n">
        <v>204</v>
      </c>
    </row>
    <row r="137" customFormat="false" ht="12.75" hidden="false" customHeight="false" outlineLevel="0" collapsed="false">
      <c r="A137" s="140" t="n">
        <v>46091</v>
      </c>
      <c r="B137" s="141" t="s">
        <v>85</v>
      </c>
      <c r="C137" s="142" t="s">
        <v>68</v>
      </c>
      <c r="D137" s="143" t="s">
        <v>17</v>
      </c>
      <c r="E137" s="143" t="s">
        <v>67</v>
      </c>
      <c r="F137" s="144" t="n">
        <v>-1333.33333333333</v>
      </c>
      <c r="G137" s="150" t="n">
        <v>1040</v>
      </c>
      <c r="H137" s="157" t="n">
        <v>898.505</v>
      </c>
      <c r="I137" s="64" t="n">
        <v>0</v>
      </c>
      <c r="J137" s="146" t="n">
        <v>0.157478255546714</v>
      </c>
      <c r="K137" s="146" t="n">
        <v>0.0823779539666275</v>
      </c>
      <c r="L137" s="158" t="n">
        <v>1333.33333333333</v>
      </c>
      <c r="M137" s="155" t="n">
        <v>46329</v>
      </c>
      <c r="N137" s="159" t="n">
        <v>204</v>
      </c>
    </row>
    <row r="138" customFormat="false" ht="12.75" hidden="false" customHeight="false" outlineLevel="0" collapsed="false">
      <c r="A138" s="140" t="n">
        <v>46091</v>
      </c>
      <c r="B138" s="141" t="s">
        <v>85</v>
      </c>
      <c r="C138" s="142" t="s">
        <v>68</v>
      </c>
      <c r="D138" s="143" t="s">
        <v>17</v>
      </c>
      <c r="E138" s="143" t="s">
        <v>67</v>
      </c>
      <c r="F138" s="144" t="n">
        <v>-1666.66666666667</v>
      </c>
      <c r="G138" s="150" t="n">
        <v>1020</v>
      </c>
      <c r="H138" s="157" t="n">
        <v>898.505</v>
      </c>
      <c r="I138" s="64" t="n">
        <v>0</v>
      </c>
      <c r="J138" s="146" t="n">
        <v>0.135219058324662</v>
      </c>
      <c r="K138" s="146" t="n">
        <v>0.111748225663563</v>
      </c>
      <c r="L138" s="158" t="n">
        <v>1666.66666666667</v>
      </c>
      <c r="M138" s="155" t="n">
        <v>46329</v>
      </c>
      <c r="N138" s="159" t="n">
        <v>204</v>
      </c>
    </row>
    <row r="139" customFormat="false" ht="12.75" hidden="false" customHeight="false" outlineLevel="0" collapsed="false">
      <c r="A139" s="140" t="n">
        <v>46099</v>
      </c>
      <c r="B139" s="141" t="s">
        <v>85</v>
      </c>
      <c r="C139" s="142" t="s">
        <v>68</v>
      </c>
      <c r="D139" s="143" t="s">
        <v>17</v>
      </c>
      <c r="E139" s="143" t="s">
        <v>67</v>
      </c>
      <c r="F139" s="144" t="n">
        <v>-1000</v>
      </c>
      <c r="G139" s="150" t="n">
        <v>1010</v>
      </c>
      <c r="H139" s="157" t="n">
        <v>898.505</v>
      </c>
      <c r="I139" s="64" t="n">
        <v>0</v>
      </c>
      <c r="J139" s="146" t="n">
        <v>0.124089459713636</v>
      </c>
      <c r="K139" s="146" t="n">
        <v>0.129231816622271</v>
      </c>
      <c r="L139" s="158" t="n">
        <v>1000</v>
      </c>
      <c r="M139" s="155" t="n">
        <v>46329</v>
      </c>
      <c r="N139" s="159" t="n">
        <v>204</v>
      </c>
    </row>
    <row r="140" customFormat="false" ht="12.75" hidden="false" customHeight="false" outlineLevel="0" collapsed="false">
      <c r="A140" s="140" t="n">
        <v>46052</v>
      </c>
      <c r="B140" s="141" t="s">
        <v>93</v>
      </c>
      <c r="C140" s="142" t="s">
        <v>68</v>
      </c>
      <c r="D140" s="143" t="s">
        <v>17</v>
      </c>
      <c r="E140" s="143" t="s">
        <v>67</v>
      </c>
      <c r="F140" s="144" t="n">
        <v>-1000</v>
      </c>
      <c r="G140" s="150" t="n">
        <v>910</v>
      </c>
      <c r="H140" s="157" t="n">
        <v>898.505</v>
      </c>
      <c r="I140" s="64" t="n">
        <v>0</v>
      </c>
      <c r="J140" s="146" t="n">
        <v>0.0127934736033746</v>
      </c>
      <c r="K140" s="146" t="n">
        <v>0.334197637607101</v>
      </c>
      <c r="L140" s="158" t="n">
        <v>1000</v>
      </c>
      <c r="M140" s="155" t="n">
        <v>46141</v>
      </c>
      <c r="N140" s="159" t="n">
        <v>16</v>
      </c>
    </row>
    <row r="141" customFormat="false" ht="12.75" hidden="false" customHeight="false" outlineLevel="0" collapsed="false">
      <c r="A141" s="190" t="n">
        <v>46091</v>
      </c>
      <c r="B141" s="191" t="s">
        <v>85</v>
      </c>
      <c r="C141" s="191" t="s">
        <v>102</v>
      </c>
      <c r="D141" s="71" t="s">
        <v>17</v>
      </c>
      <c r="E141" s="71" t="s">
        <v>67</v>
      </c>
      <c r="F141" s="192" t="n">
        <v>1000</v>
      </c>
      <c r="G141" s="193" t="n">
        <v>910</v>
      </c>
      <c r="H141" s="194" t="n">
        <v>898.505</v>
      </c>
      <c r="I141" s="75" t="n">
        <v>0</v>
      </c>
      <c r="J141" s="195" t="n">
        <v>0.0127934736033746</v>
      </c>
      <c r="K141" s="195" t="n">
        <v>0.334197637607101</v>
      </c>
      <c r="L141" s="196" t="n">
        <v>-1000</v>
      </c>
      <c r="M141" s="197" t="n">
        <v>46141</v>
      </c>
      <c r="N141" s="198" t="n">
        <v>16</v>
      </c>
    </row>
    <row r="142" customFormat="false" ht="12.75" hidden="false" customHeight="false" outlineLevel="0" collapsed="false">
      <c r="A142" s="140"/>
      <c r="B142" s="141"/>
      <c r="C142" s="142" t="s">
        <v>68</v>
      </c>
      <c r="D142" s="143" t="s">
        <v>17</v>
      </c>
      <c r="E142" s="143" t="s">
        <v>67</v>
      </c>
      <c r="F142" s="144" t="n">
        <v>0</v>
      </c>
      <c r="G142" s="150"/>
      <c r="H142" s="157" t="n">
        <v>898.505</v>
      </c>
      <c r="I142" s="64" t="n">
        <v>0</v>
      </c>
      <c r="J142" s="146" t="n">
        <v>0</v>
      </c>
      <c r="K142" s="146" t="n">
        <v>0</v>
      </c>
      <c r="L142" s="158" t="n">
        <v>0</v>
      </c>
      <c r="M142" s="155"/>
      <c r="N142" s="159"/>
    </row>
    <row r="143" customFormat="false" ht="12.75" hidden="false" customHeight="false" outlineLevel="0" collapsed="false">
      <c r="A143" s="140"/>
      <c r="B143" s="141"/>
      <c r="C143" s="142" t="s">
        <v>68</v>
      </c>
      <c r="D143" s="143" t="s">
        <v>17</v>
      </c>
      <c r="E143" s="143" t="s">
        <v>67</v>
      </c>
      <c r="F143" s="144" t="n">
        <v>0</v>
      </c>
      <c r="G143" s="150"/>
      <c r="H143" s="157" t="n">
        <v>898.505</v>
      </c>
      <c r="I143" s="64" t="n">
        <v>0</v>
      </c>
      <c r="J143" s="146" t="n">
        <v>0</v>
      </c>
      <c r="K143" s="146" t="n">
        <v>0</v>
      </c>
      <c r="L143" s="158" t="n">
        <v>0</v>
      </c>
      <c r="M143" s="155"/>
      <c r="N143" s="159"/>
    </row>
    <row r="144" customFormat="false" ht="12.75" hidden="false" customHeight="false" outlineLevel="0" collapsed="false">
      <c r="A144" s="140"/>
      <c r="B144" s="141"/>
      <c r="C144" s="142" t="s">
        <v>68</v>
      </c>
      <c r="D144" s="143" t="s">
        <v>17</v>
      </c>
      <c r="E144" s="143" t="s">
        <v>67</v>
      </c>
      <c r="F144" s="144" t="n">
        <v>0</v>
      </c>
      <c r="G144" s="150"/>
      <c r="H144" s="157" t="n">
        <v>898.505</v>
      </c>
      <c r="I144" s="64" t="n">
        <v>0</v>
      </c>
      <c r="J144" s="146" t="n">
        <v>0</v>
      </c>
      <c r="K144" s="146" t="n">
        <v>0</v>
      </c>
      <c r="L144" s="158" t="n">
        <v>0</v>
      </c>
      <c r="M144" s="155"/>
      <c r="N144" s="159"/>
    </row>
    <row r="145" customFormat="false" ht="12.75" hidden="false" customHeight="false" outlineLevel="0" collapsed="false">
      <c r="A145" s="140"/>
      <c r="B145" s="141"/>
      <c r="C145" s="142" t="s">
        <v>68</v>
      </c>
      <c r="D145" s="143" t="s">
        <v>17</v>
      </c>
      <c r="E145" s="143" t="s">
        <v>67</v>
      </c>
      <c r="F145" s="144" t="n">
        <v>0</v>
      </c>
      <c r="G145" s="150"/>
      <c r="H145" s="157" t="n">
        <v>898.505</v>
      </c>
      <c r="I145" s="64" t="n">
        <v>0</v>
      </c>
      <c r="J145" s="146" t="n">
        <v>0</v>
      </c>
      <c r="K145" s="146" t="n">
        <v>0</v>
      </c>
      <c r="L145" s="158" t="n">
        <v>0</v>
      </c>
      <c r="M145" s="155"/>
      <c r="N145" s="159"/>
    </row>
    <row r="146" customFormat="false" ht="12.75" hidden="false" customHeight="false" outlineLevel="0" collapsed="false">
      <c r="A146" s="140"/>
      <c r="B146" s="141"/>
      <c r="C146" s="142"/>
      <c r="D146" s="143"/>
      <c r="E146" s="143"/>
      <c r="F146" s="144" t="n">
        <v>0</v>
      </c>
      <c r="G146" s="189"/>
      <c r="H146" s="151"/>
      <c r="I146" s="64"/>
      <c r="J146" s="146"/>
      <c r="K146" s="146"/>
      <c r="L146" s="147"/>
      <c r="M146" s="155"/>
      <c r="N146" s="159"/>
    </row>
    <row r="147" customFormat="false" ht="12.75" hidden="false" customHeight="false" outlineLevel="0" collapsed="false">
      <c r="A147" s="140"/>
      <c r="B147" s="141"/>
      <c r="C147" s="142" t="s">
        <v>68</v>
      </c>
      <c r="D147" s="143" t="s">
        <v>103</v>
      </c>
      <c r="E147" s="143" t="s">
        <v>104</v>
      </c>
      <c r="F147" s="144" t="n">
        <v>0</v>
      </c>
      <c r="G147" s="189"/>
      <c r="H147" s="151" t="n">
        <v>5.02835</v>
      </c>
      <c r="I147" s="64" t="n">
        <v>0</v>
      </c>
      <c r="J147" s="146" t="n">
        <v>0</v>
      </c>
      <c r="K147" s="146" t="n">
        <v>0</v>
      </c>
      <c r="L147" s="147" t="n">
        <v>0</v>
      </c>
      <c r="M147" s="155"/>
      <c r="N147" s="159"/>
    </row>
    <row r="148" customFormat="false" ht="12.75" hidden="false" customHeight="false" outlineLevel="0" collapsed="false">
      <c r="A148" s="140"/>
      <c r="B148" s="141"/>
      <c r="C148" s="142" t="s">
        <v>68</v>
      </c>
      <c r="D148" s="143" t="s">
        <v>103</v>
      </c>
      <c r="E148" s="143" t="s">
        <v>104</v>
      </c>
      <c r="F148" s="144" t="n">
        <v>0</v>
      </c>
      <c r="G148" s="189"/>
      <c r="H148" s="151" t="n">
        <v>5.02835</v>
      </c>
      <c r="I148" s="64" t="n">
        <v>0</v>
      </c>
      <c r="J148" s="146" t="n">
        <v>0</v>
      </c>
      <c r="K148" s="146" t="n">
        <v>0</v>
      </c>
      <c r="L148" s="147" t="n">
        <v>0</v>
      </c>
      <c r="M148" s="155"/>
      <c r="N148" s="159"/>
    </row>
    <row r="149" customFormat="false" ht="12.75" hidden="false" customHeight="false" outlineLevel="0" collapsed="false">
      <c r="A149" s="140"/>
      <c r="B149" s="141"/>
      <c r="C149" s="142" t="s">
        <v>68</v>
      </c>
      <c r="D149" s="143" t="s">
        <v>103</v>
      </c>
      <c r="E149" s="143" t="s">
        <v>104</v>
      </c>
      <c r="F149" s="144" t="n">
        <v>0</v>
      </c>
      <c r="G149" s="189"/>
      <c r="H149" s="151" t="n">
        <v>5.02835</v>
      </c>
      <c r="I149" s="64" t="n">
        <v>0</v>
      </c>
      <c r="J149" s="146" t="n">
        <v>0</v>
      </c>
      <c r="K149" s="146" t="n">
        <v>0</v>
      </c>
      <c r="L149" s="147" t="n">
        <v>0</v>
      </c>
      <c r="M149" s="155"/>
      <c r="N149" s="159"/>
    </row>
    <row r="150" customFormat="false" ht="12.75" hidden="false" customHeight="false" outlineLevel="0" collapsed="false">
      <c r="A150" s="140"/>
      <c r="B150" s="141"/>
      <c r="C150" s="142"/>
      <c r="D150" s="143"/>
      <c r="E150" s="143"/>
      <c r="F150" s="144" t="n">
        <v>0</v>
      </c>
      <c r="G150" s="189"/>
      <c r="H150" s="151"/>
      <c r="I150" s="64"/>
      <c r="J150" s="146"/>
      <c r="K150" s="146"/>
      <c r="L150" s="147"/>
      <c r="M150" s="155"/>
      <c r="N150" s="159"/>
    </row>
    <row r="151" customFormat="false" ht="12.75" hidden="false" customHeight="false" outlineLevel="0" collapsed="false">
      <c r="A151" s="140"/>
      <c r="B151" s="141"/>
      <c r="C151" s="142" t="s">
        <v>68</v>
      </c>
      <c r="D151" s="143" t="s">
        <v>40</v>
      </c>
      <c r="E151" s="143" t="s">
        <v>105</v>
      </c>
      <c r="F151" s="144" t="n">
        <v>0</v>
      </c>
      <c r="G151" s="189"/>
      <c r="H151" s="151" t="n">
        <v>17.34405</v>
      </c>
      <c r="I151" s="64" t="n">
        <v>0</v>
      </c>
      <c r="J151" s="146" t="n">
        <v>0</v>
      </c>
      <c r="K151" s="146" t="n">
        <v>0</v>
      </c>
      <c r="L151" s="147" t="n">
        <v>0</v>
      </c>
      <c r="M151" s="155"/>
      <c r="N151" s="159"/>
    </row>
    <row r="152" customFormat="false" ht="12.75" hidden="false" customHeight="false" outlineLevel="0" collapsed="false">
      <c r="A152" s="140"/>
      <c r="B152" s="141"/>
      <c r="C152" s="142" t="s">
        <v>68</v>
      </c>
      <c r="D152" s="143" t="s">
        <v>40</v>
      </c>
      <c r="E152" s="143" t="s">
        <v>105</v>
      </c>
      <c r="F152" s="144" t="n">
        <v>0</v>
      </c>
      <c r="G152" s="150"/>
      <c r="H152" s="151" t="n">
        <v>17.34405</v>
      </c>
      <c r="I152" s="64" t="n">
        <v>0</v>
      </c>
      <c r="J152" s="146" t="n">
        <v>0</v>
      </c>
      <c r="K152" s="146" t="n">
        <v>0</v>
      </c>
      <c r="L152" s="158" t="n">
        <v>0</v>
      </c>
      <c r="M152" s="155"/>
      <c r="N152" s="159"/>
    </row>
    <row r="153" customFormat="false" ht="12.75" hidden="false" customHeight="false" outlineLevel="0" collapsed="false">
      <c r="A153" s="140"/>
      <c r="B153" s="141"/>
      <c r="C153" s="142"/>
      <c r="D153" s="143"/>
      <c r="E153" s="143"/>
      <c r="F153" s="144" t="n">
        <v>0</v>
      </c>
      <c r="G153" s="189"/>
      <c r="H153" s="151"/>
      <c r="I153" s="64"/>
      <c r="J153" s="146"/>
      <c r="K153" s="146"/>
      <c r="L153" s="147"/>
      <c r="M153" s="155"/>
      <c r="N153" s="159"/>
    </row>
    <row r="154" customFormat="false" ht="12.75" hidden="false" customHeight="false" outlineLevel="0" collapsed="false">
      <c r="A154" s="140"/>
      <c r="B154" s="141"/>
      <c r="C154" s="142" t="s">
        <v>68</v>
      </c>
      <c r="D154" s="143" t="s">
        <v>45</v>
      </c>
      <c r="E154" s="143" t="s">
        <v>106</v>
      </c>
      <c r="F154" s="144" t="n">
        <v>0</v>
      </c>
      <c r="G154" s="44"/>
      <c r="H154" s="151" t="n">
        <v>16.47875</v>
      </c>
      <c r="I154" s="64" t="n">
        <v>0</v>
      </c>
      <c r="J154" s="146" t="n">
        <v>0</v>
      </c>
      <c r="K154" s="146" t="n">
        <v>0</v>
      </c>
      <c r="L154" s="158" t="n">
        <v>0</v>
      </c>
      <c r="M154" s="155"/>
      <c r="N154" s="159"/>
    </row>
    <row r="155" customFormat="false" ht="12.75" hidden="false" customHeight="false" outlineLevel="0" collapsed="false">
      <c r="A155" s="140"/>
      <c r="B155" s="141"/>
      <c r="C155" s="142" t="s">
        <v>68</v>
      </c>
      <c r="D155" s="143" t="s">
        <v>45</v>
      </c>
      <c r="E155" s="143" t="s">
        <v>106</v>
      </c>
      <c r="F155" s="144" t="n">
        <v>0</v>
      </c>
      <c r="G155" s="44"/>
      <c r="H155" s="151" t="n">
        <v>16.47875</v>
      </c>
      <c r="I155" s="64" t="n">
        <v>0</v>
      </c>
      <c r="J155" s="146" t="n">
        <v>0</v>
      </c>
      <c r="K155" s="146" t="n">
        <v>0</v>
      </c>
      <c r="L155" s="158" t="n">
        <v>0</v>
      </c>
      <c r="M155" s="155"/>
      <c r="N155" s="159"/>
    </row>
    <row r="156" customFormat="false" ht="12.75" hidden="false" customHeight="false" outlineLevel="0" collapsed="false">
      <c r="A156" s="140"/>
      <c r="B156" s="141"/>
      <c r="C156" s="142" t="s">
        <v>68</v>
      </c>
      <c r="D156" s="143" t="s">
        <v>45</v>
      </c>
      <c r="E156" s="143" t="s">
        <v>106</v>
      </c>
      <c r="F156" s="144" t="n">
        <v>0</v>
      </c>
      <c r="G156" s="44"/>
      <c r="H156" s="151" t="n">
        <v>16.47875</v>
      </c>
      <c r="I156" s="64" t="n">
        <v>0</v>
      </c>
      <c r="J156" s="146" t="n">
        <v>0</v>
      </c>
      <c r="K156" s="146" t="n">
        <v>0</v>
      </c>
      <c r="L156" s="158" t="n">
        <v>0</v>
      </c>
      <c r="M156" s="155"/>
      <c r="N156" s="159"/>
    </row>
    <row r="157" customFormat="false" ht="12.75" hidden="false" customHeight="false" outlineLevel="0" collapsed="false">
      <c r="A157" s="140"/>
      <c r="B157" s="141"/>
      <c r="C157" s="142" t="s">
        <v>68</v>
      </c>
      <c r="D157" s="143" t="s">
        <v>45</v>
      </c>
      <c r="E157" s="143" t="s">
        <v>106</v>
      </c>
      <c r="F157" s="144" t="n">
        <v>0</v>
      </c>
      <c r="G157" s="44"/>
      <c r="H157" s="151" t="n">
        <v>16.47875</v>
      </c>
      <c r="I157" s="64" t="n">
        <v>0</v>
      </c>
      <c r="J157" s="146" t="n">
        <v>0</v>
      </c>
      <c r="K157" s="146" t="n">
        <v>0</v>
      </c>
      <c r="L157" s="158" t="n">
        <v>0</v>
      </c>
      <c r="M157" s="155"/>
      <c r="N157" s="159"/>
    </row>
    <row r="158" customFormat="false" ht="12.75" hidden="false" customHeight="false" outlineLevel="0" collapsed="false">
      <c r="A158" s="140"/>
      <c r="B158" s="141"/>
      <c r="C158" s="142" t="s">
        <v>68</v>
      </c>
      <c r="D158" s="143" t="s">
        <v>45</v>
      </c>
      <c r="E158" s="143" t="s">
        <v>106</v>
      </c>
      <c r="F158" s="144" t="n">
        <v>0</v>
      </c>
      <c r="G158" s="44"/>
      <c r="H158" s="151" t="n">
        <v>16.47875</v>
      </c>
      <c r="I158" s="64" t="n">
        <v>0</v>
      </c>
      <c r="J158" s="146" t="n">
        <v>0</v>
      </c>
      <c r="K158" s="146" t="n">
        <v>0</v>
      </c>
      <c r="L158" s="158" t="n">
        <v>0</v>
      </c>
      <c r="M158" s="155"/>
      <c r="N158" s="159"/>
    </row>
    <row r="159" customFormat="false" ht="12.75" hidden="false" customHeight="false" outlineLevel="0" collapsed="false">
      <c r="A159" s="140"/>
      <c r="B159" s="141"/>
      <c r="C159" s="142" t="s">
        <v>68</v>
      </c>
      <c r="D159" s="143" t="s">
        <v>45</v>
      </c>
      <c r="E159" s="143" t="s">
        <v>106</v>
      </c>
      <c r="F159" s="144" t="n">
        <v>0</v>
      </c>
      <c r="G159" s="44"/>
      <c r="H159" s="151" t="n">
        <v>16.47875</v>
      </c>
      <c r="I159" s="64" t="n">
        <v>0</v>
      </c>
      <c r="J159" s="146" t="n">
        <v>0</v>
      </c>
      <c r="K159" s="146" t="n">
        <v>0</v>
      </c>
      <c r="L159" s="158" t="n">
        <v>0</v>
      </c>
      <c r="M159" s="155"/>
      <c r="N159" s="159"/>
    </row>
    <row r="160" customFormat="false" ht="12.75" hidden="false" customHeight="false" outlineLevel="0" collapsed="false">
      <c r="A160" s="140"/>
      <c r="B160" s="141"/>
      <c r="C160" s="142" t="s">
        <v>68</v>
      </c>
      <c r="D160" s="143" t="s">
        <v>45</v>
      </c>
      <c r="E160" s="143" t="s">
        <v>106</v>
      </c>
      <c r="F160" s="144" t="n">
        <v>0</v>
      </c>
      <c r="G160" s="44"/>
      <c r="H160" s="151" t="n">
        <v>16.47875</v>
      </c>
      <c r="I160" s="64" t="n">
        <v>0</v>
      </c>
      <c r="J160" s="146" t="n">
        <v>0</v>
      </c>
      <c r="K160" s="146" t="n">
        <v>0</v>
      </c>
      <c r="L160" s="158" t="n">
        <v>0</v>
      </c>
      <c r="M160" s="155"/>
      <c r="N160" s="159"/>
    </row>
    <row r="161" customFormat="false" ht="12.75" hidden="false" customHeight="false" outlineLevel="0" collapsed="false">
      <c r="A161" s="140"/>
      <c r="B161" s="141"/>
      <c r="C161" s="142"/>
      <c r="D161" s="143"/>
      <c r="E161" s="143"/>
      <c r="F161" s="144" t="n">
        <v>0</v>
      </c>
      <c r="G161" s="189"/>
      <c r="H161" s="151"/>
      <c r="I161" s="64"/>
      <c r="J161" s="154"/>
      <c r="K161" s="146"/>
      <c r="L161" s="158"/>
      <c r="M161" s="155"/>
      <c r="N161" s="159"/>
    </row>
    <row r="162" customFormat="false" ht="12.75" hidden="false" customHeight="false" outlineLevel="0" collapsed="false">
      <c r="A162" s="140" t="n">
        <v>46050</v>
      </c>
      <c r="B162" s="141" t="s">
        <v>81</v>
      </c>
      <c r="C162" s="142" t="s">
        <v>68</v>
      </c>
      <c r="D162" s="143" t="s">
        <v>53</v>
      </c>
      <c r="E162" s="143" t="s">
        <v>54</v>
      </c>
      <c r="F162" s="144" t="n">
        <v>-1000</v>
      </c>
      <c r="G162" s="156" t="n">
        <v>0.745</v>
      </c>
      <c r="H162" s="151" t="n">
        <v>0.7067</v>
      </c>
      <c r="I162" s="64" t="n">
        <v>0</v>
      </c>
      <c r="J162" s="146" t="n">
        <v>0.0541955568133579</v>
      </c>
      <c r="K162" s="146" t="n">
        <v>0.370577991623008</v>
      </c>
      <c r="L162" s="158" t="n">
        <v>706.7</v>
      </c>
      <c r="M162" s="155" t="n">
        <v>46351</v>
      </c>
      <c r="N162" s="159" t="n">
        <v>226</v>
      </c>
    </row>
    <row r="163" customFormat="false" ht="12.75" hidden="false" customHeight="false" outlineLevel="0" collapsed="false">
      <c r="A163" s="140" t="n">
        <v>46048</v>
      </c>
      <c r="B163" s="141" t="s">
        <v>81</v>
      </c>
      <c r="C163" s="142" t="s">
        <v>68</v>
      </c>
      <c r="D163" s="143" t="s">
        <v>53</v>
      </c>
      <c r="E163" s="143" t="s">
        <v>54</v>
      </c>
      <c r="F163" s="144" t="n">
        <v>-1000</v>
      </c>
      <c r="G163" s="156" t="n">
        <v>0.74</v>
      </c>
      <c r="H163" s="151" t="n">
        <v>0.7067</v>
      </c>
      <c r="I163" s="64" t="n">
        <v>0</v>
      </c>
      <c r="J163" s="146" t="n">
        <v>0.0471204188481675</v>
      </c>
      <c r="K163" s="146" t="n">
        <v>0.381328842695972</v>
      </c>
      <c r="L163" s="158" t="n">
        <v>706.7</v>
      </c>
      <c r="M163" s="155" t="n">
        <v>46351</v>
      </c>
      <c r="N163" s="159" t="n">
        <v>226</v>
      </c>
    </row>
    <row r="164" customFormat="false" ht="12.75" hidden="false" customHeight="false" outlineLevel="0" collapsed="false">
      <c r="A164" s="140" t="n">
        <v>46045</v>
      </c>
      <c r="B164" s="141" t="s">
        <v>22</v>
      </c>
      <c r="C164" s="142" t="s">
        <v>68</v>
      </c>
      <c r="D164" s="143" t="s">
        <v>53</v>
      </c>
      <c r="E164" s="143" t="s">
        <v>54</v>
      </c>
      <c r="F164" s="144" t="n">
        <v>-1000</v>
      </c>
      <c r="G164" s="156" t="n">
        <v>0.735</v>
      </c>
      <c r="H164" s="151" t="n">
        <v>0.7067</v>
      </c>
      <c r="I164" s="64" t="n">
        <v>0</v>
      </c>
      <c r="J164" s="146" t="n">
        <v>0.0400452808829772</v>
      </c>
      <c r="K164" s="146" t="n">
        <v>0.392245872508344</v>
      </c>
      <c r="L164" s="158" t="n">
        <v>706.7</v>
      </c>
      <c r="M164" s="155" t="n">
        <v>46351</v>
      </c>
      <c r="N164" s="159" t="n">
        <v>226</v>
      </c>
    </row>
    <row r="165" customFormat="false" ht="12.75" hidden="false" customHeight="false" outlineLevel="0" collapsed="false">
      <c r="A165" s="140" t="n">
        <v>46045</v>
      </c>
      <c r="B165" s="141" t="s">
        <v>81</v>
      </c>
      <c r="C165" s="142" t="s">
        <v>68</v>
      </c>
      <c r="D165" s="143" t="s">
        <v>53</v>
      </c>
      <c r="E165" s="143" t="s">
        <v>54</v>
      </c>
      <c r="F165" s="144" t="n">
        <v>-1000</v>
      </c>
      <c r="G165" s="156" t="n">
        <v>0.73</v>
      </c>
      <c r="H165" s="151" t="n">
        <v>0.7067</v>
      </c>
      <c r="I165" s="64" t="n">
        <v>0</v>
      </c>
      <c r="J165" s="146" t="n">
        <v>0.0329701429177869</v>
      </c>
      <c r="K165" s="146" t="n">
        <v>0.403323760175661</v>
      </c>
      <c r="L165" s="158" t="n">
        <v>706.7</v>
      </c>
      <c r="M165" s="155" t="n">
        <v>46351</v>
      </c>
      <c r="N165" s="159" t="n">
        <v>226</v>
      </c>
    </row>
    <row r="166" customFormat="false" ht="12.75" hidden="false" customHeight="false" outlineLevel="0" collapsed="false">
      <c r="A166" s="140" t="n">
        <v>46003</v>
      </c>
      <c r="B166" s="141" t="s">
        <v>22</v>
      </c>
      <c r="C166" s="142" t="s">
        <v>68</v>
      </c>
      <c r="D166" s="143" t="s">
        <v>53</v>
      </c>
      <c r="E166" s="143" t="s">
        <v>54</v>
      </c>
      <c r="F166" s="144" t="n">
        <v>-1000</v>
      </c>
      <c r="G166" s="156" t="n">
        <v>0.725</v>
      </c>
      <c r="H166" s="151" t="n">
        <v>0.7067</v>
      </c>
      <c r="I166" s="64" t="n">
        <v>0</v>
      </c>
      <c r="J166" s="146" t="n">
        <v>0.0258950049525966</v>
      </c>
      <c r="K166" s="146" t="n">
        <v>0.414452731192271</v>
      </c>
      <c r="L166" s="158" t="n">
        <v>706.7</v>
      </c>
      <c r="M166" s="155" t="n">
        <v>46373</v>
      </c>
      <c r="N166" s="159" t="n">
        <v>248</v>
      </c>
    </row>
    <row r="167" customFormat="false" ht="12.75" hidden="false" customHeight="false" outlineLevel="0" collapsed="false">
      <c r="A167" s="140"/>
      <c r="B167" s="141"/>
      <c r="C167" s="142" t="s">
        <v>68</v>
      </c>
      <c r="D167" s="143" t="s">
        <v>53</v>
      </c>
      <c r="E167" s="143" t="s">
        <v>54</v>
      </c>
      <c r="F167" s="144" t="n">
        <v>0</v>
      </c>
      <c r="G167" s="156"/>
      <c r="H167" s="151" t="n">
        <v>0.7067</v>
      </c>
      <c r="I167" s="64" t="n">
        <v>0</v>
      </c>
      <c r="J167" s="146" t="n">
        <v>0</v>
      </c>
      <c r="K167" s="146" t="n">
        <v>0</v>
      </c>
      <c r="L167" s="158" t="n">
        <v>0</v>
      </c>
      <c r="M167" s="155"/>
      <c r="N167" s="159"/>
    </row>
    <row r="168" customFormat="false" ht="12.75" hidden="false" customHeight="false" outlineLevel="0" collapsed="false">
      <c r="A168" s="140"/>
      <c r="B168" s="141"/>
      <c r="C168" s="142" t="s">
        <v>68</v>
      </c>
      <c r="D168" s="143" t="s">
        <v>53</v>
      </c>
      <c r="E168" s="143" t="s">
        <v>54</v>
      </c>
      <c r="F168" s="144" t="n">
        <v>0</v>
      </c>
      <c r="G168" s="156"/>
      <c r="H168" s="151" t="n">
        <v>0.7067</v>
      </c>
      <c r="I168" s="64" t="n">
        <v>0</v>
      </c>
      <c r="J168" s="146" t="n">
        <v>0</v>
      </c>
      <c r="K168" s="146" t="n">
        <v>0</v>
      </c>
      <c r="L168" s="158" t="n">
        <v>0</v>
      </c>
      <c r="M168" s="155"/>
      <c r="N168" s="159"/>
    </row>
    <row r="169" customFormat="false" ht="12.75" hidden="false" customHeight="false" outlineLevel="0" collapsed="false">
      <c r="A169" s="140"/>
      <c r="B169" s="141"/>
      <c r="C169" s="142" t="s">
        <v>68</v>
      </c>
      <c r="D169" s="143" t="s">
        <v>53</v>
      </c>
      <c r="E169" s="143" t="s">
        <v>54</v>
      </c>
      <c r="F169" s="144" t="n">
        <v>0</v>
      </c>
      <c r="G169" s="156"/>
      <c r="H169" s="151" t="n">
        <v>0.7067</v>
      </c>
      <c r="I169" s="64" t="n">
        <v>0</v>
      </c>
      <c r="J169" s="146" t="n">
        <v>0</v>
      </c>
      <c r="K169" s="146" t="n">
        <v>0</v>
      </c>
      <c r="L169" s="158" t="n">
        <v>0</v>
      </c>
      <c r="M169" s="155"/>
      <c r="N169" s="159"/>
    </row>
    <row r="170" customFormat="false" ht="12.75" hidden="false" customHeight="false" outlineLevel="0" collapsed="false">
      <c r="A170" s="140"/>
      <c r="B170" s="141"/>
      <c r="C170" s="142" t="s">
        <v>68</v>
      </c>
      <c r="D170" s="143" t="s">
        <v>53</v>
      </c>
      <c r="E170" s="143" t="s">
        <v>54</v>
      </c>
      <c r="F170" s="144" t="n">
        <v>0</v>
      </c>
      <c r="G170" s="156"/>
      <c r="H170" s="151" t="n">
        <v>0.7067</v>
      </c>
      <c r="I170" s="64" t="n">
        <v>0</v>
      </c>
      <c r="J170" s="146" t="n">
        <v>0</v>
      </c>
      <c r="K170" s="146" t="n">
        <v>0</v>
      </c>
      <c r="L170" s="158" t="n">
        <v>0</v>
      </c>
      <c r="M170" s="155"/>
      <c r="N170" s="159"/>
    </row>
    <row r="171" customFormat="false" ht="12.75" hidden="false" customHeight="false" outlineLevel="0" collapsed="false">
      <c r="A171" s="140"/>
      <c r="B171" s="141"/>
      <c r="C171" s="142" t="s">
        <v>68</v>
      </c>
      <c r="D171" s="143" t="s">
        <v>53</v>
      </c>
      <c r="E171" s="143" t="s">
        <v>54</v>
      </c>
      <c r="F171" s="144" t="n">
        <v>0</v>
      </c>
      <c r="G171" s="156"/>
      <c r="H171" s="151" t="n">
        <v>0.7067</v>
      </c>
      <c r="I171" s="64" t="n">
        <v>0</v>
      </c>
      <c r="J171" s="146" t="n">
        <v>0</v>
      </c>
      <c r="K171" s="146" t="n">
        <v>0</v>
      </c>
      <c r="L171" s="158" t="n">
        <v>0</v>
      </c>
      <c r="M171" s="155"/>
      <c r="N171" s="159"/>
    </row>
    <row r="172" customFormat="false" ht="12.75" hidden="false" customHeight="false" outlineLevel="0" collapsed="false">
      <c r="A172" s="140"/>
      <c r="B172" s="141"/>
      <c r="C172" s="142" t="s">
        <v>68</v>
      </c>
      <c r="D172" s="143" t="s">
        <v>53</v>
      </c>
      <c r="E172" s="143" t="s">
        <v>54</v>
      </c>
      <c r="F172" s="144" t="n">
        <v>0</v>
      </c>
      <c r="G172" s="156"/>
      <c r="H172" s="151" t="n">
        <v>0.7067</v>
      </c>
      <c r="I172" s="64" t="n">
        <v>0</v>
      </c>
      <c r="J172" s="146" t="n">
        <v>0</v>
      </c>
      <c r="K172" s="146" t="n">
        <v>0</v>
      </c>
      <c r="L172" s="158" t="n">
        <v>0</v>
      </c>
      <c r="M172" s="155"/>
      <c r="N172" s="159"/>
    </row>
    <row r="173" customFormat="false" ht="12.75" hidden="false" customHeight="false" outlineLevel="0" collapsed="false">
      <c r="A173" s="140"/>
      <c r="B173" s="141"/>
      <c r="C173" s="142" t="s">
        <v>68</v>
      </c>
      <c r="D173" s="143" t="s">
        <v>53</v>
      </c>
      <c r="E173" s="143" t="s">
        <v>54</v>
      </c>
      <c r="F173" s="144" t="n">
        <v>0</v>
      </c>
      <c r="G173" s="156"/>
      <c r="H173" s="151" t="n">
        <v>0.7067</v>
      </c>
      <c r="I173" s="64" t="n">
        <v>0</v>
      </c>
      <c r="J173" s="146" t="n">
        <v>0</v>
      </c>
      <c r="K173" s="146" t="n">
        <v>0</v>
      </c>
      <c r="L173" s="158" t="n">
        <v>0</v>
      </c>
      <c r="M173" s="155"/>
      <c r="N173" s="159"/>
    </row>
    <row r="174" customFormat="false" ht="12.75" hidden="false" customHeight="false" outlineLevel="0" collapsed="false">
      <c r="A174" s="140"/>
      <c r="B174" s="141"/>
      <c r="C174" s="142" t="s">
        <v>68</v>
      </c>
      <c r="D174" s="143" t="s">
        <v>53</v>
      </c>
      <c r="E174" s="143" t="s">
        <v>54</v>
      </c>
      <c r="F174" s="144" t="n">
        <v>0</v>
      </c>
      <c r="G174" s="156"/>
      <c r="H174" s="151" t="n">
        <v>0.7067</v>
      </c>
      <c r="I174" s="64" t="n">
        <v>0</v>
      </c>
      <c r="J174" s="146" t="n">
        <v>0</v>
      </c>
      <c r="K174" s="146" t="n">
        <v>0</v>
      </c>
      <c r="L174" s="158" t="n">
        <v>0</v>
      </c>
      <c r="M174" s="155"/>
      <c r="N174" s="159"/>
    </row>
    <row r="175" customFormat="false" ht="12.75" hidden="false" customHeight="false" outlineLevel="0" collapsed="false">
      <c r="A175" s="140"/>
      <c r="B175" s="141"/>
      <c r="C175" s="142"/>
      <c r="D175" s="143"/>
      <c r="E175" s="143"/>
      <c r="F175" s="144" t="n">
        <v>0</v>
      </c>
      <c r="G175" s="189"/>
      <c r="H175" s="151"/>
      <c r="I175" s="64"/>
      <c r="J175" s="154"/>
      <c r="K175" s="146"/>
      <c r="L175" s="158"/>
      <c r="M175" s="155"/>
      <c r="N175" s="159"/>
    </row>
    <row r="176" customFormat="false" ht="12.75" hidden="false" customHeight="false" outlineLevel="0" collapsed="false">
      <c r="A176" s="140"/>
      <c r="B176" s="141"/>
      <c r="C176" s="142" t="s">
        <v>68</v>
      </c>
      <c r="D176" s="143" t="s">
        <v>56</v>
      </c>
      <c r="E176" s="143" t="s">
        <v>107</v>
      </c>
      <c r="F176" s="144" t="n">
        <v>0</v>
      </c>
      <c r="G176" s="44"/>
      <c r="H176" s="44" t="n">
        <v>4720.645</v>
      </c>
      <c r="I176" s="64" t="n">
        <v>0</v>
      </c>
      <c r="J176" s="146" t="n">
        <v>0</v>
      </c>
      <c r="K176" s="146" t="n">
        <v>0</v>
      </c>
      <c r="L176" s="158" t="n">
        <v>0</v>
      </c>
      <c r="M176" s="155"/>
      <c r="N176" s="159"/>
    </row>
    <row r="177" customFormat="false" ht="12.75" hidden="false" customHeight="false" outlineLevel="0" collapsed="false">
      <c r="A177" s="140"/>
      <c r="B177" s="141"/>
      <c r="C177" s="142" t="s">
        <v>68</v>
      </c>
      <c r="D177" s="143" t="s">
        <v>56</v>
      </c>
      <c r="E177" s="143" t="s">
        <v>107</v>
      </c>
      <c r="F177" s="144" t="n">
        <v>0</v>
      </c>
      <c r="G177" s="44"/>
      <c r="H177" s="44" t="n">
        <v>4720.645</v>
      </c>
      <c r="I177" s="64" t="n">
        <v>0</v>
      </c>
      <c r="J177" s="146" t="n">
        <v>0</v>
      </c>
      <c r="K177" s="146" t="n">
        <v>0</v>
      </c>
      <c r="L177" s="158" t="n">
        <v>0</v>
      </c>
      <c r="M177" s="155"/>
      <c r="N177" s="159"/>
    </row>
    <row r="178" customFormat="false" ht="12.75" hidden="false" customHeight="false" outlineLevel="0" collapsed="false">
      <c r="A178" s="199"/>
      <c r="B178" s="200"/>
      <c r="C178" s="201"/>
      <c r="D178" s="202"/>
      <c r="E178" s="202"/>
      <c r="F178" s="203" t="n">
        <v>0</v>
      </c>
      <c r="G178" s="204"/>
      <c r="H178" s="205"/>
      <c r="I178" s="206"/>
      <c r="J178" s="207"/>
      <c r="K178" s="207"/>
      <c r="L178" s="208"/>
      <c r="M178" s="209"/>
      <c r="N178" s="210"/>
    </row>
    <row r="179" customFormat="false" ht="11.25" hidden="false" customHeight="true" outlineLevel="0" collapsed="false">
      <c r="A179" s="180"/>
      <c r="B179" s="142"/>
      <c r="C179" s="142"/>
      <c r="D179" s="211"/>
      <c r="E179" s="211"/>
      <c r="F179" s="147" t="n">
        <v>-19666.6666666667</v>
      </c>
      <c r="G179" s="212"/>
      <c r="H179" s="213"/>
      <c r="I179" s="147"/>
      <c r="J179" s="170"/>
      <c r="K179" s="170"/>
      <c r="L179" s="147" t="n">
        <v>18200.1666666667</v>
      </c>
      <c r="M179" s="148"/>
      <c r="N179" s="214"/>
    </row>
    <row r="180" customFormat="false" ht="12.75" hidden="false" customHeight="false" outlineLevel="0" collapsed="false">
      <c r="A180" s="180"/>
      <c r="B180" s="142"/>
      <c r="C180" s="142"/>
      <c r="D180" s="215"/>
      <c r="E180" s="211"/>
      <c r="F180" s="216"/>
      <c r="G180" s="212"/>
      <c r="H180" s="213"/>
      <c r="I180" s="145"/>
      <c r="J180" s="170"/>
      <c r="K180" s="170"/>
      <c r="L180" s="147"/>
      <c r="M180" s="148"/>
      <c r="N180" s="214"/>
    </row>
    <row r="181" customFormat="false" ht="16.15" hidden="false" customHeight="false" outlineLevel="0" collapsed="false">
      <c r="A181" s="217"/>
      <c r="B181" s="217"/>
      <c r="C181" s="218"/>
      <c r="D181" s="219" t="s">
        <v>108</v>
      </c>
      <c r="E181" s="218"/>
      <c r="F181" s="217"/>
      <c r="G181" s="217"/>
      <c r="H181" s="217"/>
      <c r="I181" s="217"/>
      <c r="J181" s="186" t="s">
        <v>62</v>
      </c>
      <c r="K181" s="186" t="s">
        <v>63</v>
      </c>
      <c r="L181" s="217"/>
      <c r="M181" s="217"/>
      <c r="N181" s="220"/>
    </row>
    <row r="182" customFormat="false" ht="12.75" hidden="false" customHeight="false" outlineLevel="0" collapsed="false">
      <c r="A182" s="187"/>
      <c r="B182" s="141"/>
      <c r="C182" s="142"/>
      <c r="D182" s="143"/>
      <c r="E182" s="143"/>
      <c r="F182" s="144"/>
      <c r="G182" s="150"/>
      <c r="H182" s="151"/>
      <c r="I182" s="64"/>
      <c r="J182" s="170"/>
      <c r="K182" s="170"/>
      <c r="L182" s="147"/>
      <c r="M182" s="221"/>
      <c r="N182" s="188"/>
    </row>
    <row r="183" customFormat="false" ht="12.75" hidden="false" customHeight="false" outlineLevel="0" collapsed="false">
      <c r="A183" s="187"/>
      <c r="B183" s="141"/>
      <c r="C183" s="142"/>
      <c r="D183" s="143"/>
      <c r="E183" s="143"/>
      <c r="F183" s="144"/>
      <c r="G183" s="150"/>
      <c r="H183" s="151"/>
      <c r="I183" s="64"/>
      <c r="J183" s="146"/>
      <c r="K183" s="146"/>
      <c r="L183" s="147"/>
      <c r="M183" s="148"/>
      <c r="N183" s="222"/>
    </row>
    <row r="184" customFormat="false" ht="12.75" hidden="false" customHeight="false" outlineLevel="0" collapsed="false">
      <c r="A184" s="140"/>
      <c r="B184" s="141"/>
      <c r="C184" s="142" t="s">
        <v>69</v>
      </c>
      <c r="D184" s="143" t="s">
        <v>48</v>
      </c>
      <c r="E184" s="143" t="s">
        <v>100</v>
      </c>
      <c r="F184" s="144"/>
      <c r="G184" s="150"/>
      <c r="H184" s="151" t="n">
        <v>1.17165</v>
      </c>
      <c r="I184" s="64" t="n">
        <v>0</v>
      </c>
      <c r="J184" s="146" t="n">
        <v>0</v>
      </c>
      <c r="K184" s="146" t="n">
        <v>0</v>
      </c>
      <c r="L184" s="147" t="n">
        <v>0</v>
      </c>
      <c r="M184" s="155"/>
      <c r="N184" s="159"/>
    </row>
    <row r="185" customFormat="false" ht="12.75" hidden="false" customHeight="false" outlineLevel="0" collapsed="false">
      <c r="A185" s="140"/>
      <c r="B185" s="141"/>
      <c r="C185" s="142" t="s">
        <v>69</v>
      </c>
      <c r="D185" s="143" t="s">
        <v>48</v>
      </c>
      <c r="E185" s="143" t="s">
        <v>100</v>
      </c>
      <c r="F185" s="144"/>
      <c r="G185" s="150"/>
      <c r="H185" s="151" t="n">
        <v>1.17165</v>
      </c>
      <c r="I185" s="64" t="n">
        <v>0</v>
      </c>
      <c r="J185" s="146" t="n">
        <v>0</v>
      </c>
      <c r="K185" s="146" t="n">
        <v>0</v>
      </c>
      <c r="L185" s="147" t="n">
        <v>0</v>
      </c>
      <c r="M185" s="155"/>
      <c r="N185" s="159"/>
    </row>
    <row r="186" customFormat="false" ht="12.75" hidden="false" customHeight="false" outlineLevel="0" collapsed="false">
      <c r="A186" s="140"/>
      <c r="B186" s="141"/>
      <c r="C186" s="142" t="s">
        <v>69</v>
      </c>
      <c r="D186" s="143" t="s">
        <v>48</v>
      </c>
      <c r="E186" s="143" t="s">
        <v>100</v>
      </c>
      <c r="F186" s="144"/>
      <c r="G186" s="150"/>
      <c r="H186" s="151" t="n">
        <v>1.17165</v>
      </c>
      <c r="I186" s="64" t="n">
        <v>0</v>
      </c>
      <c r="J186" s="146" t="n">
        <v>0</v>
      </c>
      <c r="K186" s="146" t="n">
        <v>0</v>
      </c>
      <c r="L186" s="147" t="n">
        <v>0</v>
      </c>
      <c r="M186" s="155"/>
      <c r="N186" s="159"/>
    </row>
    <row r="187" customFormat="false" ht="12.75" hidden="false" customHeight="false" outlineLevel="0" collapsed="false">
      <c r="A187" s="140"/>
      <c r="B187" s="141"/>
      <c r="C187" s="142"/>
      <c r="D187" s="143"/>
      <c r="E187" s="143"/>
      <c r="F187" s="144"/>
      <c r="G187" s="150"/>
      <c r="H187" s="151"/>
      <c r="I187" s="64"/>
      <c r="J187" s="146"/>
      <c r="K187" s="146"/>
      <c r="L187" s="147"/>
      <c r="M187" s="155"/>
      <c r="N187" s="222"/>
    </row>
    <row r="188" customFormat="false" ht="12.75" hidden="false" customHeight="false" outlineLevel="0" collapsed="false">
      <c r="A188" s="140"/>
      <c r="B188" s="141"/>
      <c r="C188" s="142" t="s">
        <v>69</v>
      </c>
      <c r="D188" s="143" t="s">
        <v>17</v>
      </c>
      <c r="E188" s="143" t="s">
        <v>67</v>
      </c>
      <c r="F188" s="144"/>
      <c r="G188" s="150"/>
      <c r="H188" s="151" t="n">
        <v>898.405</v>
      </c>
      <c r="I188" s="64" t="n">
        <v>0</v>
      </c>
      <c r="J188" s="146" t="n">
        <v>0</v>
      </c>
      <c r="K188" s="146" t="n">
        <v>0</v>
      </c>
      <c r="L188" s="147" t="n">
        <v>0</v>
      </c>
      <c r="M188" s="155"/>
      <c r="N188" s="222"/>
    </row>
    <row r="189" customFormat="false" ht="12.75" hidden="false" customHeight="false" outlineLevel="0" collapsed="false">
      <c r="A189" s="190" t="n">
        <v>46035</v>
      </c>
      <c r="B189" s="191" t="s">
        <v>81</v>
      </c>
      <c r="C189" s="191" t="s">
        <v>82</v>
      </c>
      <c r="D189" s="71" t="s">
        <v>17</v>
      </c>
      <c r="E189" s="71" t="s">
        <v>67</v>
      </c>
      <c r="F189" s="192" t="n">
        <v>666.666666666667</v>
      </c>
      <c r="G189" s="193" t="n">
        <v>830</v>
      </c>
      <c r="H189" s="223" t="n">
        <v>898.405</v>
      </c>
      <c r="I189" s="75" t="n">
        <v>0</v>
      </c>
      <c r="J189" s="195" t="n">
        <v>-0.0761404934300232</v>
      </c>
      <c r="K189" s="195" t="n">
        <v>0.398749207364478</v>
      </c>
      <c r="L189" s="224" t="n">
        <v>-666.666666666667</v>
      </c>
      <c r="M189" s="197" t="n">
        <v>46329</v>
      </c>
      <c r="N189" s="198" t="n">
        <v>204</v>
      </c>
    </row>
    <row r="190" customFormat="false" ht="12.75" hidden="false" customHeight="false" outlineLevel="0" collapsed="false">
      <c r="A190" s="140" t="n">
        <v>45978</v>
      </c>
      <c r="B190" s="141" t="s">
        <v>67</v>
      </c>
      <c r="C190" s="142" t="s">
        <v>69</v>
      </c>
      <c r="D190" s="143" t="s">
        <v>17</v>
      </c>
      <c r="E190" s="143" t="s">
        <v>67</v>
      </c>
      <c r="F190" s="144" t="n">
        <v>-1333.33333333333</v>
      </c>
      <c r="G190" s="150" t="n">
        <v>830</v>
      </c>
      <c r="H190" s="151" t="n">
        <v>898.405</v>
      </c>
      <c r="I190" s="64" t="n">
        <v>0</v>
      </c>
      <c r="J190" s="146" t="n">
        <v>-0.0761404934300232</v>
      </c>
      <c r="K190" s="146" t="n">
        <v>0.398749207364478</v>
      </c>
      <c r="L190" s="147" t="n">
        <v>1333.33333333333</v>
      </c>
      <c r="M190" s="155" t="n">
        <v>46329</v>
      </c>
      <c r="N190" s="159" t="n">
        <v>204</v>
      </c>
    </row>
    <row r="191" customFormat="false" ht="12.75" hidden="false" customHeight="false" outlineLevel="0" collapsed="false">
      <c r="A191" s="140" t="n">
        <v>46094</v>
      </c>
      <c r="B191" s="141" t="s">
        <v>85</v>
      </c>
      <c r="C191" s="142" t="s">
        <v>69</v>
      </c>
      <c r="D191" s="143" t="s">
        <v>17</v>
      </c>
      <c r="E191" s="143" t="s">
        <v>67</v>
      </c>
      <c r="F191" s="144" t="n">
        <v>-1666.66666666667</v>
      </c>
      <c r="G191" s="150" t="n">
        <v>815</v>
      </c>
      <c r="H191" s="151" t="n">
        <v>898.405</v>
      </c>
      <c r="I191" s="64" t="n">
        <v>0</v>
      </c>
      <c r="J191" s="146" t="n">
        <v>-0.092836749572854</v>
      </c>
      <c r="K191" s="146" t="n">
        <v>0.367929040346921</v>
      </c>
      <c r="L191" s="147" t="n">
        <v>1666.66666666667</v>
      </c>
      <c r="M191" s="155" t="n">
        <v>46329</v>
      </c>
      <c r="N191" s="159" t="n">
        <v>204</v>
      </c>
    </row>
    <row r="192" customFormat="false" ht="12.75" hidden="false" customHeight="false" outlineLevel="0" collapsed="false">
      <c r="A192" s="140" t="n">
        <v>46091</v>
      </c>
      <c r="B192" s="141" t="s">
        <v>85</v>
      </c>
      <c r="C192" s="142" t="s">
        <v>69</v>
      </c>
      <c r="D192" s="143" t="s">
        <v>17</v>
      </c>
      <c r="E192" s="143" t="s">
        <v>67</v>
      </c>
      <c r="F192" s="144" t="n">
        <v>-1333.33333333333</v>
      </c>
      <c r="G192" s="150" t="n">
        <v>810</v>
      </c>
      <c r="H192" s="151" t="n">
        <v>898.405</v>
      </c>
      <c r="I192" s="64" t="n">
        <v>0</v>
      </c>
      <c r="J192" s="146" t="n">
        <v>-0.0984021682871311</v>
      </c>
      <c r="K192" s="146" t="n">
        <v>0.357707572072285</v>
      </c>
      <c r="L192" s="147" t="n">
        <v>1333.33333333333</v>
      </c>
      <c r="M192" s="155" t="n">
        <v>46329</v>
      </c>
      <c r="N192" s="159" t="n">
        <v>204</v>
      </c>
    </row>
    <row r="193" customFormat="false" ht="12.75" hidden="false" customHeight="false" outlineLevel="0" collapsed="false">
      <c r="A193" s="140" t="n">
        <v>46099</v>
      </c>
      <c r="B193" s="141" t="s">
        <v>85</v>
      </c>
      <c r="C193" s="142" t="s">
        <v>69</v>
      </c>
      <c r="D193" s="143" t="s">
        <v>17</v>
      </c>
      <c r="E193" s="143" t="s">
        <v>67</v>
      </c>
      <c r="F193" s="144" t="n">
        <v>-1000</v>
      </c>
      <c r="G193" s="150" t="n">
        <v>805</v>
      </c>
      <c r="H193" s="151" t="n">
        <v>898.405</v>
      </c>
      <c r="I193" s="64" t="n">
        <v>0</v>
      </c>
      <c r="J193" s="146" t="n">
        <v>-0.103967587001408</v>
      </c>
      <c r="K193" s="146" t="n">
        <v>0.34752480860921</v>
      </c>
      <c r="L193" s="147" t="n">
        <v>1000</v>
      </c>
      <c r="M193" s="155" t="n">
        <v>46329</v>
      </c>
      <c r="N193" s="159" t="n">
        <v>204</v>
      </c>
    </row>
    <row r="194" customFormat="false" ht="12.75" hidden="false" customHeight="false" outlineLevel="0" collapsed="false">
      <c r="A194" s="140" t="n">
        <v>46009</v>
      </c>
      <c r="B194" s="141" t="s">
        <v>101</v>
      </c>
      <c r="C194" s="142" t="s">
        <v>69</v>
      </c>
      <c r="D194" s="143" t="s">
        <v>17</v>
      </c>
      <c r="E194" s="143" t="s">
        <v>67</v>
      </c>
      <c r="F194" s="144" t="n">
        <v>-1666.66666666667</v>
      </c>
      <c r="G194" s="150" t="n">
        <v>800</v>
      </c>
      <c r="H194" s="151" t="n">
        <v>898.405</v>
      </c>
      <c r="I194" s="64" t="n">
        <v>0</v>
      </c>
      <c r="J194" s="146" t="n">
        <v>-0.109533005715685</v>
      </c>
      <c r="K194" s="146" t="n">
        <v>0.351244649400436</v>
      </c>
      <c r="L194" s="147" t="n">
        <v>1666.66666666667</v>
      </c>
      <c r="M194" s="155" t="n">
        <v>46329</v>
      </c>
      <c r="N194" s="222" t="n">
        <v>204</v>
      </c>
    </row>
    <row r="195" customFormat="false" ht="12.75" hidden="false" customHeight="false" outlineLevel="0" collapsed="false">
      <c r="A195" s="140" t="n">
        <v>46045</v>
      </c>
      <c r="B195" s="141" t="s">
        <v>81</v>
      </c>
      <c r="C195" s="142" t="s">
        <v>69</v>
      </c>
      <c r="D195" s="143" t="s">
        <v>17</v>
      </c>
      <c r="E195" s="143" t="s">
        <v>67</v>
      </c>
      <c r="F195" s="144" t="n">
        <v>-1666.66666666667</v>
      </c>
      <c r="G195" s="150" t="n">
        <v>780</v>
      </c>
      <c r="H195" s="151" t="n">
        <v>898.405</v>
      </c>
      <c r="I195" s="64" t="n">
        <v>0</v>
      </c>
      <c r="J195" s="146" t="n">
        <v>-0.131794680572793</v>
      </c>
      <c r="K195" s="146" t="n">
        <v>0.310627850049299</v>
      </c>
      <c r="L195" s="147" t="n">
        <v>1666.66666666667</v>
      </c>
      <c r="M195" s="155" t="n">
        <v>46329</v>
      </c>
      <c r="N195" s="222" t="n">
        <v>204</v>
      </c>
    </row>
    <row r="196" customFormat="false" ht="12.75" hidden="false" customHeight="false" outlineLevel="0" collapsed="false">
      <c r="A196" s="140" t="n">
        <v>46050</v>
      </c>
      <c r="B196" s="141" t="s">
        <v>81</v>
      </c>
      <c r="C196" s="142" t="s">
        <v>69</v>
      </c>
      <c r="D196" s="143" t="s">
        <v>17</v>
      </c>
      <c r="E196" s="143" t="s">
        <v>67</v>
      </c>
      <c r="F196" s="144" t="n">
        <v>-1666.66666666667</v>
      </c>
      <c r="G196" s="150" t="n">
        <v>760</v>
      </c>
      <c r="H196" s="151" t="n">
        <v>898.405</v>
      </c>
      <c r="I196" s="64" t="n">
        <v>0</v>
      </c>
      <c r="J196" s="146" t="n">
        <v>-0.154056355429901</v>
      </c>
      <c r="K196" s="146" t="n">
        <v>0.271231443229482</v>
      </c>
      <c r="L196" s="147" t="n">
        <v>1666.66666666667</v>
      </c>
      <c r="M196" s="155" t="n">
        <v>46329</v>
      </c>
      <c r="N196" s="222" t="n">
        <v>204</v>
      </c>
    </row>
    <row r="197" customFormat="false" ht="12.75" hidden="false" customHeight="false" outlineLevel="0" collapsed="false">
      <c r="A197" s="140"/>
      <c r="B197" s="141"/>
      <c r="C197" s="142" t="s">
        <v>69</v>
      </c>
      <c r="D197" s="143" t="s">
        <v>17</v>
      </c>
      <c r="E197" s="143" t="s">
        <v>67</v>
      </c>
      <c r="F197" s="144" t="n">
        <v>0</v>
      </c>
      <c r="G197" s="150"/>
      <c r="H197" s="151" t="n">
        <v>898.405</v>
      </c>
      <c r="I197" s="64" t="n">
        <v>0</v>
      </c>
      <c r="J197" s="146" t="n">
        <v>0</v>
      </c>
      <c r="K197" s="146" t="n">
        <v>0</v>
      </c>
      <c r="L197" s="147" t="n">
        <v>0</v>
      </c>
      <c r="M197" s="155"/>
      <c r="N197" s="222"/>
    </row>
    <row r="198" customFormat="false" ht="12.75" hidden="false" customHeight="false" outlineLevel="0" collapsed="false">
      <c r="A198" s="140"/>
      <c r="B198" s="141"/>
      <c r="C198" s="142" t="s">
        <v>69</v>
      </c>
      <c r="D198" s="143" t="s">
        <v>17</v>
      </c>
      <c r="E198" s="143" t="s">
        <v>67</v>
      </c>
      <c r="F198" s="144" t="n">
        <v>0</v>
      </c>
      <c r="G198" s="150"/>
      <c r="H198" s="151" t="n">
        <v>898.405</v>
      </c>
      <c r="I198" s="64" t="n">
        <v>0</v>
      </c>
      <c r="J198" s="146" t="n">
        <v>0</v>
      </c>
      <c r="K198" s="146" t="n">
        <v>0</v>
      </c>
      <c r="L198" s="147" t="n">
        <v>0</v>
      </c>
      <c r="M198" s="155"/>
      <c r="N198" s="222"/>
    </row>
    <row r="199" customFormat="false" ht="12.75" hidden="false" customHeight="false" outlineLevel="0" collapsed="false">
      <c r="A199" s="140"/>
      <c r="B199" s="141"/>
      <c r="C199" s="142" t="s">
        <v>69</v>
      </c>
      <c r="D199" s="143" t="s">
        <v>17</v>
      </c>
      <c r="E199" s="143" t="s">
        <v>67</v>
      </c>
      <c r="F199" s="144" t="n">
        <v>0</v>
      </c>
      <c r="G199" s="150"/>
      <c r="H199" s="151" t="n">
        <v>898.405</v>
      </c>
      <c r="I199" s="64" t="n">
        <v>0</v>
      </c>
      <c r="J199" s="146" t="n">
        <v>0</v>
      </c>
      <c r="K199" s="146" t="n">
        <v>0</v>
      </c>
      <c r="L199" s="147" t="n">
        <v>0</v>
      </c>
      <c r="M199" s="155"/>
      <c r="N199" s="222"/>
    </row>
    <row r="200" customFormat="false" ht="12.75" hidden="false" customHeight="false" outlineLevel="0" collapsed="false">
      <c r="A200" s="140"/>
      <c r="B200" s="141"/>
      <c r="C200" s="142" t="s">
        <v>69</v>
      </c>
      <c r="D200" s="143" t="s">
        <v>17</v>
      </c>
      <c r="E200" s="143" t="s">
        <v>67</v>
      </c>
      <c r="F200" s="144" t="n">
        <v>0</v>
      </c>
      <c r="G200" s="150"/>
      <c r="H200" s="151" t="n">
        <v>898.405</v>
      </c>
      <c r="I200" s="64" t="n">
        <v>0</v>
      </c>
      <c r="J200" s="146" t="n">
        <v>0</v>
      </c>
      <c r="K200" s="146" t="n">
        <v>0</v>
      </c>
      <c r="L200" s="147" t="n">
        <v>0</v>
      </c>
      <c r="M200" s="155"/>
      <c r="N200" s="222"/>
    </row>
    <row r="201" customFormat="false" ht="12.75" hidden="false" customHeight="false" outlineLevel="0" collapsed="false">
      <c r="A201" s="140"/>
      <c r="B201" s="141"/>
      <c r="C201" s="142" t="s">
        <v>69</v>
      </c>
      <c r="D201" s="143" t="s">
        <v>17</v>
      </c>
      <c r="E201" s="143" t="s">
        <v>67</v>
      </c>
      <c r="F201" s="144" t="n">
        <v>0</v>
      </c>
      <c r="G201" s="150"/>
      <c r="H201" s="151" t="n">
        <v>898.405</v>
      </c>
      <c r="I201" s="64" t="n">
        <v>0</v>
      </c>
      <c r="J201" s="146" t="n">
        <v>0</v>
      </c>
      <c r="K201" s="146" t="n">
        <v>0</v>
      </c>
      <c r="L201" s="147" t="n">
        <v>0</v>
      </c>
      <c r="M201" s="155"/>
      <c r="N201" s="222"/>
    </row>
    <row r="202" customFormat="false" ht="12.75" hidden="false" customHeight="false" outlineLevel="0" collapsed="false">
      <c r="A202" s="140"/>
      <c r="B202" s="141"/>
      <c r="C202" s="142" t="s">
        <v>69</v>
      </c>
      <c r="D202" s="143" t="s">
        <v>17</v>
      </c>
      <c r="E202" s="143" t="s">
        <v>67</v>
      </c>
      <c r="F202" s="144" t="n">
        <v>0</v>
      </c>
      <c r="G202" s="150"/>
      <c r="H202" s="151" t="n">
        <v>898.405</v>
      </c>
      <c r="I202" s="64" t="n">
        <v>0</v>
      </c>
      <c r="J202" s="146" t="n">
        <v>0</v>
      </c>
      <c r="K202" s="146" t="n">
        <v>0</v>
      </c>
      <c r="L202" s="147" t="n">
        <v>0</v>
      </c>
      <c r="M202" s="155"/>
      <c r="N202" s="222"/>
    </row>
    <row r="203" customFormat="false" ht="12.75" hidden="false" customHeight="false" outlineLevel="0" collapsed="false">
      <c r="A203" s="140"/>
      <c r="B203" s="141"/>
      <c r="C203" s="142"/>
      <c r="D203" s="143"/>
      <c r="E203" s="143"/>
      <c r="F203" s="144" t="n">
        <v>0</v>
      </c>
      <c r="G203" s="150"/>
      <c r="H203" s="151"/>
      <c r="I203" s="64"/>
      <c r="J203" s="146"/>
      <c r="K203" s="146"/>
      <c r="L203" s="147"/>
      <c r="M203" s="155"/>
      <c r="N203" s="222"/>
    </row>
    <row r="204" customFormat="false" ht="12.75" hidden="false" customHeight="false" outlineLevel="0" collapsed="false">
      <c r="A204" s="140"/>
      <c r="B204" s="141"/>
      <c r="C204" s="142" t="s">
        <v>69</v>
      </c>
      <c r="D204" s="143" t="s">
        <v>103</v>
      </c>
      <c r="E204" s="143" t="s">
        <v>104</v>
      </c>
      <c r="F204" s="144" t="n">
        <v>0</v>
      </c>
      <c r="G204" s="150"/>
      <c r="H204" s="151" t="n">
        <v>5.0283</v>
      </c>
      <c r="I204" s="64" t="n">
        <v>0</v>
      </c>
      <c r="J204" s="146" t="n">
        <v>0</v>
      </c>
      <c r="K204" s="146" t="n">
        <v>0</v>
      </c>
      <c r="L204" s="158" t="n">
        <v>0</v>
      </c>
      <c r="M204" s="155"/>
      <c r="N204" s="159"/>
    </row>
    <row r="205" customFormat="false" ht="12.75" hidden="false" customHeight="false" outlineLevel="0" collapsed="false">
      <c r="A205" s="140"/>
      <c r="B205" s="141"/>
      <c r="C205" s="142"/>
      <c r="D205" s="143"/>
      <c r="E205" s="143"/>
      <c r="F205" s="144" t="n">
        <v>0</v>
      </c>
      <c r="G205" s="150"/>
      <c r="H205" s="151"/>
      <c r="I205" s="64"/>
      <c r="J205" s="146"/>
      <c r="K205" s="146"/>
      <c r="L205" s="147"/>
      <c r="M205" s="155"/>
      <c r="N205" s="159"/>
    </row>
    <row r="206" customFormat="false" ht="12.75" hidden="false" customHeight="false" outlineLevel="0" collapsed="false">
      <c r="A206" s="140"/>
      <c r="B206" s="141"/>
      <c r="C206" s="142" t="s">
        <v>69</v>
      </c>
      <c r="D206" s="143" t="s">
        <v>40</v>
      </c>
      <c r="E206" s="143" t="s">
        <v>105</v>
      </c>
      <c r="F206" s="144" t="n">
        <v>0</v>
      </c>
      <c r="G206" s="150"/>
      <c r="H206" s="151" t="n">
        <v>17.34385</v>
      </c>
      <c r="I206" s="64" t="n">
        <v>0</v>
      </c>
      <c r="J206" s="146" t="n">
        <v>0</v>
      </c>
      <c r="K206" s="146" t="n">
        <v>0</v>
      </c>
      <c r="L206" s="158" t="n">
        <v>0</v>
      </c>
      <c r="M206" s="155"/>
      <c r="N206" s="159"/>
    </row>
    <row r="207" customFormat="false" ht="12.75" hidden="false" customHeight="false" outlineLevel="0" collapsed="false">
      <c r="A207" s="140"/>
      <c r="B207" s="141"/>
      <c r="C207" s="142" t="s">
        <v>69</v>
      </c>
      <c r="D207" s="143" t="s">
        <v>40</v>
      </c>
      <c r="E207" s="143" t="s">
        <v>105</v>
      </c>
      <c r="F207" s="144" t="n">
        <v>0</v>
      </c>
      <c r="G207" s="150"/>
      <c r="H207" s="151" t="n">
        <v>17.34385</v>
      </c>
      <c r="I207" s="64" t="n">
        <v>0</v>
      </c>
      <c r="J207" s="146" t="n">
        <v>0</v>
      </c>
      <c r="K207" s="146" t="n">
        <v>0</v>
      </c>
      <c r="L207" s="158" t="n">
        <v>0</v>
      </c>
      <c r="M207" s="155"/>
      <c r="N207" s="159"/>
    </row>
    <row r="208" customFormat="false" ht="12.75" hidden="false" customHeight="false" outlineLevel="0" collapsed="false">
      <c r="A208" s="140"/>
      <c r="B208" s="141"/>
      <c r="C208" s="142"/>
      <c r="D208" s="143"/>
      <c r="E208" s="143"/>
      <c r="F208" s="144" t="n">
        <v>0</v>
      </c>
      <c r="G208" s="150"/>
      <c r="H208" s="151"/>
      <c r="I208" s="64"/>
      <c r="J208" s="146"/>
      <c r="K208" s="146"/>
      <c r="L208" s="147"/>
      <c r="M208" s="155"/>
      <c r="N208" s="159"/>
    </row>
    <row r="209" customFormat="false" ht="12.75" hidden="false" customHeight="false" outlineLevel="0" collapsed="false">
      <c r="A209" s="140"/>
      <c r="B209" s="141"/>
      <c r="C209" s="142" t="s">
        <v>69</v>
      </c>
      <c r="D209" s="143" t="s">
        <v>45</v>
      </c>
      <c r="E209" s="143" t="s">
        <v>106</v>
      </c>
      <c r="F209" s="144" t="n">
        <v>0</v>
      </c>
      <c r="G209" s="150"/>
      <c r="H209" s="151" t="n">
        <v>16.47945</v>
      </c>
      <c r="I209" s="64" t="n">
        <v>0</v>
      </c>
      <c r="J209" s="146" t="n">
        <v>0</v>
      </c>
      <c r="K209" s="146" t="n">
        <v>0</v>
      </c>
      <c r="L209" s="158" t="n">
        <v>0</v>
      </c>
      <c r="M209" s="155"/>
      <c r="N209" s="159"/>
    </row>
    <row r="210" customFormat="false" ht="12.75" hidden="false" customHeight="false" outlineLevel="0" collapsed="false">
      <c r="A210" s="140"/>
      <c r="B210" s="141"/>
      <c r="C210" s="142" t="s">
        <v>69</v>
      </c>
      <c r="D210" s="143" t="s">
        <v>45</v>
      </c>
      <c r="E210" s="143" t="s">
        <v>106</v>
      </c>
      <c r="F210" s="144" t="n">
        <v>0</v>
      </c>
      <c r="G210" s="150"/>
      <c r="H210" s="151" t="n">
        <v>16.47945</v>
      </c>
      <c r="I210" s="64" t="n">
        <v>0</v>
      </c>
      <c r="J210" s="146" t="n">
        <v>0</v>
      </c>
      <c r="K210" s="146" t="n">
        <v>0</v>
      </c>
      <c r="L210" s="158" t="n">
        <v>0</v>
      </c>
      <c r="M210" s="155"/>
      <c r="N210" s="159"/>
    </row>
    <row r="211" customFormat="false" ht="12.75" hidden="false" customHeight="false" outlineLevel="0" collapsed="false">
      <c r="A211" s="140"/>
      <c r="B211" s="141"/>
      <c r="C211" s="142" t="s">
        <v>69</v>
      </c>
      <c r="D211" s="143" t="s">
        <v>45</v>
      </c>
      <c r="E211" s="143" t="s">
        <v>106</v>
      </c>
      <c r="F211" s="144" t="n">
        <v>0</v>
      </c>
      <c r="G211" s="150"/>
      <c r="H211" s="151" t="n">
        <v>16.47945</v>
      </c>
      <c r="I211" s="64" t="n">
        <v>0</v>
      </c>
      <c r="J211" s="146" t="n">
        <v>0</v>
      </c>
      <c r="K211" s="146" t="n">
        <v>0</v>
      </c>
      <c r="L211" s="158" t="n">
        <v>0</v>
      </c>
      <c r="M211" s="155"/>
      <c r="N211" s="159"/>
    </row>
    <row r="212" customFormat="false" ht="12.75" hidden="false" customHeight="false" outlineLevel="0" collapsed="false">
      <c r="A212" s="140"/>
      <c r="B212" s="141"/>
      <c r="C212" s="142"/>
      <c r="D212" s="143"/>
      <c r="E212" s="143"/>
      <c r="F212" s="144" t="n">
        <v>0</v>
      </c>
      <c r="G212" s="150"/>
      <c r="H212" s="151"/>
      <c r="I212" s="64"/>
      <c r="J212" s="154"/>
      <c r="K212" s="146"/>
      <c r="L212" s="158"/>
      <c r="M212" s="155"/>
      <c r="N212" s="159"/>
    </row>
    <row r="213" customFormat="false" ht="12.75" hidden="false" customHeight="false" outlineLevel="0" collapsed="false">
      <c r="A213" s="140" t="n">
        <v>46098</v>
      </c>
      <c r="B213" s="141" t="s">
        <v>22</v>
      </c>
      <c r="C213" s="142" t="s">
        <v>69</v>
      </c>
      <c r="D213" s="143" t="s">
        <v>53</v>
      </c>
      <c r="E213" s="143" t="s">
        <v>54</v>
      </c>
      <c r="F213" s="144" t="n">
        <v>-1000</v>
      </c>
      <c r="G213" s="156" t="n">
        <v>0.645</v>
      </c>
      <c r="H213" s="151" t="n">
        <v>0.7067</v>
      </c>
      <c r="I213" s="64" t="n">
        <v>0</v>
      </c>
      <c r="J213" s="146" t="n">
        <v>-0.0873072024904485</v>
      </c>
      <c r="K213" s="146" t="n">
        <v>0.391253690840739</v>
      </c>
      <c r="L213" s="158" t="n">
        <v>706.7</v>
      </c>
      <c r="M213" s="155" t="n">
        <v>46351</v>
      </c>
      <c r="N213" s="159" t="n">
        <v>226</v>
      </c>
    </row>
    <row r="214" customFormat="false" ht="12.75" hidden="false" customHeight="false" outlineLevel="0" collapsed="false">
      <c r="A214" s="140" t="n">
        <v>46050</v>
      </c>
      <c r="B214" s="141" t="s">
        <v>22</v>
      </c>
      <c r="C214" s="142" t="s">
        <v>69</v>
      </c>
      <c r="D214" s="143" t="s">
        <v>53</v>
      </c>
      <c r="E214" s="143" t="s">
        <v>54</v>
      </c>
      <c r="F214" s="144" t="n">
        <v>-1000</v>
      </c>
      <c r="G214" s="156" t="n">
        <v>0.64</v>
      </c>
      <c r="H214" s="151" t="n">
        <v>0.7067</v>
      </c>
      <c r="I214" s="64" t="n">
        <v>0</v>
      </c>
      <c r="J214" s="146" t="n">
        <v>-0.0943823404556389</v>
      </c>
      <c r="K214" s="146" t="n">
        <v>0.378739618331485</v>
      </c>
      <c r="L214" s="158" t="n">
        <v>706.7</v>
      </c>
      <c r="M214" s="155" t="n">
        <v>46351</v>
      </c>
      <c r="N214" s="159" t="n">
        <v>226</v>
      </c>
    </row>
    <row r="215" customFormat="false" ht="12.75" hidden="false" customHeight="false" outlineLevel="0" collapsed="false">
      <c r="A215" s="140" t="n">
        <v>46050</v>
      </c>
      <c r="B215" s="141" t="s">
        <v>81</v>
      </c>
      <c r="C215" s="142" t="s">
        <v>69</v>
      </c>
      <c r="D215" s="143" t="s">
        <v>53</v>
      </c>
      <c r="E215" s="143" t="s">
        <v>54</v>
      </c>
      <c r="F215" s="144" t="n">
        <v>-1000</v>
      </c>
      <c r="G215" s="156" t="n">
        <v>0.635</v>
      </c>
      <c r="H215" s="151" t="n">
        <v>0.7067</v>
      </c>
      <c r="I215" s="64" t="n">
        <v>0</v>
      </c>
      <c r="J215" s="146" t="n">
        <v>-0.101457478420829</v>
      </c>
      <c r="K215" s="146" t="n">
        <v>0.366254777571603</v>
      </c>
      <c r="L215" s="158" t="n">
        <v>706.7</v>
      </c>
      <c r="M215" s="155" t="n">
        <v>46351</v>
      </c>
      <c r="N215" s="159" t="n">
        <v>226</v>
      </c>
    </row>
    <row r="216" customFormat="false" ht="12.75" hidden="false" customHeight="false" outlineLevel="0" collapsed="false">
      <c r="A216" s="140" t="n">
        <v>46045</v>
      </c>
      <c r="B216" s="141" t="s">
        <v>81</v>
      </c>
      <c r="C216" s="142" t="s">
        <v>69</v>
      </c>
      <c r="D216" s="143" t="s">
        <v>53</v>
      </c>
      <c r="E216" s="143" t="s">
        <v>54</v>
      </c>
      <c r="F216" s="144" t="n">
        <v>-1000</v>
      </c>
      <c r="G216" s="156" t="n">
        <v>0.63</v>
      </c>
      <c r="H216" s="151" t="n">
        <v>0.7067</v>
      </c>
      <c r="I216" s="64" t="n">
        <v>0</v>
      </c>
      <c r="J216" s="146" t="n">
        <v>-0.10853261638602</v>
      </c>
      <c r="K216" s="146" t="n">
        <v>0.363934142880992</v>
      </c>
      <c r="L216" s="158" t="n">
        <v>706.7</v>
      </c>
      <c r="M216" s="155" t="n">
        <v>46373</v>
      </c>
      <c r="N216" s="159" t="n">
        <v>248</v>
      </c>
    </row>
    <row r="217" customFormat="false" ht="12.75" hidden="false" customHeight="false" outlineLevel="0" collapsed="false">
      <c r="A217" s="140" t="n">
        <v>46035</v>
      </c>
      <c r="B217" s="141" t="s">
        <v>81</v>
      </c>
      <c r="C217" s="142" t="s">
        <v>69</v>
      </c>
      <c r="D217" s="143" t="s">
        <v>53</v>
      </c>
      <c r="E217" s="143" t="s">
        <v>54</v>
      </c>
      <c r="F217" s="144" t="n">
        <v>-1000</v>
      </c>
      <c r="G217" s="156" t="n">
        <v>0.62</v>
      </c>
      <c r="H217" s="151" t="n">
        <v>0.7067</v>
      </c>
      <c r="I217" s="64" t="n">
        <v>0</v>
      </c>
      <c r="J217" s="146" t="n">
        <v>-0.1226828923164</v>
      </c>
      <c r="K217" s="146" t="n">
        <v>0.340088540713971</v>
      </c>
      <c r="L217" s="158" t="n">
        <v>706.7</v>
      </c>
      <c r="M217" s="155" t="n">
        <v>46373</v>
      </c>
      <c r="N217" s="159" t="n">
        <v>248</v>
      </c>
    </row>
    <row r="218" customFormat="false" ht="12.75" hidden="false" customHeight="false" outlineLevel="0" collapsed="false">
      <c r="A218" s="140" t="n">
        <v>46003</v>
      </c>
      <c r="B218" s="141" t="s">
        <v>22</v>
      </c>
      <c r="C218" s="142" t="s">
        <v>69</v>
      </c>
      <c r="D218" s="143" t="s">
        <v>53</v>
      </c>
      <c r="E218" s="143" t="s">
        <v>54</v>
      </c>
      <c r="F218" s="144" t="n">
        <v>-1000</v>
      </c>
      <c r="G218" s="156" t="n">
        <v>0.615</v>
      </c>
      <c r="H218" s="151" t="n">
        <v>0.7067</v>
      </c>
      <c r="I218" s="64" t="n">
        <v>0</v>
      </c>
      <c r="J218" s="146" t="n">
        <v>-0.129758030281591</v>
      </c>
      <c r="K218" s="146" t="n">
        <v>0.328253584928011</v>
      </c>
      <c r="L218" s="158" t="n">
        <v>706.7</v>
      </c>
      <c r="M218" s="155" t="n">
        <v>46373</v>
      </c>
      <c r="N218" s="159" t="n">
        <v>248</v>
      </c>
    </row>
    <row r="219" customFormat="false" ht="12.75" hidden="false" customHeight="false" outlineLevel="0" collapsed="false">
      <c r="A219" s="140" t="n">
        <v>45988</v>
      </c>
      <c r="B219" s="141" t="s">
        <v>81</v>
      </c>
      <c r="C219" s="142" t="s">
        <v>69</v>
      </c>
      <c r="D219" s="143" t="s">
        <v>53</v>
      </c>
      <c r="E219" s="143" t="s">
        <v>54</v>
      </c>
      <c r="F219" s="144" t="n">
        <v>-1000</v>
      </c>
      <c r="G219" s="156" t="n">
        <v>0.61</v>
      </c>
      <c r="H219" s="151" t="n">
        <v>0.7067</v>
      </c>
      <c r="I219" s="64" t="n">
        <v>0</v>
      </c>
      <c r="J219" s="146" t="n">
        <v>-0.136833168246781</v>
      </c>
      <c r="K219" s="146" t="n">
        <v>0.304756414702999</v>
      </c>
      <c r="L219" s="158" t="n">
        <v>706.7</v>
      </c>
      <c r="M219" s="155" t="n">
        <v>46351</v>
      </c>
      <c r="N219" s="159" t="n">
        <v>226</v>
      </c>
    </row>
    <row r="220" customFormat="false" ht="12.75" hidden="false" customHeight="false" outlineLevel="0" collapsed="false">
      <c r="A220" s="140" t="n">
        <v>45993</v>
      </c>
      <c r="B220" s="141" t="s">
        <v>22</v>
      </c>
      <c r="C220" s="142" t="s">
        <v>69</v>
      </c>
      <c r="D220" s="143" t="s">
        <v>53</v>
      </c>
      <c r="E220" s="143" t="s">
        <v>54</v>
      </c>
      <c r="F220" s="144" t="n">
        <v>-1000</v>
      </c>
      <c r="G220" s="156" t="n">
        <v>0.605</v>
      </c>
      <c r="H220" s="151" t="n">
        <v>0.7067</v>
      </c>
      <c r="I220" s="64" t="n">
        <v>0</v>
      </c>
      <c r="J220" s="146" t="n">
        <v>-0.143908306211971</v>
      </c>
      <c r="K220" s="146" t="n">
        <v>0.292740954865242</v>
      </c>
      <c r="L220" s="158" t="n">
        <v>706.7</v>
      </c>
      <c r="M220" s="155" t="n">
        <v>46351</v>
      </c>
      <c r="N220" s="159" t="n">
        <v>226</v>
      </c>
    </row>
    <row r="221" customFormat="false" ht="12.75" hidden="false" customHeight="false" outlineLevel="0" collapsed="false">
      <c r="A221" s="140" t="n">
        <v>45988</v>
      </c>
      <c r="B221" s="141" t="s">
        <v>81</v>
      </c>
      <c r="C221" s="142" t="s">
        <v>69</v>
      </c>
      <c r="D221" s="143" t="s">
        <v>53</v>
      </c>
      <c r="E221" s="143" t="s">
        <v>54</v>
      </c>
      <c r="F221" s="144" t="n">
        <v>-1000</v>
      </c>
      <c r="G221" s="156" t="n">
        <v>0.6</v>
      </c>
      <c r="H221" s="151" t="n">
        <v>0.7067</v>
      </c>
      <c r="I221" s="64" t="n">
        <v>0</v>
      </c>
      <c r="J221" s="146" t="n">
        <v>-0.150983444177161</v>
      </c>
      <c r="K221" s="146" t="n">
        <v>0.280853372197997</v>
      </c>
      <c r="L221" s="158" t="n">
        <v>706.7</v>
      </c>
      <c r="M221" s="155" t="n">
        <v>46351</v>
      </c>
      <c r="N221" s="159" t="n">
        <v>226</v>
      </c>
    </row>
    <row r="222" customFormat="false" ht="12.75" hidden="false" customHeight="false" outlineLevel="0" collapsed="false">
      <c r="A222" s="140" t="n">
        <v>45993</v>
      </c>
      <c r="B222" s="141" t="s">
        <v>22</v>
      </c>
      <c r="C222" s="142" t="s">
        <v>69</v>
      </c>
      <c r="D222" s="143" t="s">
        <v>53</v>
      </c>
      <c r="E222" s="143" t="s">
        <v>54</v>
      </c>
      <c r="F222" s="144" t="n">
        <v>-1000</v>
      </c>
      <c r="G222" s="156" t="n">
        <v>0.595</v>
      </c>
      <c r="H222" s="151" t="n">
        <v>0.7067</v>
      </c>
      <c r="I222" s="64" t="n">
        <v>0</v>
      </c>
      <c r="J222" s="146" t="n">
        <v>-0.158058582142352</v>
      </c>
      <c r="K222" s="146" t="n">
        <v>0.269107738720603</v>
      </c>
      <c r="L222" s="158" t="n">
        <v>706.7</v>
      </c>
      <c r="M222" s="155" t="n">
        <v>46351</v>
      </c>
      <c r="N222" s="159" t="n">
        <v>226</v>
      </c>
    </row>
    <row r="223" customFormat="false" ht="12.75" hidden="false" customHeight="false" outlineLevel="0" collapsed="false">
      <c r="A223" s="140" t="n">
        <v>45992</v>
      </c>
      <c r="B223" s="141" t="s">
        <v>81</v>
      </c>
      <c r="C223" s="142" t="s">
        <v>69</v>
      </c>
      <c r="D223" s="143" t="s">
        <v>53</v>
      </c>
      <c r="E223" s="143" t="s">
        <v>54</v>
      </c>
      <c r="F223" s="144" t="n">
        <v>-1000</v>
      </c>
      <c r="G223" s="156" t="n">
        <v>0.59</v>
      </c>
      <c r="H223" s="151" t="n">
        <v>0.7067</v>
      </c>
      <c r="I223" s="64" t="n">
        <v>0</v>
      </c>
      <c r="J223" s="146" t="n">
        <v>-0.165133720107542</v>
      </c>
      <c r="K223" s="146" t="n">
        <v>0.257517963511394</v>
      </c>
      <c r="L223" s="158" t="n">
        <v>706.7</v>
      </c>
      <c r="M223" s="155" t="n">
        <v>46351</v>
      </c>
      <c r="N223" s="159" t="n">
        <v>226</v>
      </c>
    </row>
    <row r="224" customFormat="false" ht="12.75" hidden="false" customHeight="false" outlineLevel="0" collapsed="false">
      <c r="A224" s="140"/>
      <c r="B224" s="141"/>
      <c r="C224" s="142" t="s">
        <v>69</v>
      </c>
      <c r="D224" s="143" t="s">
        <v>53</v>
      </c>
      <c r="E224" s="143" t="s">
        <v>54</v>
      </c>
      <c r="F224" s="144" t="n">
        <v>0</v>
      </c>
      <c r="G224" s="156"/>
      <c r="H224" s="151" t="n">
        <v>0.7067</v>
      </c>
      <c r="I224" s="64" t="n">
        <v>0</v>
      </c>
      <c r="J224" s="146" t="n">
        <v>0</v>
      </c>
      <c r="K224" s="146" t="n">
        <v>0</v>
      </c>
      <c r="L224" s="158" t="n">
        <v>0</v>
      </c>
      <c r="M224" s="155"/>
      <c r="N224" s="159"/>
    </row>
    <row r="225" customFormat="false" ht="12.75" hidden="false" customHeight="false" outlineLevel="0" collapsed="false">
      <c r="A225" s="140"/>
      <c r="B225" s="141"/>
      <c r="C225" s="142" t="s">
        <v>69</v>
      </c>
      <c r="D225" s="143" t="s">
        <v>53</v>
      </c>
      <c r="E225" s="143" t="s">
        <v>54</v>
      </c>
      <c r="F225" s="144" t="n">
        <v>0</v>
      </c>
      <c r="G225" s="189"/>
      <c r="H225" s="151" t="n">
        <v>0.7067</v>
      </c>
      <c r="I225" s="64" t="n">
        <v>0</v>
      </c>
      <c r="J225" s="146" t="n">
        <v>0</v>
      </c>
      <c r="K225" s="146" t="n">
        <v>0</v>
      </c>
      <c r="L225" s="158" t="n">
        <v>0</v>
      </c>
      <c r="M225" s="155"/>
      <c r="N225" s="159"/>
    </row>
    <row r="226" customFormat="false" ht="12.75" hidden="false" customHeight="false" outlineLevel="0" collapsed="false">
      <c r="A226" s="140"/>
      <c r="B226" s="141"/>
      <c r="C226" s="142" t="s">
        <v>69</v>
      </c>
      <c r="D226" s="143" t="s">
        <v>53</v>
      </c>
      <c r="E226" s="143" t="s">
        <v>54</v>
      </c>
      <c r="F226" s="144" t="n">
        <v>0</v>
      </c>
      <c r="G226" s="156"/>
      <c r="H226" s="151" t="n">
        <v>0.7067</v>
      </c>
      <c r="I226" s="64" t="n">
        <v>0</v>
      </c>
      <c r="J226" s="146" t="n">
        <v>0</v>
      </c>
      <c r="K226" s="146" t="n">
        <v>0</v>
      </c>
      <c r="L226" s="158" t="n">
        <v>0</v>
      </c>
      <c r="M226" s="155"/>
      <c r="N226" s="159"/>
    </row>
    <row r="227" customFormat="false" ht="12.75" hidden="false" customHeight="false" outlineLevel="0" collapsed="false">
      <c r="A227" s="140"/>
      <c r="B227" s="141"/>
      <c r="C227" s="142" t="s">
        <v>69</v>
      </c>
      <c r="D227" s="143" t="s">
        <v>53</v>
      </c>
      <c r="E227" s="143" t="s">
        <v>54</v>
      </c>
      <c r="F227" s="144" t="n">
        <v>0</v>
      </c>
      <c r="G227" s="156"/>
      <c r="H227" s="151" t="n">
        <v>0.7067</v>
      </c>
      <c r="I227" s="64" t="n">
        <v>0</v>
      </c>
      <c r="J227" s="146" t="n">
        <v>0</v>
      </c>
      <c r="K227" s="146" t="n">
        <v>0</v>
      </c>
      <c r="L227" s="158" t="n">
        <v>0</v>
      </c>
      <c r="M227" s="155"/>
      <c r="N227" s="159"/>
    </row>
    <row r="228" customFormat="false" ht="12.75" hidden="false" customHeight="false" outlineLevel="0" collapsed="false">
      <c r="A228" s="140"/>
      <c r="B228" s="141"/>
      <c r="C228" s="142" t="s">
        <v>69</v>
      </c>
      <c r="D228" s="143" t="s">
        <v>53</v>
      </c>
      <c r="E228" s="143" t="s">
        <v>54</v>
      </c>
      <c r="F228" s="144" t="n">
        <v>0</v>
      </c>
      <c r="G228" s="156"/>
      <c r="H228" s="151" t="n">
        <v>0.7067</v>
      </c>
      <c r="I228" s="64" t="n">
        <v>0</v>
      </c>
      <c r="J228" s="146" t="n">
        <v>0</v>
      </c>
      <c r="K228" s="146" t="n">
        <v>0</v>
      </c>
      <c r="L228" s="158" t="n">
        <v>0</v>
      </c>
      <c r="M228" s="155"/>
      <c r="N228" s="159"/>
    </row>
    <row r="229" customFormat="false" ht="12.75" hidden="false" customHeight="false" outlineLevel="0" collapsed="false">
      <c r="A229" s="140"/>
      <c r="B229" s="141"/>
      <c r="C229" s="142" t="s">
        <v>69</v>
      </c>
      <c r="D229" s="143" t="s">
        <v>53</v>
      </c>
      <c r="E229" s="143" t="s">
        <v>54</v>
      </c>
      <c r="F229" s="144" t="n">
        <v>0</v>
      </c>
      <c r="G229" s="156"/>
      <c r="H229" s="151" t="n">
        <v>0.7067</v>
      </c>
      <c r="I229" s="64" t="n">
        <v>0</v>
      </c>
      <c r="J229" s="146" t="n">
        <v>0</v>
      </c>
      <c r="K229" s="146" t="n">
        <v>0</v>
      </c>
      <c r="L229" s="158" t="n">
        <v>0</v>
      </c>
      <c r="M229" s="155"/>
      <c r="N229" s="159"/>
    </row>
    <row r="230" customFormat="false" ht="12.75" hidden="false" customHeight="false" outlineLevel="0" collapsed="false">
      <c r="A230" s="140"/>
      <c r="B230" s="141"/>
      <c r="C230" s="142" t="s">
        <v>69</v>
      </c>
      <c r="D230" s="143" t="s">
        <v>53</v>
      </c>
      <c r="E230" s="143" t="s">
        <v>54</v>
      </c>
      <c r="F230" s="144" t="n">
        <v>0</v>
      </c>
      <c r="G230" s="156"/>
      <c r="H230" s="151" t="n">
        <v>0.7067</v>
      </c>
      <c r="I230" s="64" t="n">
        <v>0</v>
      </c>
      <c r="J230" s="146" t="n">
        <v>0</v>
      </c>
      <c r="K230" s="146" t="n">
        <v>0</v>
      </c>
      <c r="L230" s="158" t="n">
        <v>0</v>
      </c>
      <c r="M230" s="155"/>
      <c r="N230" s="159"/>
    </row>
    <row r="231" customFormat="false" ht="12.75" hidden="false" customHeight="false" outlineLevel="0" collapsed="false">
      <c r="A231" s="140"/>
      <c r="B231" s="141"/>
      <c r="C231" s="142" t="s">
        <v>69</v>
      </c>
      <c r="D231" s="143" t="s">
        <v>53</v>
      </c>
      <c r="E231" s="143" t="s">
        <v>54</v>
      </c>
      <c r="F231" s="144" t="n">
        <v>0</v>
      </c>
      <c r="G231" s="156"/>
      <c r="H231" s="151" t="n">
        <v>0.7067</v>
      </c>
      <c r="I231" s="64" t="n">
        <v>0</v>
      </c>
      <c r="J231" s="146" t="n">
        <v>0</v>
      </c>
      <c r="K231" s="146" t="n">
        <v>0</v>
      </c>
      <c r="L231" s="158" t="n">
        <v>0</v>
      </c>
      <c r="M231" s="155"/>
      <c r="N231" s="159"/>
    </row>
    <row r="232" customFormat="false" ht="12.75" hidden="false" customHeight="false" outlineLevel="0" collapsed="false">
      <c r="A232" s="140"/>
      <c r="B232" s="141"/>
      <c r="C232" s="142"/>
      <c r="D232" s="143"/>
      <c r="E232" s="143"/>
      <c r="F232" s="144" t="n">
        <v>0</v>
      </c>
      <c r="G232" s="150"/>
      <c r="H232" s="151"/>
      <c r="I232" s="64"/>
      <c r="J232" s="154"/>
      <c r="K232" s="146"/>
      <c r="L232" s="158"/>
      <c r="M232" s="155"/>
      <c r="N232" s="159"/>
    </row>
    <row r="233" customFormat="false" ht="12.75" hidden="false" customHeight="false" outlineLevel="0" collapsed="false">
      <c r="A233" s="225" t="n">
        <v>45988</v>
      </c>
      <c r="B233" s="226" t="s">
        <v>22</v>
      </c>
      <c r="C233" s="226" t="s">
        <v>109</v>
      </c>
      <c r="D233" s="227" t="s">
        <v>56</v>
      </c>
      <c r="E233" s="227" t="s">
        <v>107</v>
      </c>
      <c r="F233" s="228" t="n">
        <v>0</v>
      </c>
      <c r="G233" s="229" t="n">
        <v>3328</v>
      </c>
      <c r="H233" s="229" t="n">
        <v>4720.455</v>
      </c>
      <c r="I233" s="230" t="n">
        <v>0</v>
      </c>
      <c r="J233" s="231" t="n">
        <v>-0.294983216660258</v>
      </c>
      <c r="K233" s="231" t="n">
        <v>0.107648792339467</v>
      </c>
      <c r="L233" s="232" t="n">
        <v>0</v>
      </c>
      <c r="M233" s="233" t="n">
        <v>46353</v>
      </c>
      <c r="N233" s="234" t="n">
        <v>228</v>
      </c>
    </row>
    <row r="234" customFormat="false" ht="12.75" hidden="false" customHeight="false" outlineLevel="0" collapsed="false">
      <c r="A234" s="140"/>
      <c r="B234" s="141"/>
      <c r="C234" s="142" t="s">
        <v>69</v>
      </c>
      <c r="D234" s="143" t="s">
        <v>56</v>
      </c>
      <c r="E234" s="143" t="s">
        <v>107</v>
      </c>
      <c r="F234" s="144" t="n">
        <v>0</v>
      </c>
      <c r="G234" s="44"/>
      <c r="H234" s="44" t="n">
        <v>4720.455</v>
      </c>
      <c r="I234" s="64" t="n">
        <v>0</v>
      </c>
      <c r="J234" s="146" t="n">
        <v>0</v>
      </c>
      <c r="K234" s="146" t="n">
        <v>0</v>
      </c>
      <c r="L234" s="158" t="n">
        <v>0</v>
      </c>
      <c r="M234" s="155"/>
      <c r="N234" s="159"/>
    </row>
    <row r="235" customFormat="false" ht="12.75" hidden="false" customHeight="false" outlineLevel="0" collapsed="false">
      <c r="A235" s="140"/>
      <c r="B235" s="141"/>
      <c r="C235" s="142" t="s">
        <v>69</v>
      </c>
      <c r="D235" s="143" t="s">
        <v>56</v>
      </c>
      <c r="E235" s="143" t="s">
        <v>107</v>
      </c>
      <c r="F235" s="144" t="n">
        <v>0</v>
      </c>
      <c r="G235" s="44"/>
      <c r="H235" s="44" t="n">
        <v>4720.455</v>
      </c>
      <c r="I235" s="64" t="n">
        <v>0</v>
      </c>
      <c r="J235" s="146" t="n">
        <v>0</v>
      </c>
      <c r="K235" s="146" t="n">
        <v>0</v>
      </c>
      <c r="L235" s="158" t="n">
        <v>0</v>
      </c>
      <c r="M235" s="155"/>
      <c r="N235" s="159"/>
    </row>
    <row r="236" customFormat="false" ht="12.75" hidden="false" customHeight="false" outlineLevel="0" collapsed="false">
      <c r="A236" s="140"/>
      <c r="B236" s="141"/>
      <c r="C236" s="142" t="s">
        <v>69</v>
      </c>
      <c r="D236" s="143" t="s">
        <v>56</v>
      </c>
      <c r="E236" s="143" t="s">
        <v>107</v>
      </c>
      <c r="F236" s="144" t="n">
        <v>0</v>
      </c>
      <c r="G236" s="44"/>
      <c r="H236" s="44" t="n">
        <v>4720.455</v>
      </c>
      <c r="I236" s="64" t="n">
        <v>0</v>
      </c>
      <c r="J236" s="146" t="n">
        <v>0</v>
      </c>
      <c r="K236" s="146" t="n">
        <v>0</v>
      </c>
      <c r="L236" s="158" t="n">
        <v>0</v>
      </c>
      <c r="M236" s="155"/>
      <c r="N236" s="159"/>
    </row>
    <row r="237" customFormat="false" ht="12.75" hidden="false" customHeight="false" outlineLevel="0" collapsed="false">
      <c r="A237" s="140"/>
      <c r="B237" s="141"/>
      <c r="C237" s="142" t="s">
        <v>69</v>
      </c>
      <c r="D237" s="143" t="s">
        <v>56</v>
      </c>
      <c r="E237" s="143" t="s">
        <v>107</v>
      </c>
      <c r="F237" s="144" t="n">
        <v>0</v>
      </c>
      <c r="G237" s="44"/>
      <c r="H237" s="44" t="n">
        <v>4720.455</v>
      </c>
      <c r="I237" s="64" t="n">
        <v>0</v>
      </c>
      <c r="J237" s="146" t="n">
        <v>0</v>
      </c>
      <c r="K237" s="146" t="n">
        <v>0</v>
      </c>
      <c r="L237" s="158" t="n">
        <v>0</v>
      </c>
      <c r="M237" s="155"/>
      <c r="N237" s="159"/>
    </row>
    <row r="238" customFormat="false" ht="12.75" hidden="false" customHeight="false" outlineLevel="0" collapsed="false">
      <c r="A238" s="235"/>
      <c r="B238" s="200"/>
      <c r="C238" s="201"/>
      <c r="D238" s="202"/>
      <c r="E238" s="202"/>
      <c r="F238" s="203"/>
      <c r="G238" s="204"/>
      <c r="H238" s="205"/>
      <c r="I238" s="206"/>
      <c r="J238" s="207"/>
      <c r="K238" s="207"/>
      <c r="L238" s="208"/>
      <c r="M238" s="209"/>
      <c r="N238" s="210"/>
    </row>
    <row r="239" customFormat="false" ht="12.75" hidden="false" customHeight="false" outlineLevel="0" collapsed="false">
      <c r="A239" s="168"/>
      <c r="B239" s="141"/>
      <c r="C239" s="142"/>
      <c r="D239" s="143"/>
      <c r="E239" s="143"/>
      <c r="F239" s="144" t="n">
        <v>-20666.6666666667</v>
      </c>
      <c r="G239" s="44"/>
      <c r="H239" s="150"/>
      <c r="I239" s="64"/>
      <c r="J239" s="146"/>
      <c r="K239" s="146"/>
      <c r="L239" s="147"/>
      <c r="M239" s="148"/>
      <c r="N239" s="167"/>
    </row>
    <row r="240" customFormat="false" ht="12.75" hidden="false" customHeight="false" outlineLevel="0" collapsed="false">
      <c r="A240" s="168"/>
      <c r="B240" s="141"/>
      <c r="C240" s="142"/>
      <c r="D240" s="143"/>
      <c r="E240" s="143"/>
      <c r="F240" s="144"/>
      <c r="G240" s="44"/>
      <c r="H240" s="150"/>
      <c r="I240" s="64"/>
      <c r="J240" s="170"/>
      <c r="K240" s="170"/>
      <c r="L240" s="147" t="n">
        <v>17440.3666666667</v>
      </c>
      <c r="M240" s="236"/>
      <c r="N240" s="237"/>
    </row>
    <row r="241" customFormat="false" ht="12.75" hidden="false" customHeight="false" outlineLevel="0" collapsed="false">
      <c r="A241" s="180"/>
      <c r="B241" s="142"/>
      <c r="C241" s="142"/>
      <c r="D241" s="143"/>
      <c r="E241" s="143"/>
      <c r="F241" s="238"/>
      <c r="G241" s="212"/>
      <c r="H241" s="212"/>
      <c r="I241" s="64"/>
      <c r="J241" s="170"/>
      <c r="K241" s="170"/>
      <c r="L241" s="147"/>
      <c r="M241" s="148"/>
      <c r="N241" s="237"/>
    </row>
    <row r="242" customFormat="false" ht="12.75" hidden="false" customHeight="false" outlineLevel="0" collapsed="false">
      <c r="A242" s="180"/>
      <c r="B242" s="142"/>
      <c r="C242" s="142"/>
      <c r="D242" s="211"/>
      <c r="E242" s="211"/>
      <c r="F242" s="216"/>
      <c r="G242" s="212"/>
      <c r="H242" s="212"/>
      <c r="I242" s="64"/>
      <c r="J242" s="170"/>
      <c r="K242" s="170"/>
      <c r="L242" s="239" t="n">
        <v>35640.5333333333</v>
      </c>
      <c r="M242" s="148"/>
      <c r="N242" s="237"/>
    </row>
    <row r="243" customFormat="false" ht="13.8" hidden="false" customHeight="false" outlineLevel="0" collapsed="false">
      <c r="A243" s="180"/>
      <c r="B243" s="180"/>
      <c r="C243" s="182" t="s">
        <v>110</v>
      </c>
      <c r="D243" s="182"/>
      <c r="E243" s="182"/>
      <c r="F243" s="180"/>
      <c r="G243" s="180"/>
      <c r="H243" s="180"/>
      <c r="I243" s="180"/>
      <c r="J243" s="181"/>
      <c r="K243" s="181"/>
      <c r="L243" s="180"/>
      <c r="M243" s="180"/>
      <c r="N243" s="237"/>
    </row>
    <row r="244" customFormat="false" ht="16.15" hidden="false" customHeight="false" outlineLevel="0" collapsed="false">
      <c r="A244" s="240"/>
      <c r="B244" s="241"/>
      <c r="C244" s="242"/>
      <c r="D244" s="243" t="s">
        <v>99</v>
      </c>
      <c r="E244" s="242"/>
      <c r="F244" s="241"/>
      <c r="G244" s="241"/>
      <c r="H244" s="241"/>
      <c r="I244" s="241"/>
      <c r="J244" s="186" t="s">
        <v>62</v>
      </c>
      <c r="K244" s="186" t="s">
        <v>63</v>
      </c>
      <c r="L244" s="241"/>
      <c r="M244" s="241"/>
      <c r="N244" s="244"/>
    </row>
    <row r="245" customFormat="false" ht="12.75" hidden="false" customHeight="false" outlineLevel="0" collapsed="false">
      <c r="A245" s="140"/>
      <c r="B245" s="141"/>
      <c r="C245" s="142" t="s">
        <v>68</v>
      </c>
      <c r="D245" s="143" t="s">
        <v>73</v>
      </c>
      <c r="E245" s="143" t="s">
        <v>74</v>
      </c>
      <c r="F245" s="144"/>
      <c r="G245" s="44"/>
      <c r="H245" s="44" t="n">
        <v>679.36</v>
      </c>
      <c r="I245" s="64" t="n">
        <v>0</v>
      </c>
      <c r="J245" s="146" t="n">
        <v>0</v>
      </c>
      <c r="K245" s="146" t="n">
        <v>0</v>
      </c>
      <c r="L245" s="147" t="n">
        <v>0</v>
      </c>
      <c r="M245" s="148"/>
      <c r="N245" s="159"/>
    </row>
    <row r="246" customFormat="false" ht="12.75" hidden="false" customHeight="false" outlineLevel="0" collapsed="false">
      <c r="A246" s="140"/>
      <c r="B246" s="141"/>
      <c r="C246" s="142" t="s">
        <v>68</v>
      </c>
      <c r="D246" s="143" t="s">
        <v>73</v>
      </c>
      <c r="E246" s="143" t="s">
        <v>74</v>
      </c>
      <c r="F246" s="144"/>
      <c r="G246" s="44"/>
      <c r="H246" s="44" t="n">
        <v>679.36</v>
      </c>
      <c r="I246" s="64" t="n">
        <v>0</v>
      </c>
      <c r="J246" s="146" t="n">
        <v>0</v>
      </c>
      <c r="K246" s="146" t="n">
        <v>0</v>
      </c>
      <c r="L246" s="147" t="n">
        <v>0</v>
      </c>
      <c r="M246" s="155"/>
      <c r="N246" s="159"/>
    </row>
    <row r="247" customFormat="false" ht="12.75" hidden="false" customHeight="false" outlineLevel="0" collapsed="false">
      <c r="A247" s="140"/>
      <c r="B247" s="141"/>
      <c r="C247" s="142" t="s">
        <v>68</v>
      </c>
      <c r="D247" s="143" t="s">
        <v>73</v>
      </c>
      <c r="E247" s="143" t="s">
        <v>74</v>
      </c>
      <c r="F247" s="144"/>
      <c r="G247" s="44"/>
      <c r="H247" s="44" t="n">
        <v>679.36</v>
      </c>
      <c r="I247" s="64" t="n">
        <v>0</v>
      </c>
      <c r="J247" s="146" t="n">
        <v>0</v>
      </c>
      <c r="K247" s="146" t="n">
        <v>0</v>
      </c>
      <c r="L247" s="147" t="n">
        <v>0</v>
      </c>
      <c r="M247" s="155"/>
      <c r="N247" s="159"/>
    </row>
    <row r="248" customFormat="false" ht="12.75" hidden="false" customHeight="false" outlineLevel="0" collapsed="false">
      <c r="A248" s="140"/>
      <c r="B248" s="141"/>
      <c r="C248" s="142" t="s">
        <v>68</v>
      </c>
      <c r="D248" s="143" t="s">
        <v>71</v>
      </c>
      <c r="E248" s="143" t="s">
        <v>72</v>
      </c>
      <c r="F248" s="144"/>
      <c r="G248" s="44"/>
      <c r="H248" s="44" t="n">
        <v>611.225</v>
      </c>
      <c r="I248" s="64" t="n">
        <v>0</v>
      </c>
      <c r="J248" s="146" t="n">
        <v>0</v>
      </c>
      <c r="K248" s="146" t="n">
        <v>0</v>
      </c>
      <c r="L248" s="147" t="n">
        <v>0</v>
      </c>
      <c r="M248" s="148"/>
      <c r="N248" s="159"/>
    </row>
    <row r="249" customFormat="false" ht="12.75" hidden="false" customHeight="false" outlineLevel="0" collapsed="false">
      <c r="A249" s="140"/>
      <c r="B249" s="141"/>
      <c r="C249" s="142" t="s">
        <v>68</v>
      </c>
      <c r="D249" s="143" t="s">
        <v>71</v>
      </c>
      <c r="E249" s="143" t="s">
        <v>72</v>
      </c>
      <c r="F249" s="144"/>
      <c r="G249" s="44"/>
      <c r="H249" s="44" t="n">
        <v>611.225</v>
      </c>
      <c r="I249" s="64" t="n">
        <v>0</v>
      </c>
      <c r="J249" s="146" t="n">
        <v>0</v>
      </c>
      <c r="K249" s="146" t="n">
        <v>0</v>
      </c>
      <c r="L249" s="147" t="n">
        <v>0</v>
      </c>
      <c r="M249" s="148"/>
      <c r="N249" s="159"/>
    </row>
    <row r="250" customFormat="false" ht="12.75" hidden="false" customHeight="false" outlineLevel="0" collapsed="false">
      <c r="A250" s="140"/>
      <c r="B250" s="141"/>
      <c r="C250" s="142" t="s">
        <v>68</v>
      </c>
      <c r="D250" s="143" t="s">
        <v>85</v>
      </c>
      <c r="E250" s="143" t="s">
        <v>111</v>
      </c>
      <c r="F250" s="144"/>
      <c r="G250" s="44"/>
      <c r="H250" s="44" t="n">
        <v>0</v>
      </c>
      <c r="I250" s="64" t="n">
        <v>0</v>
      </c>
      <c r="J250" s="146" t="n">
        <v>0</v>
      </c>
      <c r="K250" s="146" t="n">
        <v>0</v>
      </c>
      <c r="L250" s="147" t="n">
        <v>0</v>
      </c>
      <c r="M250" s="148"/>
      <c r="N250" s="159"/>
    </row>
    <row r="251" customFormat="false" ht="12.75" hidden="false" customHeight="false" outlineLevel="0" collapsed="false">
      <c r="A251" s="140"/>
      <c r="B251" s="141"/>
      <c r="C251" s="142" t="s">
        <v>68</v>
      </c>
      <c r="D251" s="143" t="s">
        <v>112</v>
      </c>
      <c r="E251" s="143" t="s">
        <v>113</v>
      </c>
      <c r="F251" s="144"/>
      <c r="G251" s="44"/>
      <c r="H251" s="44" t="n">
        <v>316.265</v>
      </c>
      <c r="I251" s="64" t="n">
        <v>0</v>
      </c>
      <c r="J251" s="146" t="n">
        <v>0</v>
      </c>
      <c r="K251" s="146" t="n">
        <v>0</v>
      </c>
      <c r="L251" s="147" t="n">
        <v>0</v>
      </c>
      <c r="M251" s="148"/>
      <c r="N251" s="159"/>
    </row>
    <row r="252" customFormat="false" ht="12.75" hidden="false" customHeight="false" outlineLevel="0" collapsed="false">
      <c r="A252" s="187"/>
      <c r="B252" s="141"/>
      <c r="C252" s="142" t="s">
        <v>68</v>
      </c>
      <c r="D252" s="143" t="s">
        <v>114</v>
      </c>
      <c r="E252" s="143" t="s">
        <v>115</v>
      </c>
      <c r="F252" s="144"/>
      <c r="G252" s="44"/>
      <c r="H252" s="44" t="n">
        <v>0</v>
      </c>
      <c r="I252" s="64" t="n">
        <v>0</v>
      </c>
      <c r="J252" s="146" t="n">
        <v>0</v>
      </c>
      <c r="K252" s="146" t="n">
        <v>0</v>
      </c>
      <c r="L252" s="147" t="n">
        <v>0</v>
      </c>
      <c r="M252" s="148"/>
      <c r="N252" s="159"/>
    </row>
    <row r="253" customFormat="false" ht="12.75" hidden="false" customHeight="false" outlineLevel="0" collapsed="false">
      <c r="A253" s="140"/>
      <c r="B253" s="141"/>
      <c r="C253" s="142" t="s">
        <v>68</v>
      </c>
      <c r="D253" s="143" t="s">
        <v>78</v>
      </c>
      <c r="E253" s="143" t="s">
        <v>78</v>
      </c>
      <c r="F253" s="144"/>
      <c r="G253" s="44"/>
      <c r="H253" s="44" t="n">
        <v>0</v>
      </c>
      <c r="I253" s="64" t="n">
        <v>0</v>
      </c>
      <c r="J253" s="146" t="n">
        <v>0</v>
      </c>
      <c r="K253" s="146" t="n">
        <v>0</v>
      </c>
      <c r="L253" s="147" t="n">
        <v>0</v>
      </c>
      <c r="M253" s="148"/>
      <c r="N253" s="159"/>
    </row>
    <row r="254" customFormat="false" ht="12.75" hidden="false" customHeight="false" outlineLevel="0" collapsed="false">
      <c r="A254" s="140"/>
      <c r="B254" s="141"/>
      <c r="C254" s="142" t="s">
        <v>68</v>
      </c>
      <c r="D254" s="143" t="s">
        <v>116</v>
      </c>
      <c r="E254" s="143" t="s">
        <v>117</v>
      </c>
      <c r="F254" s="144"/>
      <c r="G254" s="44"/>
      <c r="H254" s="44" t="n">
        <v>0</v>
      </c>
      <c r="I254" s="64" t="n">
        <v>0</v>
      </c>
      <c r="J254" s="146" t="n">
        <v>0</v>
      </c>
      <c r="K254" s="146" t="n">
        <v>0</v>
      </c>
      <c r="L254" s="147" t="n">
        <v>0</v>
      </c>
      <c r="M254" s="148"/>
      <c r="N254" s="159"/>
    </row>
    <row r="255" customFormat="false" ht="12.75" hidden="false" customHeight="false" outlineLevel="0" collapsed="false">
      <c r="A255" s="140"/>
      <c r="B255" s="141"/>
      <c r="C255" s="142" t="s">
        <v>68</v>
      </c>
      <c r="D255" s="143" t="s">
        <v>116</v>
      </c>
      <c r="E255" s="143" t="s">
        <v>117</v>
      </c>
      <c r="F255" s="144"/>
      <c r="G255" s="44"/>
      <c r="H255" s="44" t="n">
        <v>0</v>
      </c>
      <c r="I255" s="64" t="n">
        <v>0</v>
      </c>
      <c r="J255" s="146" t="n">
        <v>0</v>
      </c>
      <c r="K255" s="146" t="n">
        <v>0</v>
      </c>
      <c r="L255" s="147" t="n">
        <v>0</v>
      </c>
      <c r="M255" s="148"/>
      <c r="N255" s="159"/>
    </row>
    <row r="256" customFormat="false" ht="12.75" hidden="false" customHeight="false" outlineLevel="0" collapsed="false">
      <c r="A256" s="140"/>
      <c r="B256" s="141"/>
      <c r="C256" s="142" t="s">
        <v>68</v>
      </c>
      <c r="D256" s="143"/>
      <c r="E256" s="143"/>
      <c r="F256" s="144"/>
      <c r="G256" s="44"/>
      <c r="H256" s="44"/>
      <c r="I256" s="64" t="n">
        <v>0</v>
      </c>
      <c r="J256" s="146" t="n">
        <v>0</v>
      </c>
      <c r="K256" s="146" t="n">
        <v>0</v>
      </c>
      <c r="L256" s="147" t="n">
        <v>0</v>
      </c>
      <c r="M256" s="148"/>
      <c r="N256" s="159"/>
    </row>
    <row r="257" customFormat="false" ht="12.75" hidden="false" customHeight="false" outlineLevel="0" collapsed="false">
      <c r="A257" s="140"/>
      <c r="B257" s="141"/>
      <c r="C257" s="142" t="s">
        <v>68</v>
      </c>
      <c r="D257" s="143"/>
      <c r="E257" s="143"/>
      <c r="F257" s="144"/>
      <c r="G257" s="44"/>
      <c r="H257" s="44"/>
      <c r="I257" s="64" t="n">
        <v>0</v>
      </c>
      <c r="J257" s="146" t="n">
        <v>0</v>
      </c>
      <c r="K257" s="146" t="n">
        <v>0</v>
      </c>
      <c r="L257" s="147" t="n">
        <v>0</v>
      </c>
      <c r="M257" s="148"/>
      <c r="N257" s="159"/>
    </row>
    <row r="258" customFormat="false" ht="12.75" hidden="false" customHeight="false" outlineLevel="0" collapsed="false">
      <c r="A258" s="140"/>
      <c r="B258" s="141"/>
      <c r="C258" s="142" t="s">
        <v>68</v>
      </c>
      <c r="D258" s="143" t="s">
        <v>118</v>
      </c>
      <c r="E258" s="143" t="s">
        <v>119</v>
      </c>
      <c r="F258" s="144"/>
      <c r="G258" s="44"/>
      <c r="H258" s="44" t="n">
        <v>0</v>
      </c>
      <c r="I258" s="64" t="n">
        <v>0</v>
      </c>
      <c r="J258" s="146" t="n">
        <v>0</v>
      </c>
      <c r="K258" s="146" t="n">
        <v>0</v>
      </c>
      <c r="L258" s="147" t="n">
        <v>0</v>
      </c>
      <c r="M258" s="148"/>
      <c r="N258" s="159"/>
    </row>
    <row r="259" customFormat="false" ht="12.75" hidden="false" customHeight="false" outlineLevel="0" collapsed="false">
      <c r="A259" s="140"/>
      <c r="B259" s="141"/>
      <c r="C259" s="142" t="s">
        <v>68</v>
      </c>
      <c r="D259" s="143" t="s">
        <v>79</v>
      </c>
      <c r="E259" s="143" t="s">
        <v>79</v>
      </c>
      <c r="F259" s="144"/>
      <c r="G259" s="44"/>
      <c r="H259" s="44" t="n">
        <v>231.41</v>
      </c>
      <c r="I259" s="64" t="n">
        <v>0</v>
      </c>
      <c r="J259" s="146" t="n">
        <v>0</v>
      </c>
      <c r="K259" s="146" t="n">
        <v>0</v>
      </c>
      <c r="L259" s="147" t="n">
        <v>0</v>
      </c>
      <c r="M259" s="148"/>
      <c r="N259" s="159"/>
    </row>
    <row r="260" customFormat="false" ht="12.75" hidden="false" customHeight="false" outlineLevel="0" collapsed="false">
      <c r="A260" s="140"/>
      <c r="B260" s="141"/>
      <c r="C260" s="142" t="s">
        <v>68</v>
      </c>
      <c r="D260" s="143" t="s">
        <v>120</v>
      </c>
      <c r="E260" s="143" t="s">
        <v>121</v>
      </c>
      <c r="F260" s="144"/>
      <c r="G260" s="44"/>
      <c r="H260" s="44" t="n">
        <v>0</v>
      </c>
      <c r="I260" s="64" t="n">
        <v>0</v>
      </c>
      <c r="J260" s="146" t="n">
        <v>0</v>
      </c>
      <c r="K260" s="146" t="n">
        <v>0</v>
      </c>
      <c r="L260" s="147" t="n">
        <v>0</v>
      </c>
      <c r="M260" s="148"/>
      <c r="N260" s="159"/>
    </row>
    <row r="261" customFormat="false" ht="12.75" hidden="false" customHeight="false" outlineLevel="0" collapsed="false">
      <c r="A261" s="140"/>
      <c r="B261" s="141"/>
      <c r="C261" s="142" t="s">
        <v>68</v>
      </c>
      <c r="D261" s="143" t="s">
        <v>120</v>
      </c>
      <c r="E261" s="143" t="s">
        <v>121</v>
      </c>
      <c r="F261" s="144"/>
      <c r="G261" s="44"/>
      <c r="H261" s="44" t="n">
        <v>0</v>
      </c>
      <c r="I261" s="64" t="n">
        <v>0</v>
      </c>
      <c r="J261" s="146" t="n">
        <v>0</v>
      </c>
      <c r="K261" s="146" t="n">
        <v>0</v>
      </c>
      <c r="L261" s="147" t="n">
        <v>0</v>
      </c>
      <c r="M261" s="148"/>
      <c r="N261" s="159"/>
    </row>
    <row r="262" customFormat="false" ht="12.75" hidden="false" customHeight="false" outlineLevel="0" collapsed="false">
      <c r="A262" s="140"/>
      <c r="B262" s="141"/>
      <c r="C262" s="142" t="s">
        <v>68</v>
      </c>
      <c r="D262" s="143" t="s">
        <v>120</v>
      </c>
      <c r="E262" s="143" t="s">
        <v>121</v>
      </c>
      <c r="F262" s="144"/>
      <c r="G262" s="44"/>
      <c r="H262" s="44" t="n">
        <v>0</v>
      </c>
      <c r="I262" s="64" t="n">
        <v>0</v>
      </c>
      <c r="J262" s="146" t="n">
        <v>0</v>
      </c>
      <c r="K262" s="146" t="n">
        <v>0</v>
      </c>
      <c r="L262" s="147" t="n">
        <v>0</v>
      </c>
      <c r="M262" s="148"/>
      <c r="N262" s="159"/>
    </row>
    <row r="263" customFormat="false" ht="12.75" hidden="false" customHeight="false" outlineLevel="0" collapsed="false">
      <c r="A263" s="140"/>
      <c r="B263" s="141"/>
      <c r="C263" s="142" t="s">
        <v>68</v>
      </c>
      <c r="D263" s="143" t="s">
        <v>88</v>
      </c>
      <c r="E263" s="143" t="s">
        <v>89</v>
      </c>
      <c r="F263" s="144"/>
      <c r="G263" s="44"/>
      <c r="H263" s="44" t="n">
        <v>376.68</v>
      </c>
      <c r="I263" s="64" t="n">
        <v>0</v>
      </c>
      <c r="J263" s="146" t="n">
        <v>0</v>
      </c>
      <c r="K263" s="146" t="n">
        <v>0</v>
      </c>
      <c r="L263" s="147" t="n">
        <v>0</v>
      </c>
      <c r="M263" s="148"/>
      <c r="N263" s="159"/>
    </row>
    <row r="264" customFormat="false" ht="12.75" hidden="false" customHeight="false" outlineLevel="0" collapsed="false">
      <c r="A264" s="140"/>
      <c r="B264" s="141"/>
      <c r="C264" s="142" t="s">
        <v>68</v>
      </c>
      <c r="D264" s="143" t="s">
        <v>88</v>
      </c>
      <c r="E264" s="143" t="s">
        <v>89</v>
      </c>
      <c r="F264" s="144"/>
      <c r="G264" s="44"/>
      <c r="H264" s="44" t="n">
        <v>0</v>
      </c>
      <c r="I264" s="64" t="n">
        <v>0</v>
      </c>
      <c r="J264" s="146" t="n">
        <v>0</v>
      </c>
      <c r="K264" s="146" t="n">
        <v>0</v>
      </c>
      <c r="L264" s="147" t="n">
        <v>0</v>
      </c>
      <c r="M264" s="148"/>
      <c r="N264" s="159"/>
    </row>
    <row r="265" customFormat="false" ht="12.75" hidden="false" customHeight="false" outlineLevel="0" collapsed="false">
      <c r="A265" s="199"/>
      <c r="B265" s="200"/>
      <c r="C265" s="201"/>
      <c r="D265" s="202"/>
      <c r="E265" s="202"/>
      <c r="F265" s="203"/>
      <c r="G265" s="245"/>
      <c r="H265" s="245"/>
      <c r="I265" s="206"/>
      <c r="J265" s="207"/>
      <c r="K265" s="207"/>
      <c r="L265" s="208"/>
      <c r="M265" s="209"/>
      <c r="N265" s="246"/>
    </row>
    <row r="266" customFormat="false" ht="12.75" hidden="false" customHeight="false" outlineLevel="0" collapsed="false">
      <c r="A266" s="180"/>
      <c r="B266" s="142"/>
      <c r="C266" s="142"/>
      <c r="D266" s="211"/>
      <c r="E266" s="211"/>
      <c r="F266" s="216"/>
      <c r="G266" s="212"/>
      <c r="H266" s="212"/>
      <c r="I266" s="64"/>
      <c r="J266" s="146"/>
      <c r="K266" s="146"/>
      <c r="L266" s="147" t="n">
        <v>0</v>
      </c>
      <c r="M266" s="148"/>
      <c r="N266" s="237"/>
    </row>
    <row r="267" customFormat="false" ht="12.75" hidden="false" customHeight="false" outlineLevel="0" collapsed="false">
      <c r="A267" s="180"/>
      <c r="B267" s="142"/>
      <c r="C267" s="142"/>
      <c r="D267" s="211"/>
      <c r="E267" s="211"/>
      <c r="F267" s="216"/>
      <c r="G267" s="212"/>
      <c r="H267" s="212"/>
      <c r="I267" s="64"/>
      <c r="J267" s="146"/>
      <c r="K267" s="146"/>
      <c r="L267" s="147"/>
      <c r="M267" s="148"/>
      <c r="N267" s="237"/>
    </row>
    <row r="268" customFormat="false" ht="16.15" hidden="false" customHeight="false" outlineLevel="0" collapsed="false">
      <c r="A268" s="247"/>
      <c r="B268" s="248"/>
      <c r="C268" s="249"/>
      <c r="D268" s="250" t="s">
        <v>108</v>
      </c>
      <c r="E268" s="249"/>
      <c r="F268" s="248"/>
      <c r="G268" s="248"/>
      <c r="H268" s="248"/>
      <c r="I268" s="248"/>
      <c r="J268" s="186" t="s">
        <v>62</v>
      </c>
      <c r="K268" s="186" t="s">
        <v>63</v>
      </c>
      <c r="L268" s="248"/>
      <c r="M268" s="248"/>
      <c r="N268" s="251"/>
    </row>
    <row r="269" customFormat="false" ht="12.75" hidden="false" customHeight="false" outlineLevel="0" collapsed="false">
      <c r="A269" s="252"/>
      <c r="B269" s="253"/>
      <c r="C269" s="254"/>
      <c r="D269" s="255"/>
      <c r="E269" s="255"/>
      <c r="F269" s="256"/>
      <c r="G269" s="257"/>
      <c r="H269" s="257"/>
      <c r="I269" s="258"/>
      <c r="J269" s="259"/>
      <c r="K269" s="259"/>
      <c r="L269" s="260"/>
      <c r="M269" s="261"/>
      <c r="N269" s="262"/>
    </row>
    <row r="270" customFormat="false" ht="12.75" hidden="false" customHeight="false" outlineLevel="0" collapsed="false">
      <c r="A270" s="140"/>
      <c r="B270" s="141"/>
      <c r="C270" s="142"/>
      <c r="D270" s="143"/>
      <c r="E270" s="143"/>
      <c r="F270" s="144"/>
      <c r="G270" s="44"/>
      <c r="H270" s="44"/>
      <c r="I270" s="64"/>
      <c r="J270" s="146"/>
      <c r="K270" s="146"/>
      <c r="L270" s="147"/>
      <c r="M270" s="148"/>
      <c r="N270" s="159"/>
    </row>
    <row r="271" customFormat="false" ht="12.75" hidden="false" customHeight="false" outlineLevel="0" collapsed="false">
      <c r="A271" s="140"/>
      <c r="B271" s="141"/>
      <c r="C271" s="142"/>
      <c r="D271" s="143"/>
      <c r="E271" s="143"/>
      <c r="F271" s="144"/>
      <c r="G271" s="44"/>
      <c r="H271" s="44"/>
      <c r="I271" s="64"/>
      <c r="J271" s="146"/>
      <c r="K271" s="146"/>
      <c r="L271" s="147"/>
      <c r="M271" s="155"/>
      <c r="N271" s="159"/>
    </row>
    <row r="272" customFormat="false" ht="12.75" hidden="false" customHeight="false" outlineLevel="0" collapsed="false">
      <c r="A272" s="140"/>
      <c r="B272" s="141"/>
      <c r="C272" s="142"/>
      <c r="D272" s="143"/>
      <c r="E272" s="143"/>
      <c r="F272" s="144"/>
      <c r="G272" s="44"/>
      <c r="H272" s="44"/>
      <c r="I272" s="64"/>
      <c r="J272" s="146"/>
      <c r="K272" s="146"/>
      <c r="L272" s="147"/>
      <c r="M272" s="155"/>
      <c r="N272" s="159"/>
    </row>
    <row r="273" customFormat="false" ht="12.75" hidden="false" customHeight="false" outlineLevel="0" collapsed="false">
      <c r="A273" s="140" t="n">
        <v>46036</v>
      </c>
      <c r="B273" s="141" t="s">
        <v>85</v>
      </c>
      <c r="C273" s="142" t="s">
        <v>69</v>
      </c>
      <c r="D273" s="143" t="s">
        <v>73</v>
      </c>
      <c r="E273" s="143" t="s">
        <v>74</v>
      </c>
      <c r="F273" s="144" t="n">
        <v>-4</v>
      </c>
      <c r="G273" s="44" t="n">
        <v>480</v>
      </c>
      <c r="H273" s="44" t="n">
        <v>679.385</v>
      </c>
      <c r="I273" s="64" t="n">
        <v>0</v>
      </c>
      <c r="J273" s="154" t="n">
        <v>-0.293478660847678</v>
      </c>
      <c r="K273" s="146" t="n">
        <v>0.00330230587046664</v>
      </c>
      <c r="L273" s="147" t="n">
        <v>1920</v>
      </c>
      <c r="M273" s="155" t="n">
        <v>46191</v>
      </c>
      <c r="N273" s="159" t="n">
        <v>66</v>
      </c>
    </row>
    <row r="274" customFormat="false" ht="12.75" hidden="false" customHeight="false" outlineLevel="0" collapsed="false">
      <c r="A274" s="140"/>
      <c r="B274" s="141"/>
      <c r="C274" s="142"/>
      <c r="D274" s="143"/>
      <c r="E274" s="143"/>
      <c r="F274" s="144" t="n">
        <v>0</v>
      </c>
      <c r="G274" s="44"/>
      <c r="H274" s="44"/>
      <c r="I274" s="64"/>
      <c r="J274" s="154"/>
      <c r="K274" s="146"/>
      <c r="L274" s="147"/>
      <c r="M274" s="155"/>
      <c r="N274" s="159"/>
    </row>
    <row r="275" customFormat="false" ht="12.75" hidden="false" customHeight="false" outlineLevel="0" collapsed="false">
      <c r="A275" s="140" t="n">
        <v>46015</v>
      </c>
      <c r="B275" s="141" t="s">
        <v>77</v>
      </c>
      <c r="C275" s="142" t="s">
        <v>69</v>
      </c>
      <c r="D275" s="143" t="s">
        <v>73</v>
      </c>
      <c r="E275" s="143" t="s">
        <v>74</v>
      </c>
      <c r="F275" s="144" t="n">
        <v>-5</v>
      </c>
      <c r="G275" s="44" t="n">
        <v>440</v>
      </c>
      <c r="H275" s="44" t="n">
        <v>679.385</v>
      </c>
      <c r="I275" s="64" t="n">
        <v>0</v>
      </c>
      <c r="J275" s="154" t="n">
        <v>-0.352355439110372</v>
      </c>
      <c r="K275" s="146" t="n">
        <v>0.0409802368739586</v>
      </c>
      <c r="L275" s="147" t="n">
        <v>2200</v>
      </c>
      <c r="M275" s="155" t="n">
        <v>46374</v>
      </c>
      <c r="N275" s="159" t="n">
        <v>249</v>
      </c>
    </row>
    <row r="276" customFormat="false" ht="12.75" hidden="false" customHeight="false" outlineLevel="0" collapsed="false">
      <c r="A276" s="140" t="n">
        <v>46013</v>
      </c>
      <c r="B276" s="141" t="s">
        <v>70</v>
      </c>
      <c r="C276" s="142" t="s">
        <v>69</v>
      </c>
      <c r="D276" s="143" t="s">
        <v>73</v>
      </c>
      <c r="E276" s="143" t="s">
        <v>74</v>
      </c>
      <c r="F276" s="144" t="n">
        <v>-5</v>
      </c>
      <c r="G276" s="44" t="n">
        <v>435</v>
      </c>
      <c r="H276" s="44" t="n">
        <v>679.385</v>
      </c>
      <c r="I276" s="64" t="n">
        <v>0</v>
      </c>
      <c r="J276" s="154" t="n">
        <v>-0.359715036393209</v>
      </c>
      <c r="K276" s="146" t="n">
        <v>0.037086399309179</v>
      </c>
      <c r="L276" s="147" t="n">
        <v>2175</v>
      </c>
      <c r="M276" s="155" t="n">
        <v>46374</v>
      </c>
      <c r="N276" s="159" t="n">
        <v>249</v>
      </c>
    </row>
    <row r="277" customFormat="false" ht="12.75" hidden="false" customHeight="false" outlineLevel="0" collapsed="false">
      <c r="A277" s="140" t="n">
        <v>46013</v>
      </c>
      <c r="B277" s="141" t="s">
        <v>77</v>
      </c>
      <c r="C277" s="142" t="s">
        <v>69</v>
      </c>
      <c r="D277" s="143" t="s">
        <v>73</v>
      </c>
      <c r="E277" s="143" t="s">
        <v>74</v>
      </c>
      <c r="F277" s="144" t="n">
        <v>-5</v>
      </c>
      <c r="G277" s="44" t="n">
        <v>430</v>
      </c>
      <c r="H277" s="44" t="n">
        <v>679.385</v>
      </c>
      <c r="I277" s="64" t="n">
        <v>0</v>
      </c>
      <c r="J277" s="154" t="n">
        <v>-0.367074633676045</v>
      </c>
      <c r="K277" s="146" t="n">
        <v>0.0334606124304767</v>
      </c>
      <c r="L277" s="147" t="n">
        <v>2150</v>
      </c>
      <c r="M277" s="155" t="n">
        <v>46374</v>
      </c>
      <c r="N277" s="159" t="n">
        <v>249</v>
      </c>
    </row>
    <row r="278" customFormat="false" ht="12.75" hidden="false" customHeight="false" outlineLevel="0" collapsed="false">
      <c r="A278" s="140" t="n">
        <v>46002</v>
      </c>
      <c r="B278" s="141" t="s">
        <v>70</v>
      </c>
      <c r="C278" s="142" t="s">
        <v>69</v>
      </c>
      <c r="D278" s="143" t="s">
        <v>73</v>
      </c>
      <c r="E278" s="143" t="s">
        <v>74</v>
      </c>
      <c r="F278" s="144" t="n">
        <v>-5</v>
      </c>
      <c r="G278" s="44" t="n">
        <v>425</v>
      </c>
      <c r="H278" s="44" t="n">
        <v>679.385</v>
      </c>
      <c r="I278" s="64" t="n">
        <v>0</v>
      </c>
      <c r="J278" s="154" t="n">
        <v>-0.374434230958882</v>
      </c>
      <c r="K278" s="146" t="n">
        <v>0.0300945974488685</v>
      </c>
      <c r="L278" s="147" t="n">
        <v>2125</v>
      </c>
      <c r="M278" s="155" t="n">
        <v>46374</v>
      </c>
      <c r="N278" s="159" t="n">
        <v>249</v>
      </c>
    </row>
    <row r="279" customFormat="false" ht="12.75" hidden="false" customHeight="false" outlineLevel="0" collapsed="false">
      <c r="A279" s="140" t="n">
        <v>46097</v>
      </c>
      <c r="B279" s="141" t="s">
        <v>70</v>
      </c>
      <c r="C279" s="142" t="s">
        <v>69</v>
      </c>
      <c r="D279" s="143" t="s">
        <v>73</v>
      </c>
      <c r="E279" s="143" t="s">
        <v>74</v>
      </c>
      <c r="F279" s="144" t="n">
        <v>-5</v>
      </c>
      <c r="G279" s="44" t="n">
        <v>400</v>
      </c>
      <c r="H279" s="44" t="n">
        <v>679.385</v>
      </c>
      <c r="I279" s="64" t="n">
        <v>0</v>
      </c>
      <c r="J279" s="154" t="n">
        <v>-0.411232217373065</v>
      </c>
      <c r="K279" s="146" t="n">
        <v>0.0168320758533909</v>
      </c>
      <c r="L279" s="147" t="n">
        <v>2000</v>
      </c>
      <c r="M279" s="155" t="n">
        <v>46374</v>
      </c>
      <c r="N279" s="159" t="n">
        <v>249</v>
      </c>
    </row>
    <row r="280" customFormat="false" ht="12.75" hidden="false" customHeight="false" outlineLevel="0" collapsed="false">
      <c r="A280" s="140" t="n">
        <v>46097</v>
      </c>
      <c r="B280" s="141" t="s">
        <v>81</v>
      </c>
      <c r="C280" s="142" t="s">
        <v>69</v>
      </c>
      <c r="D280" s="143" t="s">
        <v>73</v>
      </c>
      <c r="E280" s="143" t="s">
        <v>74</v>
      </c>
      <c r="F280" s="144" t="n">
        <v>-5</v>
      </c>
      <c r="G280" s="44" t="n">
        <v>390</v>
      </c>
      <c r="H280" s="44" t="n">
        <v>679.385</v>
      </c>
      <c r="I280" s="64" t="n">
        <v>0</v>
      </c>
      <c r="J280" s="154" t="n">
        <v>-0.425951411938739</v>
      </c>
      <c r="K280" s="146" t="n">
        <v>0.0129987772030346</v>
      </c>
      <c r="L280" s="147" t="n">
        <v>1950</v>
      </c>
      <c r="M280" s="155" t="n">
        <v>46374</v>
      </c>
      <c r="N280" s="159" t="n">
        <v>249</v>
      </c>
    </row>
    <row r="281" customFormat="false" ht="12.75" hidden="false" customHeight="false" outlineLevel="0" collapsed="false">
      <c r="A281" s="140" t="n">
        <v>46097</v>
      </c>
      <c r="B281" s="141" t="s">
        <v>81</v>
      </c>
      <c r="C281" s="142" t="s">
        <v>69</v>
      </c>
      <c r="D281" s="143" t="s">
        <v>73</v>
      </c>
      <c r="E281" s="143" t="s">
        <v>74</v>
      </c>
      <c r="F281" s="144" t="n">
        <v>-5</v>
      </c>
      <c r="G281" s="44" t="n">
        <v>380</v>
      </c>
      <c r="H281" s="44" t="n">
        <v>679.385</v>
      </c>
      <c r="I281" s="64" t="n">
        <v>0</v>
      </c>
      <c r="J281" s="154" t="n">
        <v>-0.440670606504412</v>
      </c>
      <c r="K281" s="146" t="n">
        <v>0.00987459272474332</v>
      </c>
      <c r="L281" s="147" t="n">
        <v>1900</v>
      </c>
      <c r="M281" s="155" t="n">
        <v>46374</v>
      </c>
      <c r="N281" s="159" t="n">
        <v>249</v>
      </c>
    </row>
    <row r="282" customFormat="false" ht="12.75" hidden="false" customHeight="false" outlineLevel="0" collapsed="false">
      <c r="A282" s="140" t="n">
        <v>45987</v>
      </c>
      <c r="B282" s="141" t="s">
        <v>85</v>
      </c>
      <c r="C282" s="142" t="s">
        <v>69</v>
      </c>
      <c r="D282" s="143" t="s">
        <v>73</v>
      </c>
      <c r="E282" s="143" t="s">
        <v>74</v>
      </c>
      <c r="F282" s="144" t="n">
        <v>-5</v>
      </c>
      <c r="G282" s="44" t="n">
        <v>375</v>
      </c>
      <c r="H282" s="44" t="n">
        <v>679.385</v>
      </c>
      <c r="I282" s="64" t="n">
        <v>0</v>
      </c>
      <c r="J282" s="154" t="n">
        <v>-0.448030203787249</v>
      </c>
      <c r="K282" s="146" t="n">
        <v>0.00855038973096304</v>
      </c>
      <c r="L282" s="147" t="n">
        <v>1875</v>
      </c>
      <c r="M282" s="155" t="n">
        <v>46374</v>
      </c>
      <c r="N282" s="159" t="n">
        <v>249</v>
      </c>
    </row>
    <row r="283" customFormat="false" ht="12.75" hidden="false" customHeight="false" outlineLevel="0" collapsed="false">
      <c r="A283" s="140" t="n">
        <v>45987</v>
      </c>
      <c r="B283" s="141" t="s">
        <v>85</v>
      </c>
      <c r="C283" s="142" t="s">
        <v>69</v>
      </c>
      <c r="D283" s="143" t="s">
        <v>73</v>
      </c>
      <c r="E283" s="143" t="s">
        <v>74</v>
      </c>
      <c r="F283" s="144" t="n">
        <v>-5</v>
      </c>
      <c r="G283" s="44" t="n">
        <v>370</v>
      </c>
      <c r="H283" s="44" t="n">
        <v>679.385</v>
      </c>
      <c r="I283" s="64" t="n">
        <v>0</v>
      </c>
      <c r="J283" s="154" t="n">
        <v>-0.455389801070085</v>
      </c>
      <c r="K283" s="146" t="n">
        <v>0.00736998032009664</v>
      </c>
      <c r="L283" s="147" t="n">
        <v>1850</v>
      </c>
      <c r="M283" s="155" t="n">
        <v>46374</v>
      </c>
      <c r="N283" s="159" t="n">
        <v>249</v>
      </c>
    </row>
    <row r="284" customFormat="false" ht="12.75" hidden="false" customHeight="false" outlineLevel="0" collapsed="false">
      <c r="A284" s="140"/>
      <c r="B284" s="141"/>
      <c r="C284" s="142"/>
      <c r="D284" s="143"/>
      <c r="E284" s="143"/>
      <c r="F284" s="144" t="n">
        <v>0</v>
      </c>
      <c r="G284" s="44"/>
      <c r="H284" s="44"/>
      <c r="I284" s="64"/>
      <c r="J284" s="154"/>
      <c r="K284" s="146"/>
      <c r="L284" s="147"/>
      <c r="M284" s="155"/>
      <c r="N284" s="263"/>
    </row>
    <row r="285" customFormat="false" ht="12.75" hidden="false" customHeight="false" outlineLevel="0" collapsed="false">
      <c r="A285" s="140"/>
      <c r="B285" s="141"/>
      <c r="C285" s="142"/>
      <c r="D285" s="143"/>
      <c r="E285" s="143"/>
      <c r="F285" s="144" t="n">
        <v>0</v>
      </c>
      <c r="G285" s="44"/>
      <c r="H285" s="44"/>
      <c r="I285" s="64"/>
      <c r="J285" s="154"/>
      <c r="K285" s="146"/>
      <c r="L285" s="147"/>
      <c r="M285" s="155"/>
      <c r="N285" s="159"/>
    </row>
    <row r="286" customFormat="false" ht="12.75" hidden="false" customHeight="false" outlineLevel="0" collapsed="false">
      <c r="A286" s="140" t="n">
        <v>45992</v>
      </c>
      <c r="B286" s="141" t="s">
        <v>85</v>
      </c>
      <c r="C286" s="142" t="s">
        <v>69</v>
      </c>
      <c r="D286" s="143" t="s">
        <v>71</v>
      </c>
      <c r="E286" s="143" t="s">
        <v>72</v>
      </c>
      <c r="F286" s="144" t="n">
        <v>-5.66666666666667</v>
      </c>
      <c r="G286" s="44" t="n">
        <v>385</v>
      </c>
      <c r="H286" s="44" t="n">
        <v>611.245</v>
      </c>
      <c r="I286" s="64" t="n">
        <v>0</v>
      </c>
      <c r="J286" s="154" t="n">
        <v>-0.370137997038831</v>
      </c>
      <c r="K286" s="146" t="n">
        <v>0.0484786405496989</v>
      </c>
      <c r="L286" s="147" t="n">
        <v>2181.66666666667</v>
      </c>
      <c r="M286" s="155" t="n">
        <v>46374</v>
      </c>
      <c r="N286" s="159" t="n">
        <v>249</v>
      </c>
    </row>
    <row r="287" customFormat="false" ht="12.75" hidden="false" customHeight="false" outlineLevel="0" collapsed="false">
      <c r="A287" s="140" t="n">
        <v>45992</v>
      </c>
      <c r="B287" s="141" t="s">
        <v>85</v>
      </c>
      <c r="C287" s="142" t="s">
        <v>69</v>
      </c>
      <c r="D287" s="143" t="s">
        <v>71</v>
      </c>
      <c r="E287" s="143" t="s">
        <v>72</v>
      </c>
      <c r="F287" s="144" t="n">
        <v>-5.66666666666667</v>
      </c>
      <c r="G287" s="44" t="n">
        <v>380</v>
      </c>
      <c r="H287" s="44" t="n">
        <v>611.245</v>
      </c>
      <c r="I287" s="64" t="n">
        <v>0</v>
      </c>
      <c r="J287" s="154" t="n">
        <v>-0.378318023051313</v>
      </c>
      <c r="K287" s="146" t="n">
        <v>0.0438416517443451</v>
      </c>
      <c r="L287" s="147" t="n">
        <v>2153.33333333333</v>
      </c>
      <c r="M287" s="155" t="n">
        <v>46374</v>
      </c>
      <c r="N287" s="159" t="n">
        <v>249</v>
      </c>
    </row>
    <row r="288" customFormat="false" ht="12.75" hidden="false" customHeight="false" outlineLevel="0" collapsed="false">
      <c r="A288" s="140" t="n">
        <v>46090</v>
      </c>
      <c r="B288" s="141" t="s">
        <v>22</v>
      </c>
      <c r="C288" s="142" t="s">
        <v>69</v>
      </c>
      <c r="D288" s="143" t="s">
        <v>71</v>
      </c>
      <c r="E288" s="143" t="s">
        <v>72</v>
      </c>
      <c r="F288" s="144" t="n">
        <v>-6.66666666666667</v>
      </c>
      <c r="G288" s="44" t="n">
        <v>375</v>
      </c>
      <c r="H288" s="44" t="n">
        <v>611.245</v>
      </c>
      <c r="I288" s="64" t="n">
        <v>0</v>
      </c>
      <c r="J288" s="154" t="n">
        <v>-0.386498049063796</v>
      </c>
      <c r="K288" s="146" t="n">
        <v>0.0395150118423116</v>
      </c>
      <c r="L288" s="147" t="n">
        <v>2500</v>
      </c>
      <c r="M288" s="155" t="n">
        <v>46374</v>
      </c>
      <c r="N288" s="159" t="n">
        <v>249</v>
      </c>
    </row>
    <row r="289" customFormat="false" ht="12.75" hidden="false" customHeight="false" outlineLevel="0" collapsed="false">
      <c r="A289" s="140" t="n">
        <v>46035</v>
      </c>
      <c r="B289" s="141" t="s">
        <v>70</v>
      </c>
      <c r="C289" s="142" t="s">
        <v>69</v>
      </c>
      <c r="D289" s="143" t="s">
        <v>71</v>
      </c>
      <c r="E289" s="143" t="s">
        <v>72</v>
      </c>
      <c r="F289" s="144" t="n">
        <v>-5.66666666666667</v>
      </c>
      <c r="G289" s="44" t="n">
        <v>370</v>
      </c>
      <c r="H289" s="44" t="n">
        <v>611.245</v>
      </c>
      <c r="I289" s="64" t="n">
        <v>0</v>
      </c>
      <c r="J289" s="154" t="n">
        <v>-0.394678075076279</v>
      </c>
      <c r="K289" s="146" t="n">
        <v>0.0354912491139041</v>
      </c>
      <c r="L289" s="147" t="n">
        <v>2096.66666666667</v>
      </c>
      <c r="M289" s="155" t="n">
        <v>46374</v>
      </c>
      <c r="N289" s="159" t="n">
        <v>249</v>
      </c>
    </row>
    <row r="290" customFormat="false" ht="12.75" hidden="false" customHeight="false" outlineLevel="0" collapsed="false">
      <c r="A290" s="140" t="n">
        <v>46097</v>
      </c>
      <c r="B290" s="141" t="s">
        <v>77</v>
      </c>
      <c r="C290" s="142" t="s">
        <v>69</v>
      </c>
      <c r="D290" s="143" t="s">
        <v>71</v>
      </c>
      <c r="E290" s="143" t="s">
        <v>72</v>
      </c>
      <c r="F290" s="144" t="n">
        <v>-5.66666666666667</v>
      </c>
      <c r="G290" s="44" t="n">
        <v>360</v>
      </c>
      <c r="H290" s="44" t="n">
        <v>611.245</v>
      </c>
      <c r="I290" s="64" t="n">
        <v>0</v>
      </c>
      <c r="J290" s="154" t="n">
        <v>-0.411038127101244</v>
      </c>
      <c r="K290" s="146" t="n">
        <v>0.0283177863074639</v>
      </c>
      <c r="L290" s="147" t="n">
        <v>2040</v>
      </c>
      <c r="M290" s="155" t="n">
        <v>46374</v>
      </c>
      <c r="N290" s="159" t="n">
        <v>249</v>
      </c>
    </row>
    <row r="291" customFormat="false" ht="12.75" hidden="false" customHeight="false" outlineLevel="0" collapsed="false">
      <c r="A291" s="140"/>
      <c r="B291" s="141"/>
      <c r="C291" s="142"/>
      <c r="D291" s="143"/>
      <c r="E291" s="143"/>
      <c r="F291" s="144" t="n">
        <v>0</v>
      </c>
      <c r="G291" s="44"/>
      <c r="H291" s="44"/>
      <c r="I291" s="64"/>
      <c r="J291" s="154"/>
      <c r="K291" s="146"/>
      <c r="L291" s="147"/>
      <c r="M291" s="155"/>
      <c r="N291" s="159"/>
    </row>
    <row r="292" customFormat="false" ht="12.75" hidden="false" customHeight="false" outlineLevel="0" collapsed="false">
      <c r="A292" s="140" t="n">
        <v>46003</v>
      </c>
      <c r="B292" s="141" t="s">
        <v>77</v>
      </c>
      <c r="C292" s="142" t="s">
        <v>69</v>
      </c>
      <c r="D292" s="143" t="s">
        <v>120</v>
      </c>
      <c r="E292" s="143" t="s">
        <v>121</v>
      </c>
      <c r="F292" s="144" t="n">
        <v>-4.66666666666667</v>
      </c>
      <c r="G292" s="44" t="n">
        <v>150</v>
      </c>
      <c r="H292" s="44" t="n">
        <v>237.04</v>
      </c>
      <c r="I292" s="64" t="n">
        <v>0</v>
      </c>
      <c r="J292" s="154" t="n">
        <v>-0.367195410057374</v>
      </c>
      <c r="K292" s="146" t="n">
        <v>0.103378516202492</v>
      </c>
      <c r="L292" s="147" t="n">
        <v>700</v>
      </c>
      <c r="M292" s="155" t="n">
        <v>46374</v>
      </c>
      <c r="N292" s="159" t="n">
        <v>249</v>
      </c>
    </row>
    <row r="293" customFormat="false" ht="12.75" hidden="false" customHeight="false" outlineLevel="0" collapsed="false">
      <c r="A293" s="140" t="n">
        <v>46003</v>
      </c>
      <c r="B293" s="141" t="s">
        <v>77</v>
      </c>
      <c r="C293" s="142" t="s">
        <v>69</v>
      </c>
      <c r="D293" s="143" t="s">
        <v>120</v>
      </c>
      <c r="E293" s="143" t="s">
        <v>121</v>
      </c>
      <c r="F293" s="144" t="n">
        <v>-4.66666666666667</v>
      </c>
      <c r="G293" s="44" t="n">
        <v>145</v>
      </c>
      <c r="H293" s="44" t="n">
        <v>237.04</v>
      </c>
      <c r="I293" s="64" t="n">
        <v>0</v>
      </c>
      <c r="J293" s="154" t="n">
        <v>-0.388288896388795</v>
      </c>
      <c r="K293" s="146" t="n">
        <v>0.0864973307821834</v>
      </c>
      <c r="L293" s="147" t="n">
        <v>676.666666666667</v>
      </c>
      <c r="M293" s="155" t="n">
        <v>46374</v>
      </c>
      <c r="N293" s="159" t="n">
        <v>249</v>
      </c>
    </row>
    <row r="294" customFormat="false" ht="12.75" hidden="false" customHeight="false" outlineLevel="0" collapsed="false">
      <c r="A294" s="140" t="n">
        <v>45992</v>
      </c>
      <c r="B294" s="141" t="s">
        <v>81</v>
      </c>
      <c r="C294" s="142" t="s">
        <v>69</v>
      </c>
      <c r="D294" s="143" t="s">
        <v>120</v>
      </c>
      <c r="E294" s="143" t="s">
        <v>121</v>
      </c>
      <c r="F294" s="144" t="n">
        <v>-2.33333333333333</v>
      </c>
      <c r="G294" s="44" t="n">
        <v>135</v>
      </c>
      <c r="H294" s="44" t="n">
        <v>237.04</v>
      </c>
      <c r="I294" s="64" t="n">
        <v>0</v>
      </c>
      <c r="J294" s="154" t="n">
        <v>-0.430475869051637</v>
      </c>
      <c r="K294" s="146" t="n">
        <v>0.0577827724028491</v>
      </c>
      <c r="L294" s="147" t="n">
        <v>315</v>
      </c>
      <c r="M294" s="155" t="n">
        <v>46374</v>
      </c>
      <c r="N294" s="159" t="n">
        <v>249</v>
      </c>
    </row>
    <row r="295" customFormat="false" ht="12.75" hidden="false" customHeight="false" outlineLevel="0" collapsed="false">
      <c r="A295" s="140"/>
      <c r="B295" s="141"/>
      <c r="C295" s="142"/>
      <c r="D295" s="143"/>
      <c r="E295" s="143"/>
      <c r="F295" s="144" t="n">
        <v>0</v>
      </c>
      <c r="G295" s="44"/>
      <c r="H295" s="44"/>
      <c r="I295" s="64"/>
      <c r="J295" s="154"/>
      <c r="K295" s="146"/>
      <c r="L295" s="147"/>
      <c r="M295" s="148"/>
      <c r="N295" s="159"/>
    </row>
    <row r="296" customFormat="false" ht="12.75" hidden="false" customHeight="false" outlineLevel="0" collapsed="false">
      <c r="A296" s="140" t="n">
        <v>46015</v>
      </c>
      <c r="B296" s="141" t="s">
        <v>70</v>
      </c>
      <c r="C296" s="142" t="s">
        <v>69</v>
      </c>
      <c r="D296" s="143" t="s">
        <v>122</v>
      </c>
      <c r="E296" s="143" t="s">
        <v>123</v>
      </c>
      <c r="F296" s="144" t="n">
        <v>-13.3333333333333</v>
      </c>
      <c r="G296" s="44" t="n">
        <v>85</v>
      </c>
      <c r="H296" s="44" t="n">
        <v>123.845</v>
      </c>
      <c r="I296" s="64" t="n">
        <v>0</v>
      </c>
      <c r="J296" s="154" t="n">
        <v>-0.313658201784489</v>
      </c>
      <c r="K296" s="146" t="n">
        <v>0.0109176345470453</v>
      </c>
      <c r="L296" s="147" t="n">
        <v>1133.33333333333</v>
      </c>
      <c r="M296" s="155" t="n">
        <v>46191</v>
      </c>
      <c r="N296" s="159" t="n">
        <v>66</v>
      </c>
    </row>
    <row r="297" customFormat="false" ht="12.75" hidden="false" customHeight="false" outlineLevel="0" collapsed="false">
      <c r="A297" s="140" t="n">
        <v>46013</v>
      </c>
      <c r="B297" s="141" t="s">
        <v>70</v>
      </c>
      <c r="C297" s="142" t="s">
        <v>69</v>
      </c>
      <c r="D297" s="143" t="s">
        <v>122</v>
      </c>
      <c r="E297" s="143" t="s">
        <v>123</v>
      </c>
      <c r="F297" s="144" t="n">
        <v>-20</v>
      </c>
      <c r="G297" s="44" t="n">
        <v>80</v>
      </c>
      <c r="H297" s="44" t="n">
        <v>123.845</v>
      </c>
      <c r="I297" s="64" t="n">
        <v>0</v>
      </c>
      <c r="J297" s="154" t="n">
        <v>-0.354031248738342</v>
      </c>
      <c r="K297" s="146" t="n">
        <v>0.0038106564257759</v>
      </c>
      <c r="L297" s="147" t="n">
        <v>1600</v>
      </c>
      <c r="M297" s="155" t="n">
        <v>46191</v>
      </c>
      <c r="N297" s="159" t="n">
        <v>66</v>
      </c>
    </row>
    <row r="298" customFormat="false" ht="12.75" hidden="false" customHeight="false" outlineLevel="0" collapsed="false">
      <c r="A298" s="140" t="n">
        <v>46006</v>
      </c>
      <c r="B298" s="141" t="s">
        <v>77</v>
      </c>
      <c r="C298" s="142" t="s">
        <v>69</v>
      </c>
      <c r="D298" s="143" t="s">
        <v>122</v>
      </c>
      <c r="E298" s="143" t="s">
        <v>123</v>
      </c>
      <c r="F298" s="144" t="n">
        <v>-20</v>
      </c>
      <c r="G298" s="44" t="n">
        <v>75</v>
      </c>
      <c r="H298" s="44" t="n">
        <v>123.845</v>
      </c>
      <c r="I298" s="64" t="n">
        <v>0</v>
      </c>
      <c r="J298" s="154" t="n">
        <v>-0.394404295692196</v>
      </c>
      <c r="K298" s="146" t="n">
        <v>0.0010781931064264</v>
      </c>
      <c r="L298" s="147" t="n">
        <v>1500</v>
      </c>
      <c r="M298" s="155" t="n">
        <v>46191</v>
      </c>
      <c r="N298" s="159" t="n">
        <v>66</v>
      </c>
    </row>
    <row r="299" customFormat="false" ht="12.75" hidden="false" customHeight="false" outlineLevel="0" collapsed="false">
      <c r="A299" s="140"/>
      <c r="B299" s="141"/>
      <c r="C299" s="142"/>
      <c r="D299" s="143"/>
      <c r="E299" s="143"/>
      <c r="F299" s="144" t="n">
        <v>0</v>
      </c>
      <c r="G299" s="44"/>
      <c r="H299" s="44"/>
      <c r="I299" s="64"/>
      <c r="J299" s="154"/>
      <c r="K299" s="146"/>
      <c r="L299" s="147"/>
      <c r="M299" s="155"/>
      <c r="N299" s="159"/>
    </row>
    <row r="300" customFormat="false" ht="12.75" hidden="false" customHeight="false" outlineLevel="0" collapsed="false">
      <c r="A300" s="140" t="n">
        <v>46015</v>
      </c>
      <c r="B300" s="141" t="s">
        <v>77</v>
      </c>
      <c r="C300" s="142" t="s">
        <v>69</v>
      </c>
      <c r="D300" s="143" t="s">
        <v>122</v>
      </c>
      <c r="E300" s="143" t="s">
        <v>123</v>
      </c>
      <c r="F300" s="144" t="n">
        <v>-20</v>
      </c>
      <c r="G300" s="44" t="n">
        <v>70</v>
      </c>
      <c r="H300" s="44" t="n">
        <v>123.845</v>
      </c>
      <c r="I300" s="64" t="n">
        <v>0</v>
      </c>
      <c r="J300" s="154" t="n">
        <v>-0.43477734264605</v>
      </c>
      <c r="K300" s="146" t="n">
        <v>0.0402484047846001</v>
      </c>
      <c r="L300" s="147" t="n">
        <v>1400</v>
      </c>
      <c r="M300" s="155" t="n">
        <v>46374</v>
      </c>
      <c r="N300" s="159" t="n">
        <v>249</v>
      </c>
    </row>
    <row r="301" customFormat="false" ht="12.75" hidden="false" customHeight="false" outlineLevel="0" collapsed="false">
      <c r="A301" s="140"/>
      <c r="B301" s="141"/>
      <c r="C301" s="142"/>
      <c r="D301" s="143"/>
      <c r="E301" s="143"/>
      <c r="F301" s="144" t="n">
        <v>0</v>
      </c>
      <c r="G301" s="44"/>
      <c r="H301" s="44"/>
      <c r="I301" s="64"/>
      <c r="J301" s="154"/>
      <c r="K301" s="146"/>
      <c r="L301" s="147"/>
      <c r="M301" s="155"/>
      <c r="N301" s="159"/>
    </row>
    <row r="302" customFormat="false" ht="12.75" hidden="false" customHeight="false" outlineLevel="0" collapsed="false">
      <c r="A302" s="140"/>
      <c r="B302" s="141"/>
      <c r="C302" s="142"/>
      <c r="D302" s="143"/>
      <c r="E302" s="143"/>
      <c r="F302" s="144" t="n">
        <v>0</v>
      </c>
      <c r="G302" s="44"/>
      <c r="H302" s="44"/>
      <c r="I302" s="64"/>
      <c r="J302" s="154"/>
      <c r="K302" s="146"/>
      <c r="L302" s="147"/>
      <c r="M302" s="155"/>
      <c r="N302" s="159"/>
    </row>
    <row r="303" customFormat="false" ht="12.75" hidden="false" customHeight="false" outlineLevel="0" collapsed="false">
      <c r="A303" s="140" t="n">
        <v>46094</v>
      </c>
      <c r="B303" s="141" t="s">
        <v>70</v>
      </c>
      <c r="C303" s="142" t="s">
        <v>69</v>
      </c>
      <c r="D303" s="143" t="s">
        <v>84</v>
      </c>
      <c r="E303" s="143" t="s">
        <v>84</v>
      </c>
      <c r="F303" s="144" t="n">
        <v>-5</v>
      </c>
      <c r="G303" s="44" t="n">
        <v>200</v>
      </c>
      <c r="H303" s="44" t="n">
        <v>308.465</v>
      </c>
      <c r="I303" s="64" t="n">
        <v>0</v>
      </c>
      <c r="J303" s="154" t="n">
        <v>-0.351628223623426</v>
      </c>
      <c r="K303" s="146" t="n">
        <v>0.0950079373993165</v>
      </c>
      <c r="L303" s="147" t="n">
        <v>1000</v>
      </c>
      <c r="M303" s="155" t="n">
        <v>46374</v>
      </c>
      <c r="N303" s="159" t="n">
        <v>249</v>
      </c>
    </row>
    <row r="304" customFormat="false" ht="12.75" hidden="false" customHeight="false" outlineLevel="0" collapsed="false">
      <c r="A304" s="140" t="n">
        <v>46013</v>
      </c>
      <c r="B304" s="141" t="s">
        <v>70</v>
      </c>
      <c r="C304" s="142" t="s">
        <v>69</v>
      </c>
      <c r="D304" s="143" t="s">
        <v>84</v>
      </c>
      <c r="E304" s="143" t="s">
        <v>84</v>
      </c>
      <c r="F304" s="144" t="n">
        <v>-5</v>
      </c>
      <c r="G304" s="44" t="n">
        <v>195</v>
      </c>
      <c r="H304" s="44" t="n">
        <v>308.465</v>
      </c>
      <c r="I304" s="64" t="n">
        <v>0</v>
      </c>
      <c r="J304" s="154" t="n">
        <v>-0.36783751803284</v>
      </c>
      <c r="K304" s="146" t="n">
        <v>0.0820827091860964</v>
      </c>
      <c r="L304" s="147" t="n">
        <v>975</v>
      </c>
      <c r="M304" s="155" t="n">
        <v>46374</v>
      </c>
      <c r="N304" s="159" t="n">
        <v>249</v>
      </c>
    </row>
    <row r="305" customFormat="false" ht="12.75" hidden="false" customHeight="false" outlineLevel="0" collapsed="false">
      <c r="A305" s="140" t="n">
        <v>46013</v>
      </c>
      <c r="B305" s="141" t="s">
        <v>77</v>
      </c>
      <c r="C305" s="142" t="s">
        <v>69</v>
      </c>
      <c r="D305" s="143" t="s">
        <v>84</v>
      </c>
      <c r="E305" s="143" t="s">
        <v>84</v>
      </c>
      <c r="F305" s="144" t="n">
        <v>-6</v>
      </c>
      <c r="G305" s="44" t="n">
        <v>190</v>
      </c>
      <c r="H305" s="44" t="n">
        <v>308.465</v>
      </c>
      <c r="I305" s="64" t="n">
        <v>0</v>
      </c>
      <c r="J305" s="154" t="n">
        <v>-0.384046812442254</v>
      </c>
      <c r="K305" s="146" t="n">
        <v>0.0702462975468407</v>
      </c>
      <c r="L305" s="147" t="n">
        <v>1140</v>
      </c>
      <c r="M305" s="155" t="n">
        <v>46374</v>
      </c>
      <c r="N305" s="159" t="n">
        <v>249</v>
      </c>
    </row>
    <row r="306" customFormat="false" ht="12.75" hidden="false" customHeight="false" outlineLevel="0" collapsed="false">
      <c r="A306" s="140" t="n">
        <v>45992</v>
      </c>
      <c r="B306" s="141" t="s">
        <v>81</v>
      </c>
      <c r="C306" s="142" t="s">
        <v>69</v>
      </c>
      <c r="D306" s="143" t="s">
        <v>84</v>
      </c>
      <c r="E306" s="143" t="s">
        <v>84</v>
      </c>
      <c r="F306" s="144" t="n">
        <v>-6</v>
      </c>
      <c r="G306" s="44" t="n">
        <v>175</v>
      </c>
      <c r="H306" s="44" t="n">
        <v>308.465</v>
      </c>
      <c r="I306" s="64" t="n">
        <v>0</v>
      </c>
      <c r="J306" s="154" t="n">
        <v>-0.432674695670498</v>
      </c>
      <c r="K306" s="146" t="n">
        <v>0.0412836673763818</v>
      </c>
      <c r="L306" s="147" t="n">
        <v>1050</v>
      </c>
      <c r="M306" s="155" t="n">
        <v>46374</v>
      </c>
      <c r="N306" s="159" t="n">
        <v>249</v>
      </c>
    </row>
    <row r="307" customFormat="false" ht="12.75" hidden="false" customHeight="false" outlineLevel="0" collapsed="false">
      <c r="A307" s="140"/>
      <c r="B307" s="141"/>
      <c r="C307" s="142"/>
      <c r="D307" s="143"/>
      <c r="E307" s="143"/>
      <c r="F307" s="144" t="n">
        <v>0</v>
      </c>
      <c r="G307" s="44"/>
      <c r="H307" s="44"/>
      <c r="I307" s="64"/>
      <c r="J307" s="154"/>
      <c r="K307" s="146"/>
      <c r="L307" s="147"/>
      <c r="M307" s="155"/>
      <c r="N307" s="159"/>
    </row>
    <row r="308" customFormat="false" ht="12.75" hidden="false" customHeight="false" outlineLevel="0" collapsed="false">
      <c r="A308" s="140"/>
      <c r="B308" s="141"/>
      <c r="C308" s="142"/>
      <c r="D308" s="143"/>
      <c r="E308" s="143"/>
      <c r="F308" s="144" t="n">
        <v>0</v>
      </c>
      <c r="G308" s="44"/>
      <c r="H308" s="44"/>
      <c r="I308" s="64"/>
      <c r="J308" s="154"/>
      <c r="K308" s="146"/>
      <c r="L308" s="147"/>
      <c r="M308" s="155"/>
      <c r="N308" s="159"/>
    </row>
    <row r="309" customFormat="false" ht="12.75" hidden="false" customHeight="false" outlineLevel="0" collapsed="false">
      <c r="A309" s="140"/>
      <c r="B309" s="141"/>
      <c r="C309" s="142"/>
      <c r="D309" s="143"/>
      <c r="E309" s="143"/>
      <c r="F309" s="144" t="n">
        <v>0</v>
      </c>
      <c r="G309" s="44"/>
      <c r="H309" s="44"/>
      <c r="I309" s="64"/>
      <c r="J309" s="154"/>
      <c r="K309" s="146"/>
      <c r="L309" s="147"/>
      <c r="M309" s="155"/>
      <c r="N309" s="159"/>
    </row>
    <row r="310" customFormat="false" ht="12.75" hidden="false" customHeight="false" outlineLevel="0" collapsed="false">
      <c r="A310" s="140" t="n">
        <v>46087</v>
      </c>
      <c r="B310" s="141" t="s">
        <v>70</v>
      </c>
      <c r="C310" s="142" t="s">
        <v>69</v>
      </c>
      <c r="D310" s="143" t="s">
        <v>94</v>
      </c>
      <c r="E310" s="143" t="s">
        <v>95</v>
      </c>
      <c r="F310" s="144" t="n">
        <v>-33.3333333333333</v>
      </c>
      <c r="G310" s="44" t="n">
        <v>32</v>
      </c>
      <c r="H310" s="44" t="n">
        <v>52.355</v>
      </c>
      <c r="I310" s="64" t="n">
        <v>0</v>
      </c>
      <c r="J310" s="154" t="n">
        <v>-0.388788081367587</v>
      </c>
      <c r="K310" s="146" t="n">
        <v>0.0669914332610973</v>
      </c>
      <c r="L310" s="147" t="n">
        <v>1066.66666666667</v>
      </c>
      <c r="M310" s="155" t="n">
        <v>46374</v>
      </c>
      <c r="N310" s="159" t="n">
        <v>249</v>
      </c>
    </row>
    <row r="311" customFormat="false" ht="12.75" hidden="false" customHeight="false" outlineLevel="0" collapsed="false">
      <c r="A311" s="140" t="n">
        <v>46090</v>
      </c>
      <c r="B311" s="141" t="s">
        <v>77</v>
      </c>
      <c r="C311" s="142" t="s">
        <v>69</v>
      </c>
      <c r="D311" s="143" t="s">
        <v>94</v>
      </c>
      <c r="E311" s="143" t="s">
        <v>95</v>
      </c>
      <c r="F311" s="144" t="n">
        <v>-40</v>
      </c>
      <c r="G311" s="44" t="n">
        <v>32</v>
      </c>
      <c r="H311" s="44" t="n">
        <v>52.355</v>
      </c>
      <c r="I311" s="64" t="n">
        <v>0</v>
      </c>
      <c r="J311" s="154" t="n">
        <v>-0.388788081367587</v>
      </c>
      <c r="K311" s="146" t="n">
        <v>0.0669914332610973</v>
      </c>
      <c r="L311" s="147" t="n">
        <v>1280</v>
      </c>
      <c r="M311" s="155" t="n">
        <v>46374</v>
      </c>
      <c r="N311" s="159" t="n">
        <v>249</v>
      </c>
    </row>
    <row r="312" customFormat="false" ht="12.75" hidden="false" customHeight="false" outlineLevel="0" collapsed="false">
      <c r="A312" s="140" t="n">
        <v>46006</v>
      </c>
      <c r="B312" s="141" t="s">
        <v>77</v>
      </c>
      <c r="C312" s="142" t="s">
        <v>69</v>
      </c>
      <c r="D312" s="143" t="s">
        <v>94</v>
      </c>
      <c r="E312" s="143" t="s">
        <v>95</v>
      </c>
      <c r="F312" s="144" t="n">
        <v>-33.3333333333333</v>
      </c>
      <c r="G312" s="44" t="n">
        <v>30</v>
      </c>
      <c r="H312" s="44" t="n">
        <v>52.355</v>
      </c>
      <c r="I312" s="64" t="n">
        <v>0</v>
      </c>
      <c r="J312" s="154" t="n">
        <v>-0.426988826282113</v>
      </c>
      <c r="K312" s="146" t="n">
        <v>0.044171208205623</v>
      </c>
      <c r="L312" s="147" t="n">
        <v>1000</v>
      </c>
      <c r="M312" s="155" t="n">
        <v>46374</v>
      </c>
      <c r="N312" s="159" t="n">
        <v>249</v>
      </c>
    </row>
    <row r="313" customFormat="false" ht="10.5" hidden="false" customHeight="true" outlineLevel="0" collapsed="false">
      <c r="A313" s="140" t="n">
        <v>45993</v>
      </c>
      <c r="B313" s="141" t="s">
        <v>70</v>
      </c>
      <c r="C313" s="142" t="s">
        <v>69</v>
      </c>
      <c r="D313" s="143" t="s">
        <v>94</v>
      </c>
      <c r="E313" s="143" t="s">
        <v>95</v>
      </c>
      <c r="F313" s="144" t="n">
        <v>-33.3333333333333</v>
      </c>
      <c r="G313" s="44" t="n">
        <v>28</v>
      </c>
      <c r="H313" s="44" t="n">
        <v>52.355</v>
      </c>
      <c r="I313" s="64" t="n">
        <v>0</v>
      </c>
      <c r="J313" s="154" t="n">
        <v>-0.465189571196638</v>
      </c>
      <c r="K313" s="146" t="n">
        <v>0.027175592076814</v>
      </c>
      <c r="L313" s="147" t="n">
        <v>933.333333333333</v>
      </c>
      <c r="M313" s="155" t="n">
        <v>46374</v>
      </c>
      <c r="N313" s="159" t="n">
        <v>249</v>
      </c>
    </row>
    <row r="314" customFormat="false" ht="10.5" hidden="false" customHeight="true" outlineLevel="0" collapsed="false">
      <c r="A314" s="140" t="n">
        <v>46077</v>
      </c>
      <c r="B314" s="141" t="s">
        <v>70</v>
      </c>
      <c r="C314" s="142" t="s">
        <v>69</v>
      </c>
      <c r="D314" s="143" t="s">
        <v>94</v>
      </c>
      <c r="E314" s="143" t="s">
        <v>95</v>
      </c>
      <c r="F314" s="144" t="n">
        <v>-25</v>
      </c>
      <c r="G314" s="44" t="n">
        <v>28</v>
      </c>
      <c r="H314" s="44" t="n">
        <v>52.355</v>
      </c>
      <c r="I314" s="64" t="n">
        <v>0</v>
      </c>
      <c r="J314" s="154" t="n">
        <v>-0.465189571196638</v>
      </c>
      <c r="K314" s="146" t="n">
        <v>0.027175592076814</v>
      </c>
      <c r="L314" s="147" t="n">
        <v>700</v>
      </c>
      <c r="M314" s="155" t="n">
        <v>46374</v>
      </c>
      <c r="N314" s="159" t="n">
        <v>249</v>
      </c>
    </row>
    <row r="315" customFormat="false" ht="12.75" hidden="false" customHeight="false" outlineLevel="0" collapsed="false">
      <c r="A315" s="140"/>
      <c r="B315" s="141"/>
      <c r="C315" s="142"/>
      <c r="D315" s="143"/>
      <c r="E315" s="143"/>
      <c r="F315" s="144" t="n">
        <v>0</v>
      </c>
      <c r="G315" s="44"/>
      <c r="H315" s="44"/>
      <c r="I315" s="64"/>
      <c r="J315" s="154"/>
      <c r="K315" s="146"/>
      <c r="L315" s="147"/>
      <c r="M315" s="155"/>
      <c r="N315" s="159"/>
    </row>
    <row r="316" customFormat="false" ht="12.75" hidden="false" customHeight="false" outlineLevel="0" collapsed="false">
      <c r="A316" s="140"/>
      <c r="B316" s="141"/>
      <c r="C316" s="142"/>
      <c r="D316" s="143"/>
      <c r="E316" s="143"/>
      <c r="F316" s="144" t="n">
        <v>0</v>
      </c>
      <c r="G316" s="44"/>
      <c r="H316" s="44"/>
      <c r="I316" s="64" t="n">
        <v>0</v>
      </c>
      <c r="J316" s="154"/>
      <c r="K316" s="146"/>
      <c r="L316" s="147" t="n">
        <v>0</v>
      </c>
      <c r="M316" s="155"/>
      <c r="N316" s="159"/>
    </row>
    <row r="317" customFormat="false" ht="12.75" hidden="false" customHeight="false" outlineLevel="0" collapsed="false">
      <c r="A317" s="140" t="n">
        <v>46030</v>
      </c>
      <c r="B317" s="141" t="s">
        <v>70</v>
      </c>
      <c r="C317" s="142" t="s">
        <v>69</v>
      </c>
      <c r="D317" s="143" t="s">
        <v>75</v>
      </c>
      <c r="E317" s="143" t="s">
        <v>76</v>
      </c>
      <c r="F317" s="144" t="n">
        <v>-3.5</v>
      </c>
      <c r="G317" s="44" t="n">
        <v>640</v>
      </c>
      <c r="H317" s="44" t="n">
        <v>875.53</v>
      </c>
      <c r="I317" s="64" t="n">
        <v>0</v>
      </c>
      <c r="J317" s="154" t="n">
        <v>-0.26901419711489</v>
      </c>
      <c r="K317" s="146" t="n">
        <v>0.0482667437304287</v>
      </c>
      <c r="L317" s="147" t="n">
        <v>2240</v>
      </c>
      <c r="M317" s="155" t="n">
        <v>46191</v>
      </c>
      <c r="N317" s="159" t="n">
        <v>66</v>
      </c>
    </row>
    <row r="318" customFormat="false" ht="12.75" hidden="false" customHeight="false" outlineLevel="0" collapsed="false">
      <c r="A318" s="140"/>
      <c r="B318" s="141"/>
      <c r="C318" s="142"/>
      <c r="D318" s="143"/>
      <c r="E318" s="143"/>
      <c r="F318" s="144" t="n">
        <v>0</v>
      </c>
      <c r="G318" s="44"/>
      <c r="H318" s="44"/>
      <c r="I318" s="64"/>
      <c r="J318" s="154"/>
      <c r="K318" s="146"/>
      <c r="L318" s="147"/>
      <c r="M318" s="155"/>
      <c r="N318" s="159"/>
    </row>
    <row r="319" customFormat="false" ht="12.75" hidden="false" customHeight="false" outlineLevel="0" collapsed="false">
      <c r="A319" s="140" t="n">
        <v>46077</v>
      </c>
      <c r="B319" s="141" t="s">
        <v>77</v>
      </c>
      <c r="C319" s="142" t="s">
        <v>69</v>
      </c>
      <c r="D319" s="143" t="s">
        <v>75</v>
      </c>
      <c r="E319" s="143" t="s">
        <v>76</v>
      </c>
      <c r="F319" s="144" t="n">
        <v>-2.5</v>
      </c>
      <c r="G319" s="44" t="n">
        <v>600</v>
      </c>
      <c r="H319" s="44" t="n">
        <v>875.53</v>
      </c>
      <c r="I319" s="64" t="n">
        <v>0</v>
      </c>
      <c r="J319" s="154" t="n">
        <v>-0.31470080979521</v>
      </c>
      <c r="K319" s="146" t="n">
        <v>0.167702009271429</v>
      </c>
      <c r="L319" s="147" t="n">
        <v>1500</v>
      </c>
      <c r="M319" s="155" t="n">
        <v>46374</v>
      </c>
      <c r="N319" s="159" t="n">
        <v>249</v>
      </c>
    </row>
    <row r="320" customFormat="false" ht="12.75" hidden="false" customHeight="false" outlineLevel="0" collapsed="false">
      <c r="A320" s="140" t="n">
        <v>46084</v>
      </c>
      <c r="B320" s="141" t="s">
        <v>70</v>
      </c>
      <c r="C320" s="142" t="s">
        <v>69</v>
      </c>
      <c r="D320" s="143" t="s">
        <v>75</v>
      </c>
      <c r="E320" s="143" t="s">
        <v>76</v>
      </c>
      <c r="F320" s="144" t="n">
        <v>-4.33333333333333</v>
      </c>
      <c r="G320" s="44" t="n">
        <v>580</v>
      </c>
      <c r="H320" s="44" t="n">
        <v>875.53</v>
      </c>
      <c r="I320" s="64" t="n">
        <v>0</v>
      </c>
      <c r="J320" s="154" t="n">
        <v>-0.337544116135369</v>
      </c>
      <c r="K320" s="146" t="n">
        <v>0.14485891588286</v>
      </c>
      <c r="L320" s="147" t="n">
        <v>2513.33333333333</v>
      </c>
      <c r="M320" s="155" t="n">
        <v>46374</v>
      </c>
      <c r="N320" s="159" t="n">
        <v>249</v>
      </c>
    </row>
    <row r="321" customFormat="false" ht="12.75" hidden="false" customHeight="false" outlineLevel="0" collapsed="false">
      <c r="A321" s="140" t="n">
        <v>46094</v>
      </c>
      <c r="B321" s="141" t="s">
        <v>77</v>
      </c>
      <c r="C321" s="142" t="s">
        <v>69</v>
      </c>
      <c r="D321" s="143" t="s">
        <v>75</v>
      </c>
      <c r="E321" s="143" t="s">
        <v>76</v>
      </c>
      <c r="F321" s="144" t="n">
        <v>-2.66666666666667</v>
      </c>
      <c r="G321" s="44" t="n">
        <v>550</v>
      </c>
      <c r="H321" s="44" t="n">
        <v>875.53</v>
      </c>
      <c r="I321" s="64" t="n">
        <v>0</v>
      </c>
      <c r="J321" s="154" t="n">
        <v>-0.371809075645609</v>
      </c>
      <c r="K321" s="146" t="n">
        <v>0.113469909658413</v>
      </c>
      <c r="L321" s="147" t="n">
        <v>1466.66666666667</v>
      </c>
      <c r="M321" s="155" t="n">
        <v>46374</v>
      </c>
      <c r="N321" s="159" t="n">
        <v>249</v>
      </c>
    </row>
    <row r="322" customFormat="false" ht="12.75" hidden="false" customHeight="false" outlineLevel="0" collapsed="false">
      <c r="A322" s="140" t="n">
        <v>45992</v>
      </c>
      <c r="B322" s="141" t="s">
        <v>81</v>
      </c>
      <c r="C322" s="142" t="s">
        <v>69</v>
      </c>
      <c r="D322" s="143" t="s">
        <v>75</v>
      </c>
      <c r="E322" s="143" t="s">
        <v>76</v>
      </c>
      <c r="F322" s="144" t="n">
        <v>-4.66666666666667</v>
      </c>
      <c r="G322" s="44" t="n">
        <v>450</v>
      </c>
      <c r="H322" s="44" t="n">
        <v>875.53</v>
      </c>
      <c r="I322" s="64" t="n">
        <v>0</v>
      </c>
      <c r="J322" s="154" t="n">
        <v>-0.486025607346407</v>
      </c>
      <c r="K322" s="146" t="n">
        <v>0.0380897246076659</v>
      </c>
      <c r="L322" s="147" t="n">
        <v>2100</v>
      </c>
      <c r="M322" s="155" t="n">
        <v>46374</v>
      </c>
      <c r="N322" s="159" t="n">
        <v>249</v>
      </c>
    </row>
    <row r="323" customFormat="false" ht="12.75" hidden="false" customHeight="false" outlineLevel="0" collapsed="false">
      <c r="A323" s="140"/>
      <c r="B323" s="141"/>
      <c r="C323" s="142"/>
      <c r="D323" s="143"/>
      <c r="E323" s="143"/>
      <c r="F323" s="144" t="n">
        <v>0</v>
      </c>
      <c r="G323" s="44"/>
      <c r="H323" s="44"/>
      <c r="I323" s="64"/>
      <c r="J323" s="154"/>
      <c r="K323" s="146"/>
      <c r="L323" s="147"/>
      <c r="M323" s="155"/>
      <c r="N323" s="159"/>
    </row>
    <row r="324" customFormat="false" ht="12.75" hidden="false" customHeight="false" outlineLevel="0" collapsed="false">
      <c r="A324" s="140"/>
      <c r="B324" s="141"/>
      <c r="C324" s="142"/>
      <c r="D324" s="143"/>
      <c r="E324" s="143"/>
      <c r="F324" s="144" t="n">
        <v>0</v>
      </c>
      <c r="G324" s="44"/>
      <c r="H324" s="44"/>
      <c r="I324" s="64"/>
      <c r="J324" s="154"/>
      <c r="K324" s="146"/>
      <c r="L324" s="147"/>
      <c r="M324" s="155"/>
      <c r="N324" s="159"/>
    </row>
    <row r="325" customFormat="false" ht="12.75" hidden="false" customHeight="false" outlineLevel="0" collapsed="false">
      <c r="A325" s="140" t="n">
        <v>46035</v>
      </c>
      <c r="B325" s="141" t="s">
        <v>70</v>
      </c>
      <c r="C325" s="142" t="s">
        <v>69</v>
      </c>
      <c r="D325" s="143" t="s">
        <v>70</v>
      </c>
      <c r="E325" s="143" t="s">
        <v>83</v>
      </c>
      <c r="F325" s="144" t="n">
        <v>-16.6666666666667</v>
      </c>
      <c r="G325" s="44" t="n">
        <v>115</v>
      </c>
      <c r="H325" s="44" t="n">
        <v>177.9</v>
      </c>
      <c r="I325" s="64" t="n">
        <v>0</v>
      </c>
      <c r="J325" s="154" t="n">
        <v>-0.353569421023047</v>
      </c>
      <c r="K325" s="146" t="n">
        <v>0.00979293459483361</v>
      </c>
      <c r="L325" s="147" t="n">
        <v>1916.66666666667</v>
      </c>
      <c r="M325" s="155" t="n">
        <v>46191</v>
      </c>
      <c r="N325" s="159" t="n">
        <v>66</v>
      </c>
    </row>
    <row r="326" customFormat="false" ht="12.75" hidden="false" customHeight="false" outlineLevel="0" collapsed="false">
      <c r="A326" s="140"/>
      <c r="B326" s="141"/>
      <c r="C326" s="142"/>
      <c r="D326" s="143"/>
      <c r="E326" s="143"/>
      <c r="F326" s="144" t="n">
        <v>0</v>
      </c>
      <c r="G326" s="44"/>
      <c r="H326" s="44"/>
      <c r="I326" s="64"/>
      <c r="J326" s="154"/>
      <c r="K326" s="146"/>
      <c r="L326" s="147"/>
      <c r="M326" s="155"/>
      <c r="N326" s="159"/>
    </row>
    <row r="327" customFormat="false" ht="12.75" hidden="false" customHeight="false" outlineLevel="0" collapsed="false">
      <c r="A327" s="140" t="n">
        <v>46066</v>
      </c>
      <c r="B327" s="141" t="s">
        <v>70</v>
      </c>
      <c r="C327" s="142" t="s">
        <v>69</v>
      </c>
      <c r="D327" s="143" t="s">
        <v>70</v>
      </c>
      <c r="E327" s="143" t="s">
        <v>83</v>
      </c>
      <c r="F327" s="144" t="n">
        <v>-16.6666666666667</v>
      </c>
      <c r="G327" s="44" t="n">
        <v>120</v>
      </c>
      <c r="H327" s="44" t="n">
        <v>177.9</v>
      </c>
      <c r="I327" s="64" t="n">
        <v>0</v>
      </c>
      <c r="J327" s="154" t="n">
        <v>-0.325463743676223</v>
      </c>
      <c r="K327" s="146" t="n">
        <v>0.156761330055071</v>
      </c>
      <c r="L327" s="147" t="n">
        <v>2000</v>
      </c>
      <c r="M327" s="155" t="n">
        <v>46374</v>
      </c>
      <c r="N327" s="159" t="n">
        <v>249</v>
      </c>
    </row>
    <row r="328" customFormat="false" ht="12.75" hidden="false" customHeight="false" outlineLevel="0" collapsed="false">
      <c r="A328" s="140" t="n">
        <v>46084</v>
      </c>
      <c r="B328" s="141" t="s">
        <v>70</v>
      </c>
      <c r="C328" s="142" t="s">
        <v>69</v>
      </c>
      <c r="D328" s="143" t="s">
        <v>70</v>
      </c>
      <c r="E328" s="143" t="s">
        <v>83</v>
      </c>
      <c r="F328" s="144" t="n">
        <v>-13.3333333333333</v>
      </c>
      <c r="G328" s="44" t="n">
        <v>110</v>
      </c>
      <c r="H328" s="44" t="n">
        <v>177.9</v>
      </c>
      <c r="I328" s="64" t="n">
        <v>0</v>
      </c>
      <c r="J328" s="154" t="n">
        <v>-0.381675098369871</v>
      </c>
      <c r="K328" s="146" t="n">
        <v>0.105129908670609</v>
      </c>
      <c r="L328" s="147" t="n">
        <v>1466.66666666667</v>
      </c>
      <c r="M328" s="155" t="n">
        <v>46374</v>
      </c>
      <c r="N328" s="159" t="n">
        <v>249</v>
      </c>
    </row>
    <row r="329" customFormat="false" ht="12.75" hidden="false" customHeight="false" outlineLevel="0" collapsed="false">
      <c r="A329" s="140" t="n">
        <v>46094</v>
      </c>
      <c r="B329" s="141" t="s">
        <v>77</v>
      </c>
      <c r="C329" s="142" t="s">
        <v>69</v>
      </c>
      <c r="D329" s="143" t="s">
        <v>70</v>
      </c>
      <c r="E329" s="143" t="s">
        <v>83</v>
      </c>
      <c r="F329" s="144" t="n">
        <v>-13.3333333333333</v>
      </c>
      <c r="G329" s="44" t="n">
        <v>105</v>
      </c>
      <c r="H329" s="44" t="n">
        <v>177.9</v>
      </c>
      <c r="I329" s="64" t="n">
        <v>0</v>
      </c>
      <c r="J329" s="154" t="n">
        <v>-0.409780775716695</v>
      </c>
      <c r="K329" s="146" t="n">
        <v>0.0832044455859373</v>
      </c>
      <c r="L329" s="147" t="n">
        <v>1400</v>
      </c>
      <c r="M329" s="155" t="n">
        <v>46374</v>
      </c>
      <c r="N329" s="159" t="n">
        <v>249</v>
      </c>
    </row>
    <row r="330" customFormat="false" ht="12.75" hidden="false" customHeight="false" outlineLevel="0" collapsed="false">
      <c r="A330" s="140" t="n">
        <v>45992</v>
      </c>
      <c r="B330" s="141" t="s">
        <v>81</v>
      </c>
      <c r="C330" s="142" t="s">
        <v>69</v>
      </c>
      <c r="D330" s="143" t="s">
        <v>70</v>
      </c>
      <c r="E330" s="143" t="s">
        <v>83</v>
      </c>
      <c r="F330" s="144" t="n">
        <v>-23.3333333333333</v>
      </c>
      <c r="G330" s="44" t="n">
        <v>75</v>
      </c>
      <c r="H330" s="44" t="n">
        <v>177.9</v>
      </c>
      <c r="I330" s="64" t="n">
        <v>0</v>
      </c>
      <c r="J330" s="154" t="n">
        <v>-0.578414839797639</v>
      </c>
      <c r="K330" s="146" t="n">
        <v>0.00987081366840714</v>
      </c>
      <c r="L330" s="147" t="n">
        <v>1750</v>
      </c>
      <c r="M330" s="155" t="n">
        <v>46374</v>
      </c>
      <c r="N330" s="159" t="n">
        <v>249</v>
      </c>
    </row>
    <row r="331" customFormat="false" ht="12.75" hidden="false" customHeight="false" outlineLevel="0" collapsed="false">
      <c r="A331" s="140"/>
      <c r="B331" s="141"/>
      <c r="C331" s="142"/>
      <c r="D331" s="143"/>
      <c r="E331" s="143"/>
      <c r="F331" s="144" t="n">
        <v>0</v>
      </c>
      <c r="G331" s="44"/>
      <c r="H331" s="44"/>
      <c r="I331" s="64"/>
      <c r="J331" s="154"/>
      <c r="K331" s="146"/>
      <c r="L331" s="147" t="n">
        <v>0</v>
      </c>
      <c r="M331" s="148"/>
      <c r="N331" s="159"/>
    </row>
    <row r="332" customFormat="false" ht="12.75" hidden="false" customHeight="false" outlineLevel="0" collapsed="false">
      <c r="A332" s="140" t="n">
        <v>46013</v>
      </c>
      <c r="B332" s="141" t="s">
        <v>70</v>
      </c>
      <c r="C332" s="142" t="s">
        <v>69</v>
      </c>
      <c r="D332" s="143" t="s">
        <v>91</v>
      </c>
      <c r="E332" s="143" t="s">
        <v>92</v>
      </c>
      <c r="F332" s="144" t="n">
        <v>-2</v>
      </c>
      <c r="G332" s="44" t="n">
        <v>300</v>
      </c>
      <c r="H332" s="44" t="n">
        <v>351.405</v>
      </c>
      <c r="I332" s="64" t="n">
        <v>0</v>
      </c>
      <c r="J332" s="154" t="n">
        <v>-0.146284201989158</v>
      </c>
      <c r="K332" s="146" t="n">
        <v>0.352604737735252</v>
      </c>
      <c r="L332" s="147" t="n">
        <v>600</v>
      </c>
      <c r="M332" s="155" t="n">
        <v>46374</v>
      </c>
      <c r="N332" s="159" t="n">
        <v>249</v>
      </c>
    </row>
    <row r="333" customFormat="false" ht="12.75" hidden="false" customHeight="false" outlineLevel="0" collapsed="false">
      <c r="A333" s="140" t="n">
        <v>46050</v>
      </c>
      <c r="B333" s="141" t="s">
        <v>77</v>
      </c>
      <c r="C333" s="142" t="s">
        <v>69</v>
      </c>
      <c r="D333" s="143" t="s">
        <v>91</v>
      </c>
      <c r="E333" s="143" t="s">
        <v>92</v>
      </c>
      <c r="F333" s="144" t="n">
        <v>-3</v>
      </c>
      <c r="G333" s="44" t="n">
        <v>230</v>
      </c>
      <c r="H333" s="44" t="n">
        <v>351.405</v>
      </c>
      <c r="I333" s="64" t="n">
        <v>0</v>
      </c>
      <c r="J333" s="154" t="n">
        <v>-0.345484554858354</v>
      </c>
      <c r="K333" s="146" t="n">
        <v>0.122431359476725</v>
      </c>
      <c r="L333" s="147" t="n">
        <v>690</v>
      </c>
      <c r="M333" s="155" t="n">
        <v>46374</v>
      </c>
      <c r="N333" s="159" t="n">
        <v>249</v>
      </c>
    </row>
    <row r="334" customFormat="false" ht="12.75" hidden="false" customHeight="false" outlineLevel="0" collapsed="false">
      <c r="A334" s="140" t="n">
        <v>46076</v>
      </c>
      <c r="B334" s="141" t="s">
        <v>77</v>
      </c>
      <c r="C334" s="142" t="s">
        <v>69</v>
      </c>
      <c r="D334" s="143" t="s">
        <v>91</v>
      </c>
      <c r="E334" s="143" t="s">
        <v>92</v>
      </c>
      <c r="F334" s="144" t="n">
        <v>-4</v>
      </c>
      <c r="G334" s="44" t="n">
        <v>220</v>
      </c>
      <c r="H334" s="44" t="n">
        <v>351.405</v>
      </c>
      <c r="I334" s="64" t="n">
        <v>0</v>
      </c>
      <c r="J334" s="154" t="n">
        <v>-0.373941748125382</v>
      </c>
      <c r="K334" s="146" t="n">
        <v>0.0978009317485208</v>
      </c>
      <c r="L334" s="147" t="n">
        <v>880</v>
      </c>
      <c r="M334" s="155" t="n">
        <v>46374</v>
      </c>
      <c r="N334" s="159" t="n">
        <v>249</v>
      </c>
    </row>
    <row r="335" customFormat="false" ht="12.75" hidden="false" customHeight="false" outlineLevel="0" collapsed="false">
      <c r="A335" s="140" t="n">
        <v>46091</v>
      </c>
      <c r="B335" s="141" t="s">
        <v>77</v>
      </c>
      <c r="C335" s="142" t="s">
        <v>69</v>
      </c>
      <c r="D335" s="143" t="s">
        <v>91</v>
      </c>
      <c r="E335" s="143" t="s">
        <v>92</v>
      </c>
      <c r="F335" s="144" t="n">
        <v>-4</v>
      </c>
      <c r="G335" s="44" t="n">
        <v>210</v>
      </c>
      <c r="H335" s="44" t="n">
        <v>351.405</v>
      </c>
      <c r="I335" s="64" t="n">
        <v>0</v>
      </c>
      <c r="J335" s="154" t="n">
        <v>-0.40239894139241</v>
      </c>
      <c r="K335" s="146" t="n">
        <v>0.0761352559397052</v>
      </c>
      <c r="L335" s="147" t="n">
        <v>840</v>
      </c>
      <c r="M335" s="155" t="n">
        <v>46374</v>
      </c>
      <c r="N335" s="159" t="n">
        <v>249</v>
      </c>
    </row>
    <row r="336" customFormat="false" ht="12.75" hidden="false" customHeight="false" outlineLevel="0" collapsed="false">
      <c r="A336" s="140" t="n">
        <v>46078</v>
      </c>
      <c r="B336" s="141" t="s">
        <v>22</v>
      </c>
      <c r="C336" s="142" t="s">
        <v>69</v>
      </c>
      <c r="D336" s="143" t="s">
        <v>91</v>
      </c>
      <c r="E336" s="143" t="s">
        <v>92</v>
      </c>
      <c r="F336" s="144" t="n">
        <v>-4</v>
      </c>
      <c r="G336" s="44" t="n">
        <v>200</v>
      </c>
      <c r="H336" s="44" t="n">
        <v>351.405</v>
      </c>
      <c r="I336" s="64" t="n">
        <v>0</v>
      </c>
      <c r="J336" s="154" t="n">
        <v>-0.430856134659439</v>
      </c>
      <c r="K336" s="146" t="n">
        <v>0.0575550149618963</v>
      </c>
      <c r="L336" s="147" t="n">
        <v>800</v>
      </c>
      <c r="M336" s="155" t="n">
        <v>46374</v>
      </c>
      <c r="N336" s="159" t="n">
        <v>249</v>
      </c>
    </row>
    <row r="337" customFormat="false" ht="12.75" hidden="false" customHeight="false" outlineLevel="0" collapsed="false">
      <c r="A337" s="140"/>
      <c r="B337" s="141"/>
      <c r="C337" s="142"/>
      <c r="D337" s="143"/>
      <c r="E337" s="143"/>
      <c r="F337" s="144" t="n">
        <v>0</v>
      </c>
      <c r="G337" s="44"/>
      <c r="H337" s="44"/>
      <c r="I337" s="64"/>
      <c r="J337" s="154"/>
      <c r="K337" s="146"/>
      <c r="L337" s="147"/>
      <c r="M337" s="155"/>
      <c r="N337" s="159"/>
    </row>
    <row r="338" customFormat="false" ht="12.75" hidden="false" customHeight="false" outlineLevel="0" collapsed="false">
      <c r="A338" s="140" t="n">
        <v>46003</v>
      </c>
      <c r="B338" s="141" t="s">
        <v>77</v>
      </c>
      <c r="C338" s="142" t="s">
        <v>69</v>
      </c>
      <c r="D338" s="143" t="s">
        <v>112</v>
      </c>
      <c r="E338" s="143" t="s">
        <v>113</v>
      </c>
      <c r="F338" s="144" t="n">
        <v>-5</v>
      </c>
      <c r="G338" s="44" t="n">
        <v>235</v>
      </c>
      <c r="H338" s="44" t="n">
        <v>316.26</v>
      </c>
      <c r="I338" s="64" t="n">
        <v>0</v>
      </c>
      <c r="J338" s="154" t="n">
        <v>-0.256940492000253</v>
      </c>
      <c r="K338" s="146" t="n">
        <v>0.0592876400941855</v>
      </c>
      <c r="L338" s="147" t="n">
        <v>1175</v>
      </c>
      <c r="M338" s="155" t="n">
        <v>46191</v>
      </c>
      <c r="N338" s="159" t="n">
        <v>66</v>
      </c>
    </row>
    <row r="339" customFormat="false" ht="12.75" hidden="false" customHeight="false" outlineLevel="0" collapsed="false">
      <c r="A339" s="140" t="n">
        <v>46006</v>
      </c>
      <c r="B339" s="141" t="s">
        <v>77</v>
      </c>
      <c r="C339" s="142" t="s">
        <v>69</v>
      </c>
      <c r="D339" s="143" t="s">
        <v>112</v>
      </c>
      <c r="E339" s="143" t="s">
        <v>113</v>
      </c>
      <c r="F339" s="144" t="n">
        <v>-5</v>
      </c>
      <c r="G339" s="44" t="n">
        <v>230</v>
      </c>
      <c r="H339" s="44" t="n">
        <v>316.26</v>
      </c>
      <c r="I339" s="64" t="n">
        <v>0</v>
      </c>
      <c r="J339" s="154" t="n">
        <v>-0.272750268766205</v>
      </c>
      <c r="K339" s="146" t="n">
        <v>0.0467135648671601</v>
      </c>
      <c r="L339" s="147" t="n">
        <v>1150</v>
      </c>
      <c r="M339" s="155" t="n">
        <v>46191</v>
      </c>
      <c r="N339" s="159" t="n">
        <v>66</v>
      </c>
    </row>
    <row r="340" customFormat="false" ht="12.75" hidden="false" customHeight="false" outlineLevel="0" collapsed="false">
      <c r="A340" s="140"/>
      <c r="B340" s="141"/>
      <c r="C340" s="142"/>
      <c r="D340" s="143"/>
      <c r="E340" s="143"/>
      <c r="F340" s="144" t="n">
        <v>0</v>
      </c>
      <c r="G340" s="44"/>
      <c r="H340" s="44"/>
      <c r="I340" s="64" t="n">
        <v>0</v>
      </c>
      <c r="J340" s="154"/>
      <c r="K340" s="146"/>
      <c r="L340" s="147"/>
      <c r="M340" s="155"/>
      <c r="N340" s="159"/>
    </row>
    <row r="341" customFormat="false" ht="12.75" hidden="false" customHeight="false" outlineLevel="0" collapsed="false">
      <c r="A341" s="140"/>
      <c r="B341" s="141"/>
      <c r="C341" s="142" t="s">
        <v>69</v>
      </c>
      <c r="D341" s="143" t="s">
        <v>79</v>
      </c>
      <c r="E341" s="143" t="s">
        <v>80</v>
      </c>
      <c r="F341" s="144" t="n">
        <v>0</v>
      </c>
      <c r="G341" s="44"/>
      <c r="H341" s="44" t="n">
        <v>231.38</v>
      </c>
      <c r="I341" s="64" t="n">
        <v>0</v>
      </c>
      <c r="J341" s="154" t="n">
        <v>0</v>
      </c>
      <c r="K341" s="146" t="n">
        <v>0</v>
      </c>
      <c r="L341" s="147" t="n">
        <v>0</v>
      </c>
      <c r="M341" s="155"/>
      <c r="N341" s="159"/>
    </row>
    <row r="342" customFormat="false" ht="12.75" hidden="false" customHeight="false" outlineLevel="0" collapsed="false">
      <c r="A342" s="140"/>
      <c r="B342" s="141"/>
      <c r="C342" s="142" t="s">
        <v>69</v>
      </c>
      <c r="D342" s="143" t="s">
        <v>79</v>
      </c>
      <c r="E342" s="143" t="s">
        <v>80</v>
      </c>
      <c r="F342" s="144" t="n">
        <v>0</v>
      </c>
      <c r="G342" s="44"/>
      <c r="H342" s="44" t="n">
        <v>231.38</v>
      </c>
      <c r="I342" s="64" t="n">
        <v>0</v>
      </c>
      <c r="J342" s="154" t="n">
        <v>0</v>
      </c>
      <c r="K342" s="146" t="n">
        <v>0</v>
      </c>
      <c r="L342" s="147" t="n">
        <v>0</v>
      </c>
      <c r="M342" s="155"/>
      <c r="N342" s="159"/>
    </row>
    <row r="343" customFormat="false" ht="12.75" hidden="false" customHeight="false" outlineLevel="0" collapsed="false">
      <c r="A343" s="140"/>
      <c r="B343" s="141"/>
      <c r="C343" s="142"/>
      <c r="D343" s="143"/>
      <c r="E343" s="143"/>
      <c r="F343" s="144" t="n">
        <v>0</v>
      </c>
      <c r="G343" s="44"/>
      <c r="H343" s="44"/>
      <c r="I343" s="64" t="n">
        <v>0</v>
      </c>
      <c r="J343" s="154"/>
      <c r="K343" s="146"/>
      <c r="L343" s="147" t="n">
        <v>0</v>
      </c>
      <c r="M343" s="155"/>
      <c r="N343" s="159"/>
    </row>
    <row r="344" customFormat="false" ht="12.75" hidden="false" customHeight="false" outlineLevel="0" collapsed="false">
      <c r="A344" s="140" t="n">
        <v>46045</v>
      </c>
      <c r="B344" s="141" t="s">
        <v>77</v>
      </c>
      <c r="C344" s="142" t="s">
        <v>69</v>
      </c>
      <c r="D344" s="143" t="s">
        <v>86</v>
      </c>
      <c r="E344" s="143" t="s">
        <v>87</v>
      </c>
      <c r="F344" s="144" t="n">
        <v>-6.66666666666667</v>
      </c>
      <c r="G344" s="44" t="n">
        <v>144</v>
      </c>
      <c r="H344" s="44" t="n">
        <v>188.34</v>
      </c>
      <c r="I344" s="64" t="n">
        <v>0</v>
      </c>
      <c r="J344" s="154" t="n">
        <v>-0.235425294679834</v>
      </c>
      <c r="K344" s="146" t="n">
        <v>0.127951331699078</v>
      </c>
      <c r="L344" s="147" t="n">
        <v>960</v>
      </c>
      <c r="M344" s="155" t="n">
        <v>46191</v>
      </c>
      <c r="N344" s="159" t="n">
        <v>66</v>
      </c>
    </row>
    <row r="345" customFormat="false" ht="12.75" hidden="false" customHeight="false" outlineLevel="0" collapsed="false">
      <c r="A345" s="140" t="n">
        <v>46015</v>
      </c>
      <c r="B345" s="141" t="s">
        <v>70</v>
      </c>
      <c r="C345" s="142" t="s">
        <v>69</v>
      </c>
      <c r="D345" s="143" t="s">
        <v>86</v>
      </c>
      <c r="E345" s="143" t="s">
        <v>87</v>
      </c>
      <c r="F345" s="144" t="n">
        <v>-6.66666666666667</v>
      </c>
      <c r="G345" s="44" t="n">
        <v>125</v>
      </c>
      <c r="H345" s="44" t="n">
        <v>188.34</v>
      </c>
      <c r="I345" s="64" t="n">
        <v>0</v>
      </c>
      <c r="J345" s="154" t="n">
        <v>-0.336306679409579</v>
      </c>
      <c r="K345" s="146" t="n">
        <v>0.0378623722933252</v>
      </c>
      <c r="L345" s="147" t="n">
        <v>833.333333333333</v>
      </c>
      <c r="M345" s="155" t="n">
        <v>46191</v>
      </c>
      <c r="N345" s="159" t="n">
        <v>66</v>
      </c>
    </row>
    <row r="346" customFormat="false" ht="12.75" hidden="false" customHeight="false" outlineLevel="0" collapsed="false">
      <c r="A346" s="140"/>
      <c r="B346" s="141"/>
      <c r="C346" s="142"/>
      <c r="D346" s="143"/>
      <c r="E346" s="143"/>
      <c r="F346" s="144" t="n">
        <v>0</v>
      </c>
      <c r="G346" s="44"/>
      <c r="H346" s="44"/>
      <c r="I346" s="64"/>
      <c r="J346" s="154"/>
      <c r="K346" s="146"/>
      <c r="L346" s="147"/>
      <c r="M346" s="155"/>
      <c r="N346" s="159"/>
    </row>
    <row r="347" customFormat="false" ht="12.75" hidden="false" customHeight="false" outlineLevel="0" collapsed="false">
      <c r="A347" s="140" t="n">
        <v>46090</v>
      </c>
      <c r="B347" s="141" t="s">
        <v>22</v>
      </c>
      <c r="C347" s="142" t="s">
        <v>69</v>
      </c>
      <c r="D347" s="143" t="s">
        <v>86</v>
      </c>
      <c r="E347" s="143" t="s">
        <v>87</v>
      </c>
      <c r="F347" s="144" t="n">
        <v>-10</v>
      </c>
      <c r="G347" s="44" t="n">
        <v>125</v>
      </c>
      <c r="H347" s="44" t="n">
        <v>188.34</v>
      </c>
      <c r="I347" s="64" t="n">
        <v>0</v>
      </c>
      <c r="J347" s="154" t="n">
        <v>-0.336306679409579</v>
      </c>
      <c r="K347" s="146" t="n">
        <v>0.210915260264727</v>
      </c>
      <c r="L347" s="147" t="n">
        <v>1250</v>
      </c>
      <c r="M347" s="155" t="n">
        <v>46374</v>
      </c>
      <c r="N347" s="159" t="n">
        <v>249</v>
      </c>
    </row>
    <row r="348" customFormat="false" ht="12.75" hidden="false" customHeight="false" outlineLevel="0" collapsed="false">
      <c r="A348" s="140" t="n">
        <v>46013</v>
      </c>
      <c r="B348" s="141" t="s">
        <v>70</v>
      </c>
      <c r="C348" s="142" t="s">
        <v>69</v>
      </c>
      <c r="D348" s="143" t="s">
        <v>86</v>
      </c>
      <c r="E348" s="143" t="s">
        <v>87</v>
      </c>
      <c r="F348" s="144" t="n">
        <v>-10</v>
      </c>
      <c r="G348" s="44" t="n">
        <v>120</v>
      </c>
      <c r="H348" s="44" t="n">
        <v>188.34</v>
      </c>
      <c r="I348" s="64" t="n">
        <v>0</v>
      </c>
      <c r="J348" s="154" t="n">
        <v>-0.362854412233195</v>
      </c>
      <c r="K348" s="146" t="n">
        <v>0.184513785381503</v>
      </c>
      <c r="L348" s="147" t="n">
        <v>1200</v>
      </c>
      <c r="M348" s="155" t="n">
        <v>46374</v>
      </c>
      <c r="N348" s="159" t="n">
        <v>249</v>
      </c>
    </row>
    <row r="349" customFormat="false" ht="12.75" hidden="false" customHeight="false" outlineLevel="0" collapsed="false">
      <c r="A349" s="140" t="n">
        <v>46050</v>
      </c>
      <c r="B349" s="141" t="s">
        <v>77</v>
      </c>
      <c r="C349" s="142" t="s">
        <v>69</v>
      </c>
      <c r="D349" s="143" t="s">
        <v>86</v>
      </c>
      <c r="E349" s="143" t="s">
        <v>87</v>
      </c>
      <c r="F349" s="144" t="n">
        <v>-10</v>
      </c>
      <c r="G349" s="44" t="n">
        <v>115</v>
      </c>
      <c r="H349" s="44" t="n">
        <v>188.34</v>
      </c>
      <c r="I349" s="64" t="n">
        <v>0</v>
      </c>
      <c r="J349" s="154" t="n">
        <v>-0.389402145056812</v>
      </c>
      <c r="K349" s="146" t="n">
        <v>0.15928788000696</v>
      </c>
      <c r="L349" s="147" t="n">
        <v>1150</v>
      </c>
      <c r="M349" s="155" t="n">
        <v>46374</v>
      </c>
      <c r="N349" s="159" t="n">
        <v>249</v>
      </c>
    </row>
    <row r="350" customFormat="false" ht="12.75" hidden="false" customHeight="false" outlineLevel="0" collapsed="false">
      <c r="A350" s="140" t="n">
        <v>46077</v>
      </c>
      <c r="B350" s="141" t="s">
        <v>22</v>
      </c>
      <c r="C350" s="142" t="s">
        <v>69</v>
      </c>
      <c r="D350" s="143" t="s">
        <v>86</v>
      </c>
      <c r="E350" s="143" t="s">
        <v>87</v>
      </c>
      <c r="F350" s="144" t="n">
        <v>-11.6666666666667</v>
      </c>
      <c r="G350" s="44" t="n">
        <v>110</v>
      </c>
      <c r="H350" s="44" t="n">
        <v>188.34</v>
      </c>
      <c r="I350" s="64" t="n">
        <v>0</v>
      </c>
      <c r="J350" s="154" t="n">
        <v>-0.415949877880429</v>
      </c>
      <c r="K350" s="146" t="n">
        <v>0.135472911428591</v>
      </c>
      <c r="L350" s="147" t="n">
        <v>1283.33333333333</v>
      </c>
      <c r="M350" s="155" t="n">
        <v>46374</v>
      </c>
      <c r="N350" s="159" t="n">
        <v>249</v>
      </c>
    </row>
    <row r="351" customFormat="false" ht="12.75" hidden="false" customHeight="false" outlineLevel="0" collapsed="false">
      <c r="A351" s="140" t="n">
        <v>45993</v>
      </c>
      <c r="B351" s="141" t="s">
        <v>70</v>
      </c>
      <c r="C351" s="142" t="s">
        <v>69</v>
      </c>
      <c r="D351" s="143" t="s">
        <v>86</v>
      </c>
      <c r="E351" s="143" t="s">
        <v>87</v>
      </c>
      <c r="F351" s="144" t="n">
        <v>-10</v>
      </c>
      <c r="G351" s="44" t="n">
        <v>100</v>
      </c>
      <c r="H351" s="44" t="n">
        <v>188.34</v>
      </c>
      <c r="I351" s="64" t="n">
        <v>0</v>
      </c>
      <c r="J351" s="154" t="n">
        <v>-0.469045343527663</v>
      </c>
      <c r="K351" s="146" t="n">
        <v>0.0929509452789556</v>
      </c>
      <c r="L351" s="147" t="n">
        <v>1000</v>
      </c>
      <c r="M351" s="155" t="n">
        <v>46374</v>
      </c>
      <c r="N351" s="159" t="n">
        <v>249</v>
      </c>
    </row>
    <row r="352" customFormat="false" ht="12.75" hidden="false" customHeight="false" outlineLevel="0" collapsed="false">
      <c r="A352" s="140" t="n">
        <v>46077</v>
      </c>
      <c r="B352" s="141" t="s">
        <v>70</v>
      </c>
      <c r="C352" s="142" t="s">
        <v>69</v>
      </c>
      <c r="D352" s="143" t="s">
        <v>86</v>
      </c>
      <c r="E352" s="143" t="s">
        <v>87</v>
      </c>
      <c r="F352" s="144" t="n">
        <v>-11.6666666666667</v>
      </c>
      <c r="G352" s="44" t="n">
        <v>95</v>
      </c>
      <c r="H352" s="44" t="n">
        <v>188.34</v>
      </c>
      <c r="I352" s="64" t="n">
        <v>0</v>
      </c>
      <c r="J352" s="154" t="n">
        <v>-0.49559307635128</v>
      </c>
      <c r="K352" s="146" t="n">
        <v>0.0746191126215683</v>
      </c>
      <c r="L352" s="147" t="n">
        <v>1108.33333333333</v>
      </c>
      <c r="M352" s="155" t="n">
        <v>46374</v>
      </c>
      <c r="N352" s="159" t="n">
        <v>249</v>
      </c>
    </row>
    <row r="353" customFormat="false" ht="12.75" hidden="false" customHeight="false" outlineLevel="0" collapsed="false">
      <c r="A353" s="140" t="n">
        <v>46080</v>
      </c>
      <c r="B353" s="141" t="s">
        <v>70</v>
      </c>
      <c r="C353" s="142" t="s">
        <v>69</v>
      </c>
      <c r="D353" s="143" t="s">
        <v>86</v>
      </c>
      <c r="E353" s="143" t="s">
        <v>87</v>
      </c>
      <c r="F353" s="144" t="n">
        <v>-11.6666666666667</v>
      </c>
      <c r="G353" s="44" t="n">
        <v>90</v>
      </c>
      <c r="H353" s="44" t="n">
        <v>188.34</v>
      </c>
      <c r="I353" s="64" t="n">
        <v>0</v>
      </c>
      <c r="J353" s="154" t="n">
        <v>-0.522140809174897</v>
      </c>
      <c r="K353" s="146" t="n">
        <v>0.0584273305445405</v>
      </c>
      <c r="L353" s="147" t="n">
        <v>1050</v>
      </c>
      <c r="M353" s="155" t="n">
        <v>46374</v>
      </c>
      <c r="N353" s="159" t="n">
        <v>249</v>
      </c>
    </row>
    <row r="354" customFormat="false" ht="12.75" hidden="false" customHeight="false" outlineLevel="0" collapsed="false">
      <c r="A354" s="140"/>
      <c r="B354" s="141"/>
      <c r="C354" s="142"/>
      <c r="D354" s="143"/>
      <c r="E354" s="143"/>
      <c r="F354" s="144" t="n">
        <v>0</v>
      </c>
      <c r="G354" s="44"/>
      <c r="H354" s="44"/>
      <c r="I354" s="64"/>
      <c r="J354" s="154"/>
      <c r="K354" s="146"/>
      <c r="L354" s="147"/>
      <c r="M354" s="148"/>
      <c r="N354" s="159"/>
    </row>
    <row r="355" customFormat="false" ht="12.75" hidden="false" customHeight="false" outlineLevel="0" collapsed="false">
      <c r="A355" s="140" t="n">
        <v>46006</v>
      </c>
      <c r="B355" s="141" t="s">
        <v>77</v>
      </c>
      <c r="C355" s="142" t="s">
        <v>69</v>
      </c>
      <c r="D355" s="143" t="s">
        <v>78</v>
      </c>
      <c r="E355" s="143" t="s">
        <v>78</v>
      </c>
      <c r="F355" s="144" t="n">
        <v>-4.66666666666667</v>
      </c>
      <c r="G355" s="44" t="n">
        <v>200</v>
      </c>
      <c r="H355" s="44" t="n">
        <v>257.48</v>
      </c>
      <c r="I355" s="64" t="n">
        <v>0</v>
      </c>
      <c r="J355" s="154" t="n">
        <v>-0.223240640049713</v>
      </c>
      <c r="K355" s="146" t="n">
        <v>0.0647141322140128</v>
      </c>
      <c r="L355" s="147" t="n">
        <v>933.333333333333</v>
      </c>
      <c r="M355" s="155" t="n">
        <v>46191</v>
      </c>
      <c r="N355" s="159" t="n">
        <v>66</v>
      </c>
    </row>
    <row r="356" customFormat="false" ht="12.75" hidden="false" customHeight="false" outlineLevel="0" collapsed="false">
      <c r="A356" s="140" t="n">
        <v>46034</v>
      </c>
      <c r="B356" s="141" t="s">
        <v>70</v>
      </c>
      <c r="C356" s="142" t="s">
        <v>69</v>
      </c>
      <c r="D356" s="143" t="s">
        <v>78</v>
      </c>
      <c r="E356" s="143" t="s">
        <v>78</v>
      </c>
      <c r="F356" s="144" t="n">
        <v>-5</v>
      </c>
      <c r="G356" s="44" t="n">
        <v>190</v>
      </c>
      <c r="H356" s="44" t="n">
        <v>257.48</v>
      </c>
      <c r="I356" s="64" t="n">
        <v>0</v>
      </c>
      <c r="J356" s="154" t="n">
        <v>-0.262078608047227</v>
      </c>
      <c r="K356" s="146" t="n">
        <v>0.0335046843312453</v>
      </c>
      <c r="L356" s="147" t="n">
        <v>950</v>
      </c>
      <c r="M356" s="155" t="n">
        <v>46191</v>
      </c>
      <c r="N356" s="159" t="n">
        <v>66</v>
      </c>
    </row>
    <row r="357" customFormat="false" ht="12.75" hidden="false" customHeight="false" outlineLevel="0" collapsed="false">
      <c r="A357" s="140"/>
      <c r="B357" s="141"/>
      <c r="C357" s="142"/>
      <c r="D357" s="143"/>
      <c r="E357" s="143"/>
      <c r="F357" s="144" t="n">
        <v>0</v>
      </c>
      <c r="G357" s="44"/>
      <c r="H357" s="44"/>
      <c r="I357" s="64"/>
      <c r="J357" s="154"/>
      <c r="K357" s="146"/>
      <c r="L357" s="147"/>
      <c r="M357" s="155"/>
      <c r="N357" s="159"/>
    </row>
    <row r="358" customFormat="false" ht="12.75" hidden="false" customHeight="false" outlineLevel="0" collapsed="false">
      <c r="A358" s="140" t="n">
        <v>46098</v>
      </c>
      <c r="B358" s="141" t="s">
        <v>70</v>
      </c>
      <c r="C358" s="142" t="s">
        <v>69</v>
      </c>
      <c r="D358" s="143" t="s">
        <v>78</v>
      </c>
      <c r="E358" s="143" t="s">
        <v>78</v>
      </c>
      <c r="F358" s="144" t="n">
        <v>-8.33333333333333</v>
      </c>
      <c r="G358" s="44" t="n">
        <v>160</v>
      </c>
      <c r="H358" s="44" t="n">
        <v>257.48</v>
      </c>
      <c r="I358" s="64" t="n">
        <v>0</v>
      </c>
      <c r="J358" s="154" t="n">
        <v>-0.37859251203977</v>
      </c>
      <c r="K358" s="146" t="n">
        <v>0.0756482184423404</v>
      </c>
      <c r="L358" s="147" t="n">
        <v>1333.33333333333</v>
      </c>
      <c r="M358" s="155" t="n">
        <v>46374</v>
      </c>
      <c r="N358" s="159" t="n">
        <v>249</v>
      </c>
    </row>
    <row r="359" customFormat="false" ht="12.75" hidden="false" customHeight="false" outlineLevel="0" collapsed="false">
      <c r="A359" s="140"/>
      <c r="B359" s="141"/>
      <c r="C359" s="142"/>
      <c r="D359" s="143"/>
      <c r="E359" s="143"/>
      <c r="F359" s="144" t="n">
        <v>0</v>
      </c>
      <c r="G359" s="44"/>
      <c r="H359" s="44"/>
      <c r="I359" s="64"/>
      <c r="J359" s="154"/>
      <c r="K359" s="146"/>
      <c r="L359" s="147"/>
      <c r="M359" s="155"/>
      <c r="N359" s="159"/>
    </row>
    <row r="360" customFormat="false" ht="12.75" hidden="false" customHeight="false" outlineLevel="0" collapsed="false">
      <c r="A360" s="140"/>
      <c r="B360" s="141"/>
      <c r="C360" s="142"/>
      <c r="D360" s="143"/>
      <c r="E360" s="143"/>
      <c r="F360" s="144" t="n">
        <v>0</v>
      </c>
      <c r="G360" s="44"/>
      <c r="H360" s="44"/>
      <c r="I360" s="64"/>
      <c r="J360" s="154"/>
      <c r="K360" s="146"/>
      <c r="L360" s="147" t="n">
        <v>0</v>
      </c>
      <c r="M360" s="155"/>
      <c r="N360" s="159"/>
    </row>
    <row r="361" customFormat="false" ht="12.75" hidden="false" customHeight="false" outlineLevel="0" collapsed="false">
      <c r="A361" s="140" t="n">
        <v>46052</v>
      </c>
      <c r="B361" s="141" t="s">
        <v>77</v>
      </c>
      <c r="C361" s="142" t="s">
        <v>69</v>
      </c>
      <c r="D361" s="143" t="s">
        <v>88</v>
      </c>
      <c r="E361" s="143" t="s">
        <v>89</v>
      </c>
      <c r="F361" s="144" t="n">
        <v>-2.33333333333333</v>
      </c>
      <c r="G361" s="44" t="n">
        <v>320</v>
      </c>
      <c r="H361" s="44" t="n">
        <v>376.765</v>
      </c>
      <c r="I361" s="64" t="n">
        <v>0</v>
      </c>
      <c r="J361" s="154" t="n">
        <v>-0.150664207131766</v>
      </c>
      <c r="K361" s="146" t="n">
        <v>0.327709024054786</v>
      </c>
      <c r="L361" s="147" t="n">
        <v>746.666666666667</v>
      </c>
      <c r="M361" s="155" t="n">
        <v>46374</v>
      </c>
      <c r="N361" s="159" t="n">
        <v>249</v>
      </c>
    </row>
    <row r="362" customFormat="false" ht="12.75" hidden="false" customHeight="false" outlineLevel="0" collapsed="false">
      <c r="A362" s="140" t="n">
        <v>46059</v>
      </c>
      <c r="B362" s="141" t="s">
        <v>77</v>
      </c>
      <c r="C362" s="142" t="s">
        <v>69</v>
      </c>
      <c r="D362" s="143" t="s">
        <v>88</v>
      </c>
      <c r="E362" s="143" t="s">
        <v>89</v>
      </c>
      <c r="F362" s="144" t="n">
        <v>-3</v>
      </c>
      <c r="G362" s="44" t="n">
        <v>300</v>
      </c>
      <c r="H362" s="44" t="n">
        <v>376.765</v>
      </c>
      <c r="I362" s="64" t="n">
        <v>0</v>
      </c>
      <c r="J362" s="154" t="n">
        <v>-0.203747694186031</v>
      </c>
      <c r="K362" s="146" t="n">
        <v>0.257696666296696</v>
      </c>
      <c r="L362" s="147" t="n">
        <v>900</v>
      </c>
      <c r="M362" s="155" t="n">
        <v>46374</v>
      </c>
      <c r="N362" s="159" t="n">
        <v>249</v>
      </c>
    </row>
    <row r="363" customFormat="false" ht="12.75" hidden="false" customHeight="false" outlineLevel="0" collapsed="false">
      <c r="A363" s="140"/>
      <c r="B363" s="141"/>
      <c r="C363" s="142"/>
      <c r="D363" s="143"/>
      <c r="E363" s="143"/>
      <c r="F363" s="144" t="n">
        <v>0</v>
      </c>
      <c r="G363" s="44"/>
      <c r="H363" s="44"/>
      <c r="I363" s="64" t="n">
        <v>0</v>
      </c>
      <c r="J363" s="154"/>
      <c r="K363" s="146"/>
      <c r="L363" s="147" t="n">
        <v>0</v>
      </c>
      <c r="M363" s="155"/>
      <c r="N363" s="159"/>
    </row>
    <row r="364" customFormat="false" ht="12.75" hidden="false" customHeight="false" outlineLevel="0" collapsed="false">
      <c r="A364" s="140" t="n">
        <v>46100</v>
      </c>
      <c r="B364" s="141" t="s">
        <v>77</v>
      </c>
      <c r="C364" s="142" t="s">
        <v>69</v>
      </c>
      <c r="D364" s="143" t="s">
        <v>97</v>
      </c>
      <c r="E364" s="143" t="s">
        <v>97</v>
      </c>
      <c r="F364" s="144" t="n">
        <v>-3.33333333333333</v>
      </c>
      <c r="G364" s="44" t="n">
        <v>360</v>
      </c>
      <c r="H364" s="44" t="n">
        <v>627.72</v>
      </c>
      <c r="I364" s="64" t="n">
        <v>0</v>
      </c>
      <c r="J364" s="264" t="n">
        <v>-0.426495889887211</v>
      </c>
      <c r="K364" s="146" t="n">
        <v>0.0789722931482091</v>
      </c>
      <c r="L364" s="147" t="n">
        <v>1200</v>
      </c>
      <c r="M364" s="155" t="n">
        <v>46374</v>
      </c>
      <c r="N364" s="159" t="n">
        <v>249</v>
      </c>
    </row>
    <row r="365" customFormat="false" ht="12.75" hidden="false" customHeight="false" outlineLevel="0" collapsed="false">
      <c r="A365" s="140"/>
      <c r="B365" s="141"/>
      <c r="C365" s="142"/>
      <c r="D365" s="143"/>
      <c r="E365" s="143"/>
      <c r="F365" s="144" t="n">
        <v>0</v>
      </c>
      <c r="G365" s="44"/>
      <c r="H365" s="44"/>
      <c r="I365" s="64"/>
      <c r="J365" s="154"/>
      <c r="K365" s="146"/>
      <c r="L365" s="147"/>
      <c r="M365" s="155"/>
      <c r="N365" s="159"/>
    </row>
    <row r="366" customFormat="false" ht="12.75" hidden="false" customHeight="false" outlineLevel="0" collapsed="false">
      <c r="A366" s="187"/>
      <c r="B366" s="141"/>
      <c r="C366" s="142"/>
      <c r="D366" s="143"/>
      <c r="E366" s="143"/>
      <c r="F366" s="144" t="n">
        <v>0</v>
      </c>
      <c r="G366" s="44"/>
      <c r="H366" s="44"/>
      <c r="I366" s="64" t="n">
        <v>0</v>
      </c>
      <c r="J366" s="146"/>
      <c r="K366" s="146"/>
      <c r="L366" s="147"/>
      <c r="M366" s="148"/>
      <c r="N366" s="265"/>
    </row>
    <row r="367" customFormat="false" ht="12.75" hidden="false" customHeight="false" outlineLevel="0" collapsed="false">
      <c r="A367" s="199"/>
      <c r="B367" s="200"/>
      <c r="C367" s="201"/>
      <c r="D367" s="202"/>
      <c r="E367" s="202"/>
      <c r="F367" s="203"/>
      <c r="G367" s="245"/>
      <c r="H367" s="204"/>
      <c r="I367" s="206"/>
      <c r="J367" s="207"/>
      <c r="K367" s="207"/>
      <c r="L367" s="208"/>
      <c r="M367" s="209"/>
      <c r="N367" s="210"/>
    </row>
    <row r="368" customFormat="false" ht="12.75" hidden="false" customHeight="false" outlineLevel="0" collapsed="false">
      <c r="J368" s="266"/>
      <c r="K368" s="266"/>
      <c r="L368" s="267" t="n">
        <f aca="false">SUM(L269:L367)</f>
        <v>87973.3333333333</v>
      </c>
      <c r="N368" s="130"/>
    </row>
    <row r="369" customFormat="false" ht="12.75" hidden="false" customHeight="false" outlineLevel="0" collapsed="false">
      <c r="G369" s="14"/>
      <c r="J369" s="266"/>
      <c r="K369" s="266"/>
      <c r="L369" s="88"/>
      <c r="N369" s="130"/>
    </row>
    <row r="370" customFormat="false" ht="12.75" hidden="false" customHeight="false" outlineLevel="0" collapsed="false">
      <c r="J370" s="266"/>
      <c r="K370" s="266"/>
      <c r="L370" s="88"/>
      <c r="N370" s="130"/>
    </row>
    <row r="371" customFormat="false" ht="12.75" hidden="false" customHeight="false" outlineLevel="0" collapsed="false">
      <c r="F371" s="268"/>
      <c r="H371" s="161" t="s">
        <v>31</v>
      </c>
      <c r="I371" s="239" t="n">
        <f aca="false">SUM(I119:I368)</f>
        <v>0</v>
      </c>
      <c r="K371" s="114"/>
      <c r="L371" s="239" t="n">
        <f aca="false">+L368+L266</f>
        <v>87973.3333333333</v>
      </c>
      <c r="M371" s="269" t="n">
        <f aca="false">SUM(I245:I366)</f>
        <v>0</v>
      </c>
      <c r="N371" s="270" t="n">
        <f aca="false">AVERAGE(N120:N366)</f>
        <v>211.19801980198</v>
      </c>
    </row>
    <row r="372" customFormat="false" ht="12.75" hidden="false" customHeight="false" outlineLevel="0" collapsed="false">
      <c r="F372" s="271"/>
      <c r="K372" s="114"/>
      <c r="L372" s="272" t="n">
        <f aca="false">+I371/(L371-L119)</f>
        <v>0</v>
      </c>
      <c r="N372" s="130"/>
    </row>
    <row r="373" customFormat="false" ht="17.35" hidden="false" customHeight="false" outlineLevel="0" collapsed="false">
      <c r="D373" s="273"/>
      <c r="E373" s="274"/>
      <c r="F373" s="275"/>
      <c r="G373" s="275"/>
      <c r="H373" s="110" t="s">
        <v>124</v>
      </c>
      <c r="I373" s="276" t="n">
        <f aca="false">SUM(I270:I366)</f>
        <v>0</v>
      </c>
      <c r="K373" s="114"/>
      <c r="N373" s="130"/>
    </row>
    <row r="374" customFormat="false" ht="17.35" hidden="false" customHeight="false" outlineLevel="0" collapsed="false">
      <c r="D374" s="178"/>
      <c r="E374" s="277"/>
      <c r="F374" s="277"/>
      <c r="G374" s="274"/>
      <c r="H374" s="278" t="s">
        <v>125</v>
      </c>
      <c r="I374" s="276" t="n">
        <f aca="false">SUM(I245:I264)</f>
        <v>0</v>
      </c>
      <c r="K374" s="114"/>
      <c r="L374" s="279"/>
      <c r="N374" s="130"/>
    </row>
    <row r="375" customFormat="false" ht="12.75" hidden="false" customHeight="false" outlineLevel="0" collapsed="false">
      <c r="I375" s="276"/>
      <c r="K375" s="114"/>
      <c r="N375" s="130"/>
    </row>
    <row r="377" customFormat="false" ht="12.75" hidden="false" customHeight="false" outlineLevel="0" collapsed="false">
      <c r="J377" s="130"/>
      <c r="K377" s="36"/>
      <c r="L377" s="130"/>
      <c r="N377" s="280"/>
    </row>
    <row r="378" customFormat="false" ht="12.75" hidden="false" customHeight="false" outlineLevel="0" collapsed="false">
      <c r="J378" s="130"/>
      <c r="K378" s="130"/>
      <c r="L378" s="130"/>
      <c r="N378" s="280"/>
    </row>
    <row r="379" customFormat="false" ht="12.75" hidden="false" customHeight="false" outlineLevel="0" collapsed="false">
      <c r="B379" s="13"/>
      <c r="J379" s="130"/>
      <c r="K379" s="130"/>
      <c r="L379" s="130"/>
      <c r="N379" s="280"/>
    </row>
    <row r="380" customFormat="false" ht="12.75" hidden="false" customHeight="false" outlineLevel="0" collapsed="false">
      <c r="C380" s="13"/>
      <c r="J380" s="130"/>
      <c r="K380" s="130"/>
      <c r="L380" s="130"/>
      <c r="N380" s="280"/>
    </row>
    <row r="381" customFormat="false" ht="12.75" hidden="false" customHeight="false" outlineLevel="0" collapsed="false">
      <c r="N381" s="13"/>
    </row>
    <row r="382" customFormat="false" ht="12.75" hidden="false" customHeight="false" outlineLevel="0" collapsed="false">
      <c r="N382" s="13"/>
    </row>
    <row r="383" customFormat="false" ht="12.75" hidden="false" customHeight="false" outlineLevel="0" collapsed="false">
      <c r="N383" s="13"/>
    </row>
    <row r="384" customFormat="false" ht="12.75" hidden="false" customHeight="false" outlineLevel="0" collapsed="false">
      <c r="N384" s="13"/>
    </row>
    <row r="385" customFormat="false" ht="12.75" hidden="false" customHeight="false" outlineLevel="0" collapsed="false">
      <c r="N385" s="13"/>
    </row>
    <row r="386" customFormat="false" ht="12.75" hidden="false" customHeight="false" outlineLevel="0" collapsed="false">
      <c r="N386" s="13"/>
    </row>
    <row r="387" customFormat="false" ht="12.75" hidden="false" customHeight="false" outlineLevel="0" collapsed="false">
      <c r="N387" s="13"/>
    </row>
    <row r="388" customFormat="false" ht="12.75" hidden="false" customHeight="false" outlineLevel="0" collapsed="false">
      <c r="N388" s="13"/>
    </row>
    <row r="389" customFormat="false" ht="12.75" hidden="false" customHeight="false" outlineLevel="0" collapsed="false">
      <c r="N389" s="13"/>
    </row>
    <row r="390" customFormat="false" ht="12.75" hidden="false" customHeight="false" outlineLevel="0" collapsed="false">
      <c r="N390" s="13"/>
    </row>
    <row r="399" customFormat="false" ht="12.75" hidden="false" customHeight="false" outlineLevel="0" collapsed="false">
      <c r="L399" s="281"/>
    </row>
  </sheetData>
  <autoFilter ref="A7:N79"/>
  <mergeCells count="3">
    <mergeCell ref="A5:C5"/>
    <mergeCell ref="C117:E117"/>
    <mergeCell ref="C243:E2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4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P5" activeCellId="0" sqref="P5"/>
    </sheetView>
  </sheetViews>
  <sheetFormatPr defaultColWidth="11.42578125" defaultRowHeight="12.75" zeroHeight="false" outlineLevelRow="0" outlineLevelCol="0"/>
  <cols>
    <col collapsed="false" customWidth="true" hidden="false" outlineLevel="0" max="1" min="1" style="167" width="5.42"/>
    <col collapsed="false" customWidth="true" hidden="false" outlineLevel="0" max="2" min="2" style="0" width="10.14"/>
    <col collapsed="false" customWidth="true" hidden="false" outlineLevel="0" max="4" min="4" style="282" width="10.57"/>
    <col collapsed="false" customWidth="true" hidden="false" outlineLevel="0" max="5" min="5" style="0" width="10.85"/>
    <col collapsed="false" customWidth="true" hidden="false" outlineLevel="0" max="7" min="6" style="0" width="12.57"/>
    <col collapsed="false" customWidth="true" hidden="false" outlineLevel="0" max="8" min="8" style="0" width="16.57"/>
    <col collapsed="false" customWidth="true" hidden="false" outlineLevel="0" max="9" min="9" style="0" width="13"/>
    <col collapsed="false" customWidth="true" hidden="false" outlineLevel="0" max="10" min="10" style="0" width="13.86"/>
    <col collapsed="false" customWidth="true" hidden="false" outlineLevel="0" max="11" min="11" style="167" width="10.57"/>
    <col collapsed="false" customWidth="false" hidden="false" outlineLevel="0" max="12" min="12" style="167" width="11.43"/>
    <col collapsed="false" customWidth="true" hidden="false" outlineLevel="0" max="13" min="13" style="167" width="13.86"/>
  </cols>
  <sheetData>
    <row r="1" s="167" customFormat="true" ht="15" hidden="false" customHeight="false" outlineLevel="0" collapsed="false">
      <c r="B1" s="283"/>
      <c r="C1" s="284"/>
      <c r="D1" s="285"/>
      <c r="E1" s="286"/>
      <c r="F1" s="286"/>
      <c r="G1" s="287"/>
      <c r="H1" s="288"/>
      <c r="I1" s="288"/>
      <c r="J1" s="288"/>
      <c r="K1" s="288"/>
      <c r="L1" s="288"/>
      <c r="M1" s="288"/>
    </row>
    <row r="2" s="167" customFormat="true" ht="12.75" hidden="false" customHeight="false" outlineLevel="0" collapsed="false">
      <c r="B2" s="289"/>
      <c r="C2" s="289"/>
      <c r="D2" s="289"/>
    </row>
    <row r="3" s="167" customFormat="true" ht="12.75" hidden="false" customHeight="false" outlineLevel="0" collapsed="false"/>
    <row r="4" customFormat="false" ht="17.35" hidden="false" customHeight="false" outlineLevel="0" collapsed="false">
      <c r="B4" s="290"/>
      <c r="C4" s="290"/>
      <c r="D4" s="290"/>
      <c r="E4" s="290"/>
      <c r="F4" s="291" t="s">
        <v>126</v>
      </c>
      <c r="G4" s="291"/>
      <c r="H4" s="291"/>
      <c r="I4" s="290"/>
      <c r="J4" s="292"/>
      <c r="K4" s="293"/>
      <c r="L4" s="292"/>
      <c r="M4" s="292"/>
    </row>
    <row r="5" customFormat="false" ht="12.75" hidden="false" customHeight="false" outlineLevel="0" collapsed="false">
      <c r="B5" s="167"/>
      <c r="C5" s="167"/>
      <c r="D5" s="289"/>
      <c r="E5" s="167"/>
      <c r="F5" s="167"/>
      <c r="G5" s="167"/>
      <c r="H5" s="167"/>
      <c r="I5" s="294"/>
      <c r="J5" s="173"/>
      <c r="K5" s="175"/>
    </row>
    <row r="6" customFormat="false" ht="12.75" hidden="false" customHeight="false" outlineLevel="0" collapsed="false">
      <c r="B6" s="167"/>
      <c r="C6" s="167"/>
      <c r="D6" s="289"/>
      <c r="E6" s="167"/>
      <c r="F6" s="167"/>
      <c r="G6" s="167"/>
      <c r="H6" s="167"/>
      <c r="I6" s="294"/>
      <c r="J6" s="175"/>
      <c r="K6" s="173"/>
    </row>
    <row r="7" customFormat="false" ht="14.25" hidden="false" customHeight="true" outlineLevel="0" collapsed="false">
      <c r="B7" s="295" t="s">
        <v>127</v>
      </c>
      <c r="C7" s="296" t="s">
        <v>60</v>
      </c>
      <c r="D7" s="296" t="s">
        <v>3</v>
      </c>
      <c r="E7" s="296" t="s">
        <v>128</v>
      </c>
      <c r="F7" s="296" t="s">
        <v>5</v>
      </c>
      <c r="G7" s="296" t="s">
        <v>6</v>
      </c>
      <c r="H7" s="296" t="s">
        <v>7</v>
      </c>
      <c r="I7" s="296" t="s">
        <v>8</v>
      </c>
      <c r="J7" s="297" t="s">
        <v>9</v>
      </c>
      <c r="K7" s="297" t="s">
        <v>10</v>
      </c>
      <c r="L7" s="297" t="s">
        <v>11</v>
      </c>
      <c r="M7" s="297" t="s">
        <v>129</v>
      </c>
    </row>
    <row r="8" customFormat="false" ht="12.75" hidden="false" customHeight="false" outlineLevel="0" collapsed="false">
      <c r="A8" s="298"/>
      <c r="B8" s="299"/>
      <c r="C8" s="141" t="s">
        <v>130</v>
      </c>
      <c r="D8" s="253"/>
      <c r="E8" s="254"/>
      <c r="F8" s="255" t="s">
        <v>114</v>
      </c>
      <c r="G8" s="255" t="s">
        <v>115</v>
      </c>
      <c r="H8" s="300"/>
      <c r="I8" s="257" t="n">
        <v>46.11</v>
      </c>
      <c r="J8" s="257"/>
      <c r="K8" s="301" t="n">
        <f aca="false">+J8*H8-H8*I8</f>
        <v>0</v>
      </c>
      <c r="L8" s="302"/>
      <c r="M8" s="303" t="n">
        <f aca="false">+J8*H8</f>
        <v>0</v>
      </c>
    </row>
    <row r="9" customFormat="false" ht="12.75" hidden="false" customHeight="false" outlineLevel="0" collapsed="false">
      <c r="A9" s="304"/>
      <c r="B9" s="305"/>
      <c r="C9" s="141" t="s">
        <v>130</v>
      </c>
      <c r="D9" s="141"/>
      <c r="E9" s="142"/>
      <c r="F9" s="143" t="s">
        <v>131</v>
      </c>
      <c r="G9" s="143" t="s">
        <v>132</v>
      </c>
      <c r="H9" s="306"/>
      <c r="I9" s="44" t="n">
        <v>20.185</v>
      </c>
      <c r="J9" s="44" t="n">
        <v>19.6722</v>
      </c>
      <c r="K9" s="307" t="n">
        <f aca="false">+J9*H9-H9*I9</f>
        <v>0</v>
      </c>
      <c r="L9" s="308" t="n">
        <f aca="false">LN(J9/I9)</f>
        <v>-0.0257332827082486</v>
      </c>
      <c r="M9" s="309" t="n">
        <f aca="false">+J9*H9</f>
        <v>0</v>
      </c>
    </row>
    <row r="10" customFormat="false" ht="12.75" hidden="false" customHeight="false" outlineLevel="0" collapsed="false">
      <c r="A10" s="304"/>
      <c r="B10" s="305"/>
      <c r="C10" s="141" t="s">
        <v>130</v>
      </c>
      <c r="D10" s="141"/>
      <c r="E10" s="142"/>
      <c r="F10" s="143" t="s">
        <v>33</v>
      </c>
      <c r="G10" s="143" t="s">
        <v>111</v>
      </c>
      <c r="H10" s="306"/>
      <c r="I10" s="44" t="n">
        <v>19.215</v>
      </c>
      <c r="J10" s="44"/>
      <c r="K10" s="307" t="n">
        <f aca="false">+J10*H10-H10*I10</f>
        <v>0</v>
      </c>
      <c r="L10" s="308"/>
      <c r="M10" s="309" t="n">
        <f aca="false">+J10*H10</f>
        <v>0</v>
      </c>
    </row>
    <row r="11" customFormat="false" ht="12.75" hidden="false" customHeight="false" outlineLevel="0" collapsed="false">
      <c r="A11" s="304"/>
      <c r="B11" s="305"/>
      <c r="C11" s="141" t="s">
        <v>130</v>
      </c>
      <c r="D11" s="141"/>
      <c r="E11" s="142"/>
      <c r="F11" s="143" t="s">
        <v>118</v>
      </c>
      <c r="G11" s="143" t="s">
        <v>119</v>
      </c>
      <c r="H11" s="306"/>
      <c r="I11" s="44" t="n">
        <v>61.89</v>
      </c>
      <c r="J11" s="44" t="n">
        <v>78.915</v>
      </c>
      <c r="K11" s="307" t="n">
        <f aca="false">+J11*H11-H11*I11</f>
        <v>0</v>
      </c>
      <c r="L11" s="308" t="n">
        <f aca="false">LN(J11/I11)</f>
        <v>0.24301270809961</v>
      </c>
      <c r="M11" s="309" t="n">
        <f aca="false">+J11*H11</f>
        <v>0</v>
      </c>
    </row>
    <row r="12" customFormat="false" ht="12.75" hidden="false" customHeight="false" outlineLevel="0" collapsed="false">
      <c r="A12" s="304"/>
      <c r="B12" s="305"/>
      <c r="C12" s="141" t="s">
        <v>130</v>
      </c>
      <c r="D12" s="141"/>
      <c r="E12" s="142"/>
      <c r="F12" s="143" t="s">
        <v>78</v>
      </c>
      <c r="G12" s="143" t="s">
        <v>133</v>
      </c>
      <c r="H12" s="306"/>
      <c r="I12" s="44" t="n">
        <f aca="false">323.0656/4</f>
        <v>80.7664</v>
      </c>
      <c r="J12" s="44"/>
      <c r="K12" s="307" t="n">
        <f aca="false">+J12*H12-H12*I12</f>
        <v>0</v>
      </c>
      <c r="L12" s="308"/>
      <c r="M12" s="309" t="n">
        <f aca="false">+J12*H12</f>
        <v>0</v>
      </c>
    </row>
    <row r="13" customFormat="false" ht="12.75" hidden="false" customHeight="false" outlineLevel="0" collapsed="false">
      <c r="A13" s="304"/>
      <c r="B13" s="305"/>
      <c r="C13" s="141" t="s">
        <v>130</v>
      </c>
      <c r="D13" s="141"/>
      <c r="E13" s="142"/>
      <c r="F13" s="143" t="s">
        <v>78</v>
      </c>
      <c r="G13" s="143" t="s">
        <v>133</v>
      </c>
      <c r="H13" s="306"/>
      <c r="I13" s="44" t="n">
        <v>123.789875</v>
      </c>
      <c r="J13" s="44"/>
      <c r="K13" s="307" t="n">
        <f aca="false">+J13*H13-H13*I13</f>
        <v>0</v>
      </c>
      <c r="L13" s="308"/>
      <c r="M13" s="309" t="n">
        <f aca="false">+J13*H13</f>
        <v>0</v>
      </c>
    </row>
    <row r="14" customFormat="false" ht="12.75" hidden="false" customHeight="false" outlineLevel="0" collapsed="false">
      <c r="A14" s="304"/>
      <c r="B14" s="305"/>
      <c r="C14" s="141" t="s">
        <v>130</v>
      </c>
      <c r="D14" s="141"/>
      <c r="E14" s="142"/>
      <c r="F14" s="143" t="s">
        <v>134</v>
      </c>
      <c r="G14" s="143" t="s">
        <v>135</v>
      </c>
      <c r="H14" s="306"/>
      <c r="I14" s="44" t="n">
        <v>247.0999</v>
      </c>
      <c r="J14" s="44" t="n">
        <v>432.95</v>
      </c>
      <c r="K14" s="307" t="n">
        <f aca="false">+J14*H14-H14*I14</f>
        <v>0</v>
      </c>
      <c r="L14" s="308" t="n">
        <f aca="false">LN(J14/I14)</f>
        <v>0.560829539593784</v>
      </c>
      <c r="M14" s="309" t="n">
        <f aca="false">+J14*H14</f>
        <v>0</v>
      </c>
    </row>
    <row r="15" customFormat="false" ht="12.75" hidden="false" customHeight="false" outlineLevel="0" collapsed="false">
      <c r="A15" s="304"/>
      <c r="B15" s="305"/>
      <c r="C15" s="141" t="s">
        <v>130</v>
      </c>
      <c r="D15" s="141"/>
      <c r="E15" s="142"/>
      <c r="F15" s="143" t="s">
        <v>134</v>
      </c>
      <c r="G15" s="143" t="s">
        <v>135</v>
      </c>
      <c r="H15" s="306"/>
      <c r="I15" s="44" t="n">
        <v>248.5491</v>
      </c>
      <c r="J15" s="44" t="n">
        <v>432.95</v>
      </c>
      <c r="K15" s="307" t="n">
        <f aca="false">+J15*H15-H15*I15</f>
        <v>0</v>
      </c>
      <c r="L15" s="308" t="n">
        <f aca="false">LN(J15/I15)</f>
        <v>0.554981836361495</v>
      </c>
      <c r="M15" s="309" t="n">
        <f aca="false">+J15*H15</f>
        <v>0</v>
      </c>
    </row>
    <row r="16" customFormat="false" ht="12.75" hidden="false" customHeight="false" outlineLevel="0" collapsed="false">
      <c r="A16" s="304"/>
      <c r="B16" s="305"/>
      <c r="C16" s="141" t="s">
        <v>130</v>
      </c>
      <c r="D16" s="141"/>
      <c r="E16" s="142"/>
      <c r="F16" s="143" t="s">
        <v>134</v>
      </c>
      <c r="G16" s="143" t="s">
        <v>135</v>
      </c>
      <c r="H16" s="306"/>
      <c r="I16" s="44" t="n">
        <v>251.615</v>
      </c>
      <c r="J16" s="44" t="n">
        <v>432.95</v>
      </c>
      <c r="K16" s="307" t="n">
        <f aca="false">+J16*H16-H16*I16</f>
        <v>0</v>
      </c>
      <c r="L16" s="308" t="n">
        <f aca="false">LN(J16/I16)</f>
        <v>0.542722106402662</v>
      </c>
      <c r="M16" s="309" t="n">
        <f aca="false">+J16*H16</f>
        <v>0</v>
      </c>
    </row>
    <row r="17" customFormat="false" ht="12.75" hidden="false" customHeight="false" outlineLevel="0" collapsed="false">
      <c r="A17" s="304"/>
      <c r="B17" s="305"/>
      <c r="C17" s="141" t="s">
        <v>130</v>
      </c>
      <c r="D17" s="141"/>
      <c r="E17" s="142"/>
      <c r="F17" s="143" t="s">
        <v>134</v>
      </c>
      <c r="G17" s="143" t="s">
        <v>135</v>
      </c>
      <c r="H17" s="306"/>
      <c r="I17" s="44" t="n">
        <v>248.9399</v>
      </c>
      <c r="J17" s="44" t="n">
        <v>432.95</v>
      </c>
      <c r="K17" s="307" t="n">
        <f aca="false">+J17*H17-H17*I17</f>
        <v>0</v>
      </c>
      <c r="L17" s="308" t="n">
        <f aca="false">LN(J17/I17)</f>
        <v>0.553410746024281</v>
      </c>
      <c r="M17" s="309" t="n">
        <f aca="false">+J17*H17</f>
        <v>0</v>
      </c>
    </row>
    <row r="18" customFormat="false" ht="12.75" hidden="false" customHeight="false" outlineLevel="0" collapsed="false">
      <c r="A18" s="304"/>
      <c r="B18" s="305"/>
      <c r="C18" s="141" t="s">
        <v>130</v>
      </c>
      <c r="D18" s="141"/>
      <c r="E18" s="142"/>
      <c r="F18" s="143" t="s">
        <v>134</v>
      </c>
      <c r="G18" s="143" t="s">
        <v>135</v>
      </c>
      <c r="H18" s="306"/>
      <c r="I18" s="44" t="n">
        <v>248.8599</v>
      </c>
      <c r="J18" s="44" t="n">
        <v>432.95</v>
      </c>
      <c r="K18" s="307" t="n">
        <f aca="false">+J18*H18-H18*I18</f>
        <v>0</v>
      </c>
      <c r="L18" s="308" t="n">
        <f aca="false">LN(J18/I18)</f>
        <v>0.553732160378761</v>
      </c>
      <c r="M18" s="309" t="n">
        <f aca="false">+J18*H18</f>
        <v>0</v>
      </c>
    </row>
    <row r="19" customFormat="false" ht="12.75" hidden="false" customHeight="false" outlineLevel="0" collapsed="false">
      <c r="A19" s="304"/>
      <c r="B19" s="305"/>
      <c r="C19" s="141" t="s">
        <v>130</v>
      </c>
      <c r="D19" s="141"/>
      <c r="E19" s="142"/>
      <c r="F19" s="143" t="s">
        <v>71</v>
      </c>
      <c r="G19" s="143" t="s">
        <v>72</v>
      </c>
      <c r="H19" s="306"/>
      <c r="I19" s="44" t="n">
        <v>531.5826</v>
      </c>
      <c r="J19" s="44" t="n">
        <v>611.205</v>
      </c>
      <c r="K19" s="307" t="n">
        <f aca="false">+J19*H19-H19*I19</f>
        <v>0</v>
      </c>
      <c r="L19" s="308" t="n">
        <f aca="false">LN(J19/I19)</f>
        <v>0.13957382352069</v>
      </c>
      <c r="M19" s="309" t="n">
        <f aca="false">+J19*H19</f>
        <v>0</v>
      </c>
    </row>
    <row r="20" customFormat="false" ht="12.75" hidden="false" customHeight="false" outlineLevel="0" collapsed="false">
      <c r="A20" s="304"/>
      <c r="B20" s="305"/>
      <c r="C20" s="141" t="s">
        <v>130</v>
      </c>
      <c r="D20" s="141"/>
      <c r="E20" s="142"/>
      <c r="F20" s="143" t="s">
        <v>136</v>
      </c>
      <c r="G20" s="143" t="s">
        <v>137</v>
      </c>
      <c r="H20" s="306"/>
      <c r="I20" s="44" t="n">
        <v>114.8742</v>
      </c>
      <c r="J20" s="44" t="n">
        <v>52.805</v>
      </c>
      <c r="K20" s="307" t="n">
        <f aca="false">+J20*H20-H20*I20</f>
        <v>0</v>
      </c>
      <c r="L20" s="308" t="n">
        <f aca="false">LN(J20/I20)</f>
        <v>-0.77723173336176</v>
      </c>
      <c r="M20" s="309" t="n">
        <f aca="false">+J20*H20</f>
        <v>0</v>
      </c>
    </row>
    <row r="21" customFormat="false" ht="12.75" hidden="false" customHeight="false" outlineLevel="0" collapsed="false">
      <c r="A21" s="298"/>
      <c r="B21" s="305"/>
      <c r="C21" s="141" t="s">
        <v>130</v>
      </c>
      <c r="D21" s="141"/>
      <c r="E21" s="142"/>
      <c r="F21" s="143" t="s">
        <v>116</v>
      </c>
      <c r="G21" s="143" t="s">
        <v>117</v>
      </c>
      <c r="H21" s="306"/>
      <c r="I21" s="44" t="n">
        <v>263.75</v>
      </c>
      <c r="J21" s="44"/>
      <c r="K21" s="307" t="n">
        <f aca="false">+J21*H21-H21*I21</f>
        <v>0</v>
      </c>
      <c r="L21" s="308"/>
      <c r="M21" s="309" t="n">
        <f aca="false">+J21*H21</f>
        <v>0</v>
      </c>
    </row>
    <row r="22" customFormat="false" ht="12.75" hidden="false" customHeight="false" outlineLevel="0" collapsed="false">
      <c r="A22" s="298"/>
      <c r="B22" s="305"/>
      <c r="C22" s="141" t="s">
        <v>130</v>
      </c>
      <c r="D22" s="141"/>
      <c r="E22" s="142"/>
      <c r="F22" s="143" t="s">
        <v>138</v>
      </c>
      <c r="G22" s="143" t="s">
        <v>139</v>
      </c>
      <c r="H22" s="306"/>
      <c r="I22" s="44" t="n">
        <v>344.3755</v>
      </c>
      <c r="J22" s="44" t="n">
        <v>476.98</v>
      </c>
      <c r="K22" s="307" t="n">
        <f aca="false">+J22*H22-H22*I22</f>
        <v>0</v>
      </c>
      <c r="L22" s="308" t="n">
        <f aca="false">LN(J22/I22)</f>
        <v>0.325741929476383</v>
      </c>
      <c r="M22" s="309" t="n">
        <f aca="false">+J22*H22</f>
        <v>0</v>
      </c>
    </row>
    <row r="23" customFormat="false" ht="12.75" hidden="false" customHeight="false" outlineLevel="0" collapsed="false">
      <c r="A23" s="298"/>
      <c r="B23" s="305"/>
      <c r="C23" s="141" t="s">
        <v>130</v>
      </c>
      <c r="D23" s="141"/>
      <c r="E23" s="142"/>
      <c r="F23" s="143" t="s">
        <v>138</v>
      </c>
      <c r="G23" s="143" t="s">
        <v>139</v>
      </c>
      <c r="H23" s="306"/>
      <c r="I23" s="44" t="n">
        <v>338.4971</v>
      </c>
      <c r="J23" s="44" t="n">
        <v>476.98</v>
      </c>
      <c r="K23" s="307" t="n">
        <f aca="false">+J23*H23-H23*I23</f>
        <v>0</v>
      </c>
      <c r="L23" s="308" t="n">
        <f aca="false">LN(J23/I23)</f>
        <v>0.342959036180775</v>
      </c>
      <c r="M23" s="309" t="n">
        <f aca="false">+J23*H23</f>
        <v>0</v>
      </c>
    </row>
    <row r="24" customFormat="false" ht="12.75" hidden="false" customHeight="false" outlineLevel="0" collapsed="false">
      <c r="A24" s="298"/>
      <c r="B24" s="305"/>
      <c r="C24" s="141" t="s">
        <v>130</v>
      </c>
      <c r="D24" s="310"/>
      <c r="E24" s="311"/>
      <c r="F24" s="143" t="s">
        <v>140</v>
      </c>
      <c r="G24" s="143" t="s">
        <v>141</v>
      </c>
      <c r="H24" s="306"/>
      <c r="I24" s="44" t="n">
        <v>28.2394</v>
      </c>
      <c r="J24" s="44" t="n">
        <v>35.445</v>
      </c>
      <c r="K24" s="307" t="n">
        <f aca="false">+J24*H24-H24*I24</f>
        <v>0</v>
      </c>
      <c r="L24" s="308" t="n">
        <f aca="false">LN(J24/I24)</f>
        <v>0.227264033366572</v>
      </c>
      <c r="M24" s="309" t="n">
        <f aca="false">+J24*H24</f>
        <v>0</v>
      </c>
    </row>
    <row r="25" customFormat="false" ht="12.75" hidden="false" customHeight="false" outlineLevel="0" collapsed="false">
      <c r="A25" s="304"/>
      <c r="B25" s="305"/>
      <c r="C25" s="141" t="s">
        <v>130</v>
      </c>
      <c r="D25" s="141"/>
      <c r="E25" s="311"/>
      <c r="F25" s="143" t="s">
        <v>140</v>
      </c>
      <c r="G25" s="143" t="s">
        <v>141</v>
      </c>
      <c r="H25" s="306"/>
      <c r="I25" s="156" t="n">
        <v>30.9971</v>
      </c>
      <c r="J25" s="44" t="n">
        <v>35.445</v>
      </c>
      <c r="K25" s="307" t="n">
        <f aca="false">+J25*H25-H25*I25</f>
        <v>0</v>
      </c>
      <c r="L25" s="308" t="n">
        <f aca="false">LN(J25/I25)</f>
        <v>0.134088547584855</v>
      </c>
      <c r="M25" s="309" t="n">
        <f aca="false">+J25*H25</f>
        <v>0</v>
      </c>
    </row>
    <row r="26" customFormat="false" ht="12.75" hidden="false" customHeight="false" outlineLevel="0" collapsed="false">
      <c r="A26" s="298"/>
      <c r="B26" s="305"/>
      <c r="C26" s="141" t="s">
        <v>130</v>
      </c>
      <c r="D26" s="141"/>
      <c r="E26" s="311"/>
      <c r="F26" s="143" t="s">
        <v>142</v>
      </c>
      <c r="G26" s="143" t="s">
        <v>142</v>
      </c>
      <c r="H26" s="306"/>
      <c r="I26" s="44" t="n">
        <v>222.1239</v>
      </c>
      <c r="J26" s="44" t="n">
        <v>231.515</v>
      </c>
      <c r="K26" s="307" t="n">
        <f aca="false">+J26*H26-H26*I26</f>
        <v>0</v>
      </c>
      <c r="L26" s="308" t="n">
        <f aca="false">LN(J26/I26)</f>
        <v>0.0414093319476295</v>
      </c>
      <c r="M26" s="309" t="n">
        <f aca="false">+J26*H26</f>
        <v>0</v>
      </c>
    </row>
    <row r="27" customFormat="false" ht="12.75" hidden="false" customHeight="false" outlineLevel="0" collapsed="false">
      <c r="A27" s="298"/>
      <c r="B27" s="305"/>
      <c r="C27" s="141" t="s">
        <v>130</v>
      </c>
      <c r="D27" s="141"/>
      <c r="E27" s="311"/>
      <c r="F27" s="143" t="s">
        <v>143</v>
      </c>
      <c r="G27" s="143" t="s">
        <v>143</v>
      </c>
      <c r="H27" s="306"/>
      <c r="I27" s="156" t="n">
        <v>52.745</v>
      </c>
      <c r="J27" s="44" t="n">
        <v>49.635</v>
      </c>
      <c r="K27" s="307" t="n">
        <f aca="false">+J27*H27-H27*I27</f>
        <v>0</v>
      </c>
      <c r="L27" s="308" t="n">
        <f aca="false">LN(J27/I27)</f>
        <v>-0.0607727510920868</v>
      </c>
      <c r="M27" s="309" t="n">
        <f aca="false">+J27*H27</f>
        <v>0</v>
      </c>
    </row>
    <row r="28" customFormat="false" ht="12.75" hidden="false" customHeight="false" outlineLevel="0" collapsed="false">
      <c r="A28" s="298"/>
      <c r="B28" s="305"/>
      <c r="C28" s="141" t="s">
        <v>130</v>
      </c>
      <c r="D28" s="141"/>
      <c r="E28" s="311"/>
      <c r="F28" s="143" t="s">
        <v>143</v>
      </c>
      <c r="G28" s="143" t="s">
        <v>143</v>
      </c>
      <c r="H28" s="306"/>
      <c r="I28" s="44" t="n">
        <v>40.6669</v>
      </c>
      <c r="J28" s="44" t="n">
        <v>49.635</v>
      </c>
      <c r="K28" s="307" t="n">
        <f aca="false">+J28*H28-H28*I28</f>
        <v>0</v>
      </c>
      <c r="L28" s="308" t="n">
        <f aca="false">LN(J28/I28)</f>
        <v>0.199281736288081</v>
      </c>
      <c r="M28" s="309" t="n">
        <f aca="false">+J28*H28</f>
        <v>0</v>
      </c>
    </row>
    <row r="29" customFormat="false" ht="12.75" hidden="false" customHeight="false" outlineLevel="0" collapsed="false">
      <c r="A29" s="298"/>
      <c r="B29" s="305"/>
      <c r="C29" s="141" t="s">
        <v>130</v>
      </c>
      <c r="D29" s="141"/>
      <c r="E29" s="311"/>
      <c r="F29" s="143" t="s">
        <v>73</v>
      </c>
      <c r="G29" s="143" t="s">
        <v>144</v>
      </c>
      <c r="H29" s="306"/>
      <c r="I29" s="44" t="n">
        <v>595.1734</v>
      </c>
      <c r="J29" s="44" t="n">
        <v>679.305</v>
      </c>
      <c r="K29" s="307" t="n">
        <f aca="false">+J29*H29-H29*I29</f>
        <v>0</v>
      </c>
      <c r="L29" s="308" t="n">
        <f aca="false">LN(J29/I29)</f>
        <v>0.132217425028347</v>
      </c>
      <c r="M29" s="309" t="n">
        <f aca="false">+J29*H29</f>
        <v>0</v>
      </c>
    </row>
    <row r="30" customFormat="false" ht="12.75" hidden="false" customHeight="false" outlineLevel="0" collapsed="false">
      <c r="A30" s="298"/>
      <c r="B30" s="305"/>
      <c r="C30" s="141" t="s">
        <v>130</v>
      </c>
      <c r="D30" s="141"/>
      <c r="E30" s="311"/>
      <c r="F30" s="143" t="s">
        <v>91</v>
      </c>
      <c r="G30" s="143" t="s">
        <v>92</v>
      </c>
      <c r="H30" s="306"/>
      <c r="I30" s="44" t="n">
        <v>453.651316872428</v>
      </c>
      <c r="J30" s="44" t="n">
        <v>351.675</v>
      </c>
      <c r="K30" s="307" t="n">
        <f aca="false">+J30*H30-H30*I30</f>
        <v>0</v>
      </c>
      <c r="L30" s="308" t="n">
        <f aca="false">LN(J30/I30)</f>
        <v>-0.254621424805597</v>
      </c>
      <c r="M30" s="309" t="n">
        <f aca="false">+J30*H30</f>
        <v>0</v>
      </c>
    </row>
    <row r="31" customFormat="false" ht="12.75" hidden="false" customHeight="false" outlineLevel="0" collapsed="false">
      <c r="A31" s="298"/>
      <c r="B31" s="305"/>
      <c r="C31" s="141" t="s">
        <v>130</v>
      </c>
      <c r="D31" s="141"/>
      <c r="E31" s="311"/>
      <c r="F31" s="143" t="s">
        <v>120</v>
      </c>
      <c r="G31" s="143" t="s">
        <v>120</v>
      </c>
      <c r="H31" s="306"/>
      <c r="I31" s="44" t="n">
        <v>234.8292</v>
      </c>
      <c r="J31" s="44" t="n">
        <v>236.945</v>
      </c>
      <c r="K31" s="307" t="n">
        <f aca="false">+J31*H31-H31*I31</f>
        <v>0</v>
      </c>
      <c r="L31" s="308" t="n">
        <f aca="false">LN(J31/I31)</f>
        <v>0.00896960531258496</v>
      </c>
      <c r="M31" s="309" t="n">
        <f aca="false">+J31*H31</f>
        <v>0</v>
      </c>
    </row>
    <row r="32" customFormat="false" ht="12.75" hidden="false" customHeight="false" outlineLevel="0" collapsed="false">
      <c r="A32" s="298"/>
      <c r="B32" s="305"/>
      <c r="C32" s="141" t="s">
        <v>130</v>
      </c>
      <c r="D32" s="141"/>
      <c r="E32" s="311"/>
      <c r="F32" s="143" t="s">
        <v>86</v>
      </c>
      <c r="G32" s="143" t="s">
        <v>86</v>
      </c>
      <c r="H32" s="306"/>
      <c r="I32" s="44" t="n">
        <v>193.269</v>
      </c>
      <c r="J32" s="44" t="n">
        <v>188.315</v>
      </c>
      <c r="K32" s="307" t="n">
        <f aca="false">+J32*H32-H32*I32</f>
        <v>0</v>
      </c>
      <c r="L32" s="308" t="n">
        <f aca="false">LN(J32/I32)</f>
        <v>-0.0259669082679879</v>
      </c>
      <c r="M32" s="309" t="n">
        <f aca="false">+J32*H32</f>
        <v>0</v>
      </c>
    </row>
    <row r="33" customFormat="false" ht="12.75" hidden="false" customHeight="false" outlineLevel="0" collapsed="false">
      <c r="A33" s="298"/>
      <c r="B33" s="305"/>
      <c r="C33" s="141" t="s">
        <v>130</v>
      </c>
      <c r="D33" s="141"/>
      <c r="E33" s="142"/>
      <c r="F33" s="143" t="s">
        <v>145</v>
      </c>
      <c r="G33" s="143" t="s">
        <v>89</v>
      </c>
      <c r="H33" s="306"/>
      <c r="I33" s="44" t="n">
        <v>439.57</v>
      </c>
      <c r="J33" s="44" t="n">
        <v>376.725</v>
      </c>
      <c r="K33" s="307" t="n">
        <f aca="false">+J33*H33-H33*I33</f>
        <v>0</v>
      </c>
      <c r="L33" s="308" t="n">
        <f aca="false">LN(J33/I33)</f>
        <v>-0.154281498038477</v>
      </c>
      <c r="M33" s="309" t="n">
        <f aca="false">+J33*H33</f>
        <v>0</v>
      </c>
    </row>
    <row r="34" customFormat="false" ht="12.75" hidden="false" customHeight="false" outlineLevel="0" collapsed="false">
      <c r="A34" s="298"/>
      <c r="B34" s="305"/>
      <c r="C34" s="141" t="s">
        <v>130</v>
      </c>
      <c r="D34" s="141"/>
      <c r="E34" s="142"/>
      <c r="F34" s="143" t="s">
        <v>146</v>
      </c>
      <c r="G34" s="143" t="s">
        <v>147</v>
      </c>
      <c r="H34" s="306"/>
      <c r="I34" s="44" t="n">
        <v>48.4299</v>
      </c>
      <c r="J34" s="44" t="n">
        <v>83.13</v>
      </c>
      <c r="K34" s="307" t="n">
        <f aca="false">+J34*H34-H34*I34</f>
        <v>0</v>
      </c>
      <c r="L34" s="308" t="n">
        <f aca="false">LN(J34/I34)</f>
        <v>0.540288255965836</v>
      </c>
      <c r="M34" s="309" t="n">
        <f aca="false">+J34*H34</f>
        <v>0</v>
      </c>
    </row>
    <row r="35" customFormat="false" ht="12.75" hidden="false" customHeight="false" outlineLevel="0" collapsed="false">
      <c r="A35" s="298"/>
      <c r="B35" s="305"/>
      <c r="C35" s="141" t="s">
        <v>130</v>
      </c>
      <c r="D35" s="141"/>
      <c r="E35" s="142"/>
      <c r="F35" s="143" t="s">
        <v>112</v>
      </c>
      <c r="G35" s="143" t="s">
        <v>112</v>
      </c>
      <c r="H35" s="306"/>
      <c r="I35" s="44" t="n">
        <v>200.95</v>
      </c>
      <c r="J35" s="44" t="n">
        <v>316.16</v>
      </c>
      <c r="K35" s="307" t="n">
        <f aca="false">+J35*H35-H35*I35</f>
        <v>0</v>
      </c>
      <c r="L35" s="308" t="n">
        <f aca="false">LN(J35/I35)</f>
        <v>0.453192293664293</v>
      </c>
      <c r="M35" s="309" t="n">
        <f aca="false">+J35*H35</f>
        <v>0</v>
      </c>
    </row>
    <row r="36" customFormat="false" ht="12.75" hidden="false" customHeight="false" outlineLevel="0" collapsed="false">
      <c r="A36" s="304"/>
      <c r="B36" s="305"/>
      <c r="C36" s="141" t="s">
        <v>130</v>
      </c>
      <c r="D36" s="141"/>
      <c r="E36" s="142"/>
      <c r="F36" s="143" t="s">
        <v>112</v>
      </c>
      <c r="G36" s="143" t="s">
        <v>112</v>
      </c>
      <c r="H36" s="306"/>
      <c r="I36" s="44" t="n">
        <v>1755.5707</v>
      </c>
      <c r="J36" s="44" t="n">
        <v>316.16</v>
      </c>
      <c r="K36" s="307" t="n">
        <f aca="false">+J36*H36-H36*I36</f>
        <v>0</v>
      </c>
      <c r="L36" s="308" t="n">
        <f aca="false">LN(J36/I36)</f>
        <v>-1.71430085366441</v>
      </c>
      <c r="M36" s="309" t="n">
        <f aca="false">+J36*H36</f>
        <v>0</v>
      </c>
    </row>
    <row r="37" customFormat="false" ht="12.75" hidden="false" customHeight="false" outlineLevel="0" collapsed="false">
      <c r="A37" s="304"/>
      <c r="B37" s="305"/>
      <c r="C37" s="141" t="s">
        <v>130</v>
      </c>
      <c r="D37" s="141"/>
      <c r="E37" s="142"/>
      <c r="F37" s="143" t="s">
        <v>148</v>
      </c>
      <c r="G37" s="143" t="s">
        <v>149</v>
      </c>
      <c r="H37" s="306"/>
      <c r="I37" s="44" t="n">
        <v>37.6598</v>
      </c>
      <c r="J37" s="44" t="n">
        <v>50.835</v>
      </c>
      <c r="K37" s="307" t="n">
        <f aca="false">+J37*H37-H37*I37</f>
        <v>0</v>
      </c>
      <c r="L37" s="308" t="n">
        <f aca="false">LN(J37/I37)</f>
        <v>0.299991881186675</v>
      </c>
      <c r="M37" s="309" t="n">
        <f aca="false">+J37*H37</f>
        <v>0</v>
      </c>
    </row>
    <row r="38" customFormat="false" ht="12.75" hidden="false" customHeight="false" outlineLevel="0" collapsed="false">
      <c r="A38" s="304"/>
      <c r="B38" s="305"/>
      <c r="C38" s="141" t="s">
        <v>130</v>
      </c>
      <c r="D38" s="141"/>
      <c r="E38" s="142"/>
      <c r="F38" s="143" t="s">
        <v>150</v>
      </c>
      <c r="G38" s="143" t="s">
        <v>151</v>
      </c>
      <c r="H38" s="306"/>
      <c r="I38" s="44" t="n">
        <v>5851.5</v>
      </c>
      <c r="J38" s="44" t="n">
        <v>6827.01525</v>
      </c>
      <c r="K38" s="307" t="n">
        <f aca="false">+J38*H38-H38*I38</f>
        <v>0</v>
      </c>
      <c r="L38" s="308" t="n">
        <f aca="false">LN(J38/I38)</f>
        <v>0.154189533578612</v>
      </c>
      <c r="M38" s="309" t="n">
        <f aca="false">+J38*H38</f>
        <v>0</v>
      </c>
    </row>
    <row r="39" customFormat="false" ht="12.75" hidden="false" customHeight="false" outlineLevel="0" collapsed="false">
      <c r="A39" s="304"/>
      <c r="B39" s="305"/>
      <c r="C39" s="141" t="s">
        <v>130</v>
      </c>
      <c r="D39" s="141"/>
      <c r="E39" s="142"/>
      <c r="F39" s="143" t="s">
        <v>150</v>
      </c>
      <c r="G39" s="143" t="s">
        <v>152</v>
      </c>
      <c r="H39" s="306"/>
      <c r="I39" s="44" t="n">
        <v>6025</v>
      </c>
      <c r="J39" s="44" t="n">
        <v>6877.963125</v>
      </c>
      <c r="K39" s="307" t="n">
        <f aca="false">+J39*H39-H39*I39</f>
        <v>0</v>
      </c>
      <c r="L39" s="308" t="n">
        <f aca="false">LN(J39/I39)</f>
        <v>0.132405071322095</v>
      </c>
      <c r="M39" s="309" t="n">
        <f aca="false">+J39*H39</f>
        <v>0</v>
      </c>
    </row>
    <row r="40" customFormat="false" ht="12.75" hidden="false" customHeight="false" outlineLevel="0" collapsed="false">
      <c r="A40" s="304"/>
      <c r="B40" s="305"/>
      <c r="C40" s="141" t="s">
        <v>130</v>
      </c>
      <c r="D40" s="141"/>
      <c r="E40" s="142"/>
      <c r="F40" s="143" t="s">
        <v>153</v>
      </c>
      <c r="G40" s="143" t="s">
        <v>154</v>
      </c>
      <c r="H40" s="306"/>
      <c r="I40" s="44" t="n">
        <v>20058</v>
      </c>
      <c r="J40" s="44" t="n">
        <v>25434.53206875</v>
      </c>
      <c r="K40" s="307" t="n">
        <f aca="false">+J40*H40-H40*I40</f>
        <v>0</v>
      </c>
      <c r="L40" s="308" t="n">
        <f aca="false">LN(J40/I40)</f>
        <v>0.237479704299714</v>
      </c>
      <c r="M40" s="309" t="n">
        <f aca="false">+J40*H40</f>
        <v>0</v>
      </c>
    </row>
    <row r="41" customFormat="false" ht="12.75" hidden="false" customHeight="false" outlineLevel="0" collapsed="false">
      <c r="A41" s="304"/>
      <c r="B41" s="305"/>
      <c r="C41" s="141" t="s">
        <v>130</v>
      </c>
      <c r="D41" s="141"/>
      <c r="E41" s="142"/>
      <c r="F41" s="143" t="s">
        <v>86</v>
      </c>
      <c r="G41" s="143" t="s">
        <v>74</v>
      </c>
      <c r="H41" s="306"/>
      <c r="I41" s="44" t="n">
        <v>129.715</v>
      </c>
      <c r="J41" s="44" t="n">
        <v>188.315</v>
      </c>
      <c r="K41" s="307" t="n">
        <f aca="false">+J41*H41-H41*I41</f>
        <v>0</v>
      </c>
      <c r="L41" s="308" t="n">
        <f aca="false">LN(J41/I41)</f>
        <v>0.372776356468495</v>
      </c>
      <c r="M41" s="309" t="n">
        <f aca="false">+J41*H41</f>
        <v>0</v>
      </c>
    </row>
    <row r="42" customFormat="false" ht="12.75" hidden="false" customHeight="false" outlineLevel="0" collapsed="false">
      <c r="A42" s="304"/>
      <c r="B42" s="305"/>
      <c r="C42" s="141" t="s">
        <v>130</v>
      </c>
      <c r="D42" s="141"/>
      <c r="E42" s="142"/>
      <c r="F42" s="143" t="s">
        <v>86</v>
      </c>
      <c r="G42" s="143" t="s">
        <v>74</v>
      </c>
      <c r="H42" s="306"/>
      <c r="I42" s="44" t="n">
        <v>130.5197</v>
      </c>
      <c r="J42" s="44" t="n">
        <v>188.315</v>
      </c>
      <c r="K42" s="307" t="n">
        <f aca="false">+J42*H42-H42*I42</f>
        <v>0</v>
      </c>
      <c r="L42" s="308" t="n">
        <f aca="false">LN(J42/I42)</f>
        <v>0.366591919383079</v>
      </c>
      <c r="M42" s="309" t="n">
        <f aca="false">+J42*H42</f>
        <v>0</v>
      </c>
    </row>
    <row r="43" customFormat="false" ht="12.75" hidden="false" customHeight="false" outlineLevel="0" collapsed="false">
      <c r="A43" s="298"/>
      <c r="B43" s="312" t="s">
        <v>19</v>
      </c>
      <c r="C43" s="200"/>
      <c r="D43" s="200"/>
      <c r="E43" s="313"/>
      <c r="F43" s="202"/>
      <c r="G43" s="202"/>
      <c r="H43" s="314"/>
      <c r="I43" s="245"/>
      <c r="J43" s="245"/>
      <c r="K43" s="315"/>
      <c r="L43" s="316"/>
      <c r="M43" s="317"/>
    </row>
    <row r="44" customFormat="false" ht="12.75" hidden="false" customHeight="false" outlineLevel="0" collapsed="false">
      <c r="A44" s="298"/>
      <c r="B44" s="175"/>
      <c r="C44" s="288"/>
      <c r="D44" s="288"/>
      <c r="E44" s="175"/>
      <c r="F44" s="175"/>
      <c r="G44" s="175"/>
      <c r="H44" s="318"/>
      <c r="I44" s="319"/>
      <c r="J44" s="161" t="s">
        <v>31</v>
      </c>
      <c r="K44" s="320" t="n">
        <f aca="false">SUM(K8:K43)</f>
        <v>0</v>
      </c>
      <c r="L44" s="146"/>
      <c r="M44" s="321" t="n">
        <f aca="false">SUM(M8:M43)</f>
        <v>0</v>
      </c>
    </row>
    <row r="45" customFormat="false" ht="12.75" hidden="false" customHeight="false" outlineLevel="0" collapsed="false">
      <c r="A45" s="298"/>
      <c r="B45" s="175"/>
      <c r="C45" s="288"/>
      <c r="D45" s="288"/>
      <c r="E45" s="175"/>
      <c r="F45" s="175"/>
      <c r="G45" s="175"/>
      <c r="H45" s="318"/>
      <c r="I45" s="319"/>
      <c r="J45" s="44"/>
      <c r="K45" s="322"/>
      <c r="L45" s="146"/>
      <c r="M45" s="323"/>
    </row>
    <row r="46" customFormat="false" ht="12.75" hidden="false" customHeight="false" outlineLevel="0" collapsed="false">
      <c r="B46" s="175"/>
      <c r="C46" s="288"/>
      <c r="D46" s="288"/>
      <c r="E46" s="175"/>
      <c r="F46" s="175"/>
      <c r="G46" s="324"/>
      <c r="H46" s="324"/>
      <c r="I46" s="319"/>
      <c r="J46" s="325" t="s">
        <v>155</v>
      </c>
      <c r="K46" s="326"/>
      <c r="L46" s="326"/>
      <c r="M46" s="327"/>
    </row>
    <row r="47" customFormat="false" ht="12.75" hidden="false" customHeight="false" outlineLevel="0" collapsed="false">
      <c r="B47" s="175"/>
      <c r="C47" s="288"/>
      <c r="D47" s="288"/>
      <c r="E47" s="175"/>
      <c r="F47" s="328"/>
      <c r="G47" s="328"/>
      <c r="H47" s="329"/>
      <c r="I47" s="319"/>
      <c r="J47" s="326" t="s">
        <v>156</v>
      </c>
      <c r="K47" s="326"/>
      <c r="L47" s="326"/>
      <c r="M47" s="330"/>
    </row>
    <row r="48" customFormat="false" ht="12.75" hidden="false" customHeight="false" outlineLevel="0" collapsed="false">
      <c r="B48" s="175"/>
      <c r="C48" s="288"/>
      <c r="D48" s="288"/>
      <c r="E48" s="175"/>
      <c r="F48" s="175"/>
      <c r="G48" s="175"/>
      <c r="H48" s="331"/>
      <c r="I48" s="212"/>
      <c r="J48" s="327" t="s">
        <v>157</v>
      </c>
      <c r="K48" s="332"/>
      <c r="L48" s="332"/>
      <c r="M48" s="327" t="n">
        <f aca="false">+M46+M44</f>
        <v>0</v>
      </c>
    </row>
    <row r="49" customFormat="false" ht="12.75" hidden="false" customHeight="false" outlineLevel="0" collapsed="false">
      <c r="B49" s="175"/>
      <c r="C49" s="288"/>
      <c r="D49" s="288"/>
      <c r="E49" s="175"/>
      <c r="F49" s="175"/>
      <c r="G49" s="175"/>
      <c r="H49" s="331"/>
      <c r="I49" s="212"/>
      <c r="J49" s="175"/>
      <c r="K49" s="175"/>
      <c r="L49" s="175"/>
      <c r="M49" s="318"/>
    </row>
    <row r="50" customFormat="false" ht="12.75" hidden="false" customHeight="false" outlineLevel="0" collapsed="false">
      <c r="B50" s="175"/>
      <c r="C50" s="288"/>
      <c r="D50" s="288"/>
      <c r="E50" s="175"/>
      <c r="F50" s="175"/>
      <c r="G50" s="175"/>
      <c r="H50" s="331"/>
      <c r="I50" s="175"/>
      <c r="J50" s="175"/>
      <c r="K50" s="175"/>
      <c r="L50" s="175"/>
      <c r="M50" s="175"/>
    </row>
    <row r="51" customFormat="false" ht="12.75" hidden="false" customHeight="false" outlineLevel="0" collapsed="false">
      <c r="B51" s="135" t="s">
        <v>2</v>
      </c>
      <c r="C51" s="135" t="s">
        <v>158</v>
      </c>
      <c r="D51" s="135" t="s">
        <v>3</v>
      </c>
      <c r="E51" s="135" t="s">
        <v>26</v>
      </c>
      <c r="F51" s="135" t="s">
        <v>5</v>
      </c>
      <c r="G51" s="135" t="s">
        <v>6</v>
      </c>
      <c r="H51" s="135" t="s">
        <v>7</v>
      </c>
      <c r="I51" s="135" t="s">
        <v>8</v>
      </c>
      <c r="J51" s="135" t="s">
        <v>9</v>
      </c>
      <c r="K51" s="135" t="s">
        <v>10</v>
      </c>
      <c r="L51" s="175"/>
      <c r="M51" s="175"/>
    </row>
    <row r="52" customFormat="false" ht="12.75" hidden="false" customHeight="false" outlineLevel="0" collapsed="false">
      <c r="B52" s="333"/>
      <c r="C52" s="333"/>
      <c r="D52" s="141"/>
      <c r="E52" s="142"/>
      <c r="F52" s="143"/>
      <c r="G52" s="143"/>
      <c r="H52" s="306"/>
      <c r="I52" s="44"/>
      <c r="J52" s="44"/>
      <c r="K52" s="307"/>
      <c r="L52" s="175"/>
      <c r="M52" s="175"/>
    </row>
    <row r="53" customFormat="false" ht="12.75" hidden="false" customHeight="false" outlineLevel="0" collapsed="false">
      <c r="B53" s="333"/>
      <c r="C53" s="141"/>
      <c r="D53" s="141"/>
      <c r="E53" s="142"/>
      <c r="F53" s="143"/>
      <c r="G53" s="143"/>
      <c r="H53" s="306"/>
      <c r="I53" s="44"/>
      <c r="J53" s="44"/>
      <c r="K53" s="307" t="n">
        <f aca="false">+J53*H53-H53*I53</f>
        <v>0</v>
      </c>
      <c r="L53" s="175"/>
      <c r="M53" s="175"/>
    </row>
    <row r="54" customFormat="false" ht="12.75" hidden="false" customHeight="false" outlineLevel="0" collapsed="false">
      <c r="B54" s="333"/>
      <c r="C54" s="141"/>
      <c r="D54" s="141"/>
      <c r="E54" s="311"/>
      <c r="F54" s="143"/>
      <c r="G54" s="143"/>
      <c r="H54" s="306"/>
      <c r="I54" s="156"/>
      <c r="J54" s="44"/>
      <c r="K54" s="307" t="n">
        <f aca="false">+J54*H54-H54*I54</f>
        <v>0</v>
      </c>
      <c r="L54" s="175"/>
      <c r="M54" s="175"/>
    </row>
    <row r="55" customFormat="false" ht="12.75" hidden="false" customHeight="false" outlineLevel="0" collapsed="false">
      <c r="B55" s="333"/>
      <c r="C55" s="141"/>
      <c r="D55" s="141"/>
      <c r="E55" s="311"/>
      <c r="F55" s="143"/>
      <c r="G55" s="143"/>
      <c r="H55" s="306"/>
      <c r="I55" s="44"/>
      <c r="J55" s="44"/>
      <c r="K55" s="307" t="n">
        <f aca="false">+J55*H55-H55*I55</f>
        <v>0</v>
      </c>
      <c r="L55" s="175"/>
      <c r="M55" s="175"/>
    </row>
    <row r="56" customFormat="false" ht="12.75" hidden="false" customHeight="false" outlineLevel="0" collapsed="false">
      <c r="B56" s="333"/>
      <c r="C56" s="333"/>
      <c r="D56" s="141"/>
      <c r="E56" s="160"/>
      <c r="F56" s="143"/>
      <c r="G56" s="143"/>
      <c r="H56" s="160"/>
      <c r="I56" s="44"/>
      <c r="J56" s="44"/>
      <c r="K56" s="307" t="n">
        <f aca="false">+J56*H56-H56*I56</f>
        <v>0</v>
      </c>
      <c r="L56" s="175"/>
      <c r="M56" s="175"/>
    </row>
    <row r="57" customFormat="false" ht="12.75" hidden="false" customHeight="false" outlineLevel="0" collapsed="false">
      <c r="B57" s="333"/>
      <c r="C57" s="333"/>
      <c r="D57" s="141"/>
      <c r="E57" s="160"/>
      <c r="F57" s="143"/>
      <c r="G57" s="143"/>
      <c r="H57" s="306"/>
      <c r="I57" s="44"/>
      <c r="J57" s="44"/>
      <c r="K57" s="307" t="n">
        <f aca="false">+J57*H57-H57*I57</f>
        <v>0</v>
      </c>
      <c r="L57" s="175"/>
      <c r="M57" s="175"/>
    </row>
    <row r="58" customFormat="false" ht="12.75" hidden="false" customHeight="false" outlineLevel="0" collapsed="false">
      <c r="B58" s="333"/>
      <c r="C58" s="333"/>
      <c r="D58" s="141"/>
      <c r="E58" s="160"/>
      <c r="F58" s="143"/>
      <c r="G58" s="143"/>
      <c r="H58" s="306"/>
      <c r="I58" s="44"/>
      <c r="J58" s="44"/>
      <c r="K58" s="307" t="n">
        <f aca="false">+J58*H58-H58*I58</f>
        <v>0</v>
      </c>
      <c r="L58" s="175"/>
      <c r="M58" s="175"/>
    </row>
    <row r="59" customFormat="false" ht="12.75" hidden="false" customHeight="false" outlineLevel="0" collapsed="false">
      <c r="B59" s="333"/>
      <c r="C59" s="333"/>
      <c r="D59" s="141"/>
      <c r="E59" s="160"/>
      <c r="F59" s="143"/>
      <c r="G59" s="143"/>
      <c r="H59" s="160"/>
      <c r="I59" s="44"/>
      <c r="J59" s="44"/>
      <c r="K59" s="307" t="n">
        <f aca="false">+J59*H59-H59*I59</f>
        <v>0</v>
      </c>
      <c r="L59" s="175"/>
      <c r="M59" s="175"/>
    </row>
    <row r="60" customFormat="false" ht="12.75" hidden="false" customHeight="false" outlineLevel="0" collapsed="false">
      <c r="B60" s="333"/>
      <c r="C60" s="333"/>
      <c r="D60" s="141"/>
      <c r="E60" s="160"/>
      <c r="F60" s="143"/>
      <c r="G60" s="143"/>
      <c r="H60" s="160"/>
      <c r="I60" s="44"/>
      <c r="J60" s="44"/>
      <c r="K60" s="307" t="n">
        <f aca="false">+J60*H60-H60*I60</f>
        <v>0</v>
      </c>
      <c r="L60" s="175"/>
      <c r="M60" s="175"/>
    </row>
    <row r="61" customFormat="false" ht="12.75" hidden="false" customHeight="false" outlineLevel="0" collapsed="false">
      <c r="B61" s="333"/>
      <c r="C61" s="333"/>
      <c r="D61" s="141"/>
      <c r="E61" s="160"/>
      <c r="F61" s="143"/>
      <c r="G61" s="143"/>
      <c r="H61" s="160"/>
      <c r="I61" s="44"/>
      <c r="J61" s="44"/>
      <c r="K61" s="307" t="n">
        <f aca="false">+J61*H61-H61*I61</f>
        <v>0</v>
      </c>
      <c r="L61" s="175"/>
      <c r="M61" s="175"/>
    </row>
    <row r="62" customFormat="false" ht="12.75" hidden="false" customHeight="false" outlineLevel="0" collapsed="false">
      <c r="B62" s="333"/>
      <c r="C62" s="333"/>
      <c r="D62" s="141"/>
      <c r="E62" s="160"/>
      <c r="F62" s="143"/>
      <c r="G62" s="143"/>
      <c r="H62" s="160"/>
      <c r="I62" s="44"/>
      <c r="J62" s="44"/>
      <c r="K62" s="307" t="n">
        <f aca="false">+J62*H62-H62*I62</f>
        <v>0</v>
      </c>
      <c r="L62" s="175"/>
      <c r="M62" s="175"/>
    </row>
    <row r="63" customFormat="false" ht="12.75" hidden="false" customHeight="false" outlineLevel="0" collapsed="false">
      <c r="B63" s="333"/>
      <c r="C63" s="333"/>
      <c r="D63" s="141"/>
      <c r="E63" s="160"/>
      <c r="F63" s="143"/>
      <c r="G63" s="143"/>
      <c r="H63" s="306"/>
      <c r="I63" s="44"/>
      <c r="J63" s="44"/>
      <c r="K63" s="307" t="n">
        <f aca="false">+J63*H63-H63*I63</f>
        <v>0</v>
      </c>
      <c r="L63" s="175"/>
      <c r="M63" s="175"/>
    </row>
    <row r="64" customFormat="false" ht="12.75" hidden="false" customHeight="false" outlineLevel="0" collapsed="false">
      <c r="B64" s="333"/>
      <c r="C64" s="333"/>
      <c r="D64" s="141"/>
      <c r="E64" s="160"/>
      <c r="F64" s="143"/>
      <c r="G64" s="143"/>
      <c r="H64" s="306"/>
      <c r="I64" s="44"/>
      <c r="J64" s="44"/>
      <c r="K64" s="307" t="n">
        <f aca="false">+J64*H64-H64*I64</f>
        <v>0</v>
      </c>
      <c r="L64" s="175"/>
      <c r="M64" s="175"/>
    </row>
    <row r="65" customFormat="false" ht="12.75" hidden="false" customHeight="false" outlineLevel="0" collapsed="false">
      <c r="B65" s="333"/>
      <c r="C65" s="333"/>
      <c r="D65" s="141"/>
      <c r="E65" s="160"/>
      <c r="F65" s="143"/>
      <c r="G65" s="143"/>
      <c r="H65" s="160"/>
      <c r="I65" s="44"/>
      <c r="J65" s="44"/>
      <c r="K65" s="307" t="n">
        <f aca="false">+J65*H65-H65*I65</f>
        <v>0</v>
      </c>
      <c r="L65" s="175"/>
      <c r="M65" s="175"/>
    </row>
    <row r="66" customFormat="false" ht="12.75" hidden="false" customHeight="false" outlineLevel="0" collapsed="false">
      <c r="B66" s="333"/>
      <c r="C66" s="333"/>
      <c r="D66" s="141"/>
      <c r="E66" s="160"/>
      <c r="F66" s="143"/>
      <c r="G66" s="143"/>
      <c r="H66" s="160"/>
      <c r="I66" s="44"/>
      <c r="J66" s="44"/>
      <c r="K66" s="307" t="n">
        <f aca="false">+J66*H66-H66*I66</f>
        <v>0</v>
      </c>
      <c r="L66" s="175"/>
      <c r="M66" s="175"/>
    </row>
    <row r="67" customFormat="false" ht="12.75" hidden="false" customHeight="false" outlineLevel="0" collapsed="false">
      <c r="B67" s="333"/>
      <c r="C67" s="333"/>
      <c r="D67" s="141"/>
      <c r="E67" s="160"/>
      <c r="F67" s="143"/>
      <c r="G67" s="143"/>
      <c r="H67" s="160"/>
      <c r="I67" s="44"/>
      <c r="J67" s="44"/>
      <c r="K67" s="64"/>
      <c r="L67" s="175"/>
      <c r="M67" s="175"/>
    </row>
    <row r="68" customFormat="false" ht="12.75" hidden="false" customHeight="false" outlineLevel="0" collapsed="false">
      <c r="B68" s="333"/>
      <c r="C68" s="333"/>
      <c r="D68" s="141"/>
      <c r="E68" s="160"/>
      <c r="F68" s="143"/>
      <c r="G68" s="143"/>
      <c r="H68" s="160"/>
      <c r="I68" s="44"/>
      <c r="J68" s="44"/>
      <c r="K68" s="64"/>
      <c r="L68" s="175"/>
      <c r="M68" s="175"/>
    </row>
    <row r="69" customFormat="false" ht="12.75" hidden="false" customHeight="false" outlineLevel="0" collapsed="false">
      <c r="B69" s="333"/>
      <c r="C69" s="333"/>
      <c r="D69" s="141"/>
      <c r="E69" s="160"/>
      <c r="F69" s="143"/>
      <c r="G69" s="143"/>
      <c r="H69" s="160"/>
      <c r="I69" s="44"/>
      <c r="J69" s="44"/>
      <c r="K69" s="64"/>
      <c r="L69" s="175"/>
      <c r="M69" s="175"/>
    </row>
    <row r="70" customFormat="false" ht="12.75" hidden="false" customHeight="false" outlineLevel="0" collapsed="false">
      <c r="B70" s="333"/>
      <c r="C70" s="333"/>
      <c r="D70" s="141"/>
      <c r="E70" s="160"/>
      <c r="F70" s="143"/>
      <c r="G70" s="143"/>
      <c r="H70" s="160"/>
      <c r="I70" s="44"/>
      <c r="J70" s="44"/>
      <c r="K70" s="64"/>
      <c r="L70" s="175"/>
      <c r="M70" s="175"/>
    </row>
    <row r="71" customFormat="false" ht="12.75" hidden="false" customHeight="false" outlineLevel="0" collapsed="false">
      <c r="B71" s="333"/>
      <c r="C71" s="333"/>
      <c r="D71" s="141"/>
      <c r="E71" s="160"/>
      <c r="F71" s="143"/>
      <c r="G71" s="143"/>
      <c r="H71" s="160"/>
      <c r="I71" s="44"/>
      <c r="J71" s="44"/>
      <c r="K71" s="64"/>
      <c r="L71" s="175"/>
      <c r="M71" s="175"/>
    </row>
    <row r="72" customFormat="false" ht="12.75" hidden="false" customHeight="false" outlineLevel="0" collapsed="false">
      <c r="B72" s="333"/>
      <c r="C72" s="333"/>
      <c r="D72" s="141"/>
      <c r="E72" s="160"/>
      <c r="F72" s="143"/>
      <c r="G72" s="143"/>
      <c r="H72" s="160"/>
      <c r="I72" s="44"/>
      <c r="J72" s="44"/>
      <c r="K72" s="64"/>
      <c r="L72" s="175"/>
      <c r="M72" s="175"/>
    </row>
    <row r="73" customFormat="false" ht="12.75" hidden="false" customHeight="false" outlineLevel="0" collapsed="false">
      <c r="B73" s="333"/>
      <c r="C73" s="333"/>
      <c r="D73" s="141"/>
      <c r="E73" s="160"/>
      <c r="F73" s="143"/>
      <c r="G73" s="143"/>
      <c r="H73" s="160"/>
      <c r="I73" s="44"/>
      <c r="J73" s="44"/>
      <c r="K73" s="64"/>
      <c r="L73" s="175"/>
      <c r="M73" s="175"/>
    </row>
    <row r="74" customFormat="false" ht="12.75" hidden="false" customHeight="false" outlineLevel="0" collapsed="false">
      <c r="B74" s="333"/>
      <c r="C74" s="333"/>
      <c r="D74" s="141"/>
      <c r="E74" s="160"/>
      <c r="F74" s="143"/>
      <c r="G74" s="143"/>
      <c r="H74" s="160"/>
      <c r="I74" s="44"/>
      <c r="J74" s="44"/>
      <c r="K74" s="64"/>
      <c r="L74" s="175"/>
      <c r="M74" s="175"/>
    </row>
    <row r="75" customFormat="false" ht="12.75" hidden="false" customHeight="false" outlineLevel="0" collapsed="false">
      <c r="B75" s="333"/>
      <c r="C75" s="333"/>
      <c r="D75" s="141"/>
      <c r="E75" s="160"/>
      <c r="F75" s="143"/>
      <c r="G75" s="143"/>
      <c r="H75" s="160"/>
      <c r="I75" s="44"/>
      <c r="J75" s="44"/>
      <c r="K75" s="64"/>
      <c r="L75" s="175"/>
      <c r="M75" s="175"/>
    </row>
    <row r="76" customFormat="false" ht="12.75" hidden="false" customHeight="false" outlineLevel="0" collapsed="false">
      <c r="B76" s="333"/>
      <c r="C76" s="333"/>
      <c r="D76" s="141"/>
      <c r="E76" s="160"/>
      <c r="F76" s="143"/>
      <c r="G76" s="143"/>
      <c r="H76" s="160"/>
      <c r="I76" s="44"/>
      <c r="J76" s="44"/>
      <c r="K76" s="64"/>
      <c r="L76" s="175"/>
      <c r="M76" s="175"/>
    </row>
    <row r="77" customFormat="false" ht="12.75" hidden="false" customHeight="false" outlineLevel="0" collapsed="false">
      <c r="B77" s="333"/>
      <c r="C77" s="333"/>
      <c r="D77" s="141"/>
      <c r="E77" s="160"/>
      <c r="F77" s="143"/>
      <c r="G77" s="143"/>
      <c r="H77" s="160"/>
      <c r="I77" s="44"/>
      <c r="J77" s="44"/>
      <c r="K77" s="64"/>
      <c r="L77" s="175"/>
      <c r="M77" s="175"/>
    </row>
    <row r="78" customFormat="false" ht="12.75" hidden="false" customHeight="false" outlineLevel="0" collapsed="false">
      <c r="B78" s="333"/>
      <c r="C78" s="333"/>
      <c r="D78" s="141"/>
      <c r="E78" s="160"/>
      <c r="F78" s="143"/>
      <c r="G78" s="143"/>
      <c r="H78" s="160"/>
      <c r="I78" s="44"/>
      <c r="J78" s="44"/>
      <c r="K78" s="64"/>
    </row>
    <row r="79" customFormat="false" ht="12.75" hidden="false" customHeight="false" outlineLevel="0" collapsed="false">
      <c r="B79" s="333"/>
      <c r="C79" s="333"/>
      <c r="D79" s="141"/>
      <c r="E79" s="160"/>
      <c r="F79" s="143"/>
      <c r="G79" s="143"/>
      <c r="H79" s="160"/>
      <c r="I79" s="44"/>
      <c r="J79" s="44"/>
      <c r="K79" s="64"/>
    </row>
    <row r="80" customFormat="false" ht="12.75" hidden="false" customHeight="false" outlineLevel="0" collapsed="false">
      <c r="B80" s="333"/>
      <c r="C80" s="333"/>
      <c r="D80" s="141"/>
      <c r="E80" s="160"/>
      <c r="F80" s="143"/>
      <c r="G80" s="143"/>
      <c r="H80" s="160"/>
      <c r="I80" s="44"/>
      <c r="J80" s="44"/>
      <c r="K80" s="64"/>
    </row>
    <row r="81" customFormat="false" ht="12.75" hidden="false" customHeight="false" outlineLevel="0" collapsed="false">
      <c r="B81" s="333"/>
      <c r="C81" s="333"/>
      <c r="D81" s="141"/>
      <c r="E81" s="160"/>
      <c r="F81" s="143"/>
      <c r="G81" s="143"/>
      <c r="H81" s="160"/>
      <c r="I81" s="44"/>
      <c r="J81" s="44"/>
      <c r="K81" s="64"/>
    </row>
    <row r="82" customFormat="false" ht="12.75" hidden="false" customHeight="false" outlineLevel="0" collapsed="false">
      <c r="B82" s="333"/>
      <c r="C82" s="333"/>
      <c r="D82" s="141"/>
      <c r="E82" s="160"/>
      <c r="F82" s="143"/>
      <c r="G82" s="143"/>
      <c r="H82" s="160"/>
      <c r="I82" s="44"/>
      <c r="J82" s="44"/>
      <c r="K82" s="64"/>
      <c r="L82" s="163"/>
    </row>
    <row r="83" customFormat="false" ht="12.75" hidden="false" customHeight="false" outlineLevel="0" collapsed="false">
      <c r="B83" s="333"/>
      <c r="C83" s="333"/>
      <c r="D83" s="141"/>
      <c r="E83" s="160"/>
      <c r="F83" s="143"/>
      <c r="G83" s="143"/>
      <c r="H83" s="160"/>
      <c r="I83" s="44"/>
      <c r="J83" s="44"/>
      <c r="K83" s="64"/>
    </row>
    <row r="84" customFormat="false" ht="12.75" hidden="false" customHeight="false" outlineLevel="0" collapsed="false">
      <c r="B84" s="333"/>
      <c r="C84" s="333"/>
      <c r="D84" s="141"/>
      <c r="E84" s="160"/>
      <c r="F84" s="143"/>
      <c r="G84" s="143"/>
      <c r="H84" s="160"/>
      <c r="I84" s="44"/>
      <c r="J84" s="44"/>
      <c r="K84" s="64"/>
    </row>
    <row r="85" customFormat="false" ht="12.75" hidden="false" customHeight="false" outlineLevel="0" collapsed="false">
      <c r="B85" s="333"/>
      <c r="C85" s="333"/>
      <c r="D85" s="141"/>
      <c r="E85" s="160"/>
      <c r="F85" s="143"/>
      <c r="G85" s="143"/>
      <c r="H85" s="160"/>
      <c r="I85" s="44"/>
      <c r="J85" s="44"/>
      <c r="K85" s="64"/>
    </row>
    <row r="86" customFormat="false" ht="12.75" hidden="false" customHeight="false" outlineLevel="0" collapsed="false">
      <c r="B86" s="333"/>
      <c r="C86" s="333"/>
      <c r="D86" s="141"/>
      <c r="E86" s="160"/>
      <c r="F86" s="143"/>
      <c r="G86" s="143"/>
      <c r="H86" s="160"/>
      <c r="I86" s="44"/>
      <c r="J86" s="44"/>
      <c r="K86" s="64"/>
    </row>
    <row r="87" customFormat="false" ht="12.75" hidden="false" customHeight="false" outlineLevel="0" collapsed="false">
      <c r="B87" s="333"/>
      <c r="C87" s="333"/>
      <c r="D87" s="141"/>
      <c r="E87" s="160"/>
      <c r="F87" s="143"/>
      <c r="G87" s="143"/>
      <c r="H87" s="160"/>
      <c r="I87" s="44"/>
      <c r="J87" s="44"/>
      <c r="K87" s="64"/>
    </row>
    <row r="88" customFormat="false" ht="12.75" hidden="false" customHeight="false" outlineLevel="0" collapsed="false">
      <c r="B88" s="333"/>
      <c r="C88" s="333"/>
      <c r="D88" s="141"/>
      <c r="E88" s="160"/>
      <c r="F88" s="143"/>
      <c r="G88" s="143"/>
      <c r="H88" s="160"/>
      <c r="I88" s="44"/>
      <c r="J88" s="44"/>
      <c r="K88" s="64"/>
      <c r="L88" s="81"/>
    </row>
    <row r="89" customFormat="false" ht="12.75" hidden="false" customHeight="false" outlineLevel="0" collapsed="false">
      <c r="B89" s="333"/>
      <c r="C89" s="333"/>
      <c r="D89" s="141"/>
      <c r="E89" s="160"/>
      <c r="F89" s="143"/>
      <c r="G89" s="143"/>
      <c r="H89" s="160"/>
      <c r="I89" s="44"/>
      <c r="J89" s="44"/>
      <c r="K89" s="64"/>
    </row>
    <row r="90" customFormat="false" ht="12.75" hidden="false" customHeight="false" outlineLevel="0" collapsed="false">
      <c r="B90" s="333"/>
      <c r="C90" s="333"/>
      <c r="D90" s="141"/>
      <c r="E90" s="160"/>
      <c r="F90" s="143"/>
      <c r="G90" s="143"/>
      <c r="H90" s="160"/>
      <c r="I90" s="44"/>
      <c r="J90" s="44"/>
      <c r="K90" s="64"/>
    </row>
    <row r="91" customFormat="false" ht="12.75" hidden="false" customHeight="false" outlineLevel="0" collapsed="false">
      <c r="B91" s="333"/>
      <c r="C91" s="333"/>
      <c r="D91" s="141"/>
      <c r="E91" s="160"/>
      <c r="F91" s="143"/>
      <c r="G91" s="143"/>
      <c r="H91" s="160"/>
      <c r="I91" s="44"/>
      <c r="J91" s="44"/>
      <c r="K91" s="64"/>
    </row>
    <row r="92" customFormat="false" ht="12.75" hidden="false" customHeight="false" outlineLevel="0" collapsed="false">
      <c r="B92" s="333"/>
      <c r="C92" s="333"/>
      <c r="D92" s="141"/>
      <c r="E92" s="160"/>
      <c r="F92" s="143"/>
      <c r="G92" s="143"/>
      <c r="H92" s="160"/>
      <c r="I92" s="44"/>
      <c r="J92" s="44"/>
      <c r="K92" s="64"/>
    </row>
    <row r="93" customFormat="false" ht="12.75" hidden="false" customHeight="false" outlineLevel="0" collapsed="false">
      <c r="B93" s="333"/>
      <c r="C93" s="333"/>
      <c r="D93" s="141"/>
      <c r="E93" s="160"/>
      <c r="F93" s="143"/>
      <c r="G93" s="143"/>
      <c r="H93" s="160"/>
      <c r="I93" s="44"/>
      <c r="J93" s="44"/>
      <c r="K93" s="64"/>
    </row>
    <row r="94" customFormat="false" ht="12.75" hidden="false" customHeight="false" outlineLevel="0" collapsed="false">
      <c r="B94" s="333"/>
      <c r="C94" s="333"/>
      <c r="D94" s="141"/>
      <c r="E94" s="160"/>
      <c r="F94" s="143"/>
      <c r="G94" s="143"/>
      <c r="H94" s="160"/>
      <c r="I94" s="44"/>
      <c r="J94" s="44"/>
      <c r="K94" s="64"/>
    </row>
    <row r="95" customFormat="false" ht="12.75" hidden="false" customHeight="false" outlineLevel="0" collapsed="false">
      <c r="B95" s="333"/>
      <c r="C95" s="333"/>
      <c r="D95" s="141"/>
      <c r="E95" s="160"/>
      <c r="F95" s="143"/>
      <c r="G95" s="143"/>
      <c r="H95" s="160"/>
      <c r="I95" s="44"/>
      <c r="J95" s="44"/>
      <c r="K95" s="64"/>
    </row>
    <row r="96" customFormat="false" ht="12.75" hidden="false" customHeight="false" outlineLevel="0" collapsed="false">
      <c r="B96" s="333"/>
      <c r="C96" s="333"/>
      <c r="D96" s="141"/>
      <c r="E96" s="160"/>
      <c r="F96" s="143"/>
      <c r="G96" s="143"/>
      <c r="H96" s="160"/>
      <c r="I96" s="44"/>
      <c r="J96" s="44"/>
      <c r="K96" s="64"/>
    </row>
    <row r="97" customFormat="false" ht="12.75" hidden="false" customHeight="false" outlineLevel="0" collapsed="false">
      <c r="B97" s="333"/>
      <c r="C97" s="333"/>
      <c r="D97" s="141"/>
      <c r="E97" s="160"/>
      <c r="F97" s="143"/>
      <c r="G97" s="143"/>
      <c r="H97" s="160"/>
      <c r="I97" s="44"/>
      <c r="J97" s="44"/>
      <c r="K97" s="64"/>
    </row>
    <row r="98" customFormat="false" ht="12.75" hidden="false" customHeight="false" outlineLevel="0" collapsed="false">
      <c r="B98" s="333"/>
      <c r="C98" s="333"/>
      <c r="D98" s="141"/>
      <c r="E98" s="160"/>
      <c r="F98" s="143"/>
      <c r="G98" s="143"/>
      <c r="H98" s="160"/>
      <c r="I98" s="44"/>
      <c r="J98" s="44"/>
      <c r="K98" s="64"/>
    </row>
    <row r="99" customFormat="false" ht="12.75" hidden="false" customHeight="false" outlineLevel="0" collapsed="false">
      <c r="B99" s="333"/>
      <c r="C99" s="333"/>
      <c r="D99" s="141"/>
      <c r="E99" s="160"/>
      <c r="F99" s="143"/>
      <c r="G99" s="143"/>
      <c r="H99" s="160"/>
      <c r="I99" s="44"/>
      <c r="J99" s="44"/>
      <c r="K99" s="64"/>
    </row>
    <row r="100" customFormat="false" ht="12.75" hidden="false" customHeight="false" outlineLevel="0" collapsed="false">
      <c r="B100" s="333"/>
      <c r="C100" s="333"/>
      <c r="D100" s="141"/>
      <c r="E100" s="160"/>
      <c r="F100" s="143"/>
      <c r="G100" s="143"/>
      <c r="H100" s="160"/>
      <c r="I100" s="44"/>
      <c r="J100" s="44"/>
      <c r="K100" s="64"/>
    </row>
    <row r="101" customFormat="false" ht="12.75" hidden="false" customHeight="false" outlineLevel="0" collapsed="false">
      <c r="B101" s="333"/>
      <c r="C101" s="333"/>
      <c r="D101" s="141"/>
      <c r="E101" s="142"/>
      <c r="F101" s="143"/>
      <c r="G101" s="143"/>
      <c r="H101" s="160"/>
      <c r="I101" s="44"/>
      <c r="J101" s="44"/>
      <c r="K101" s="64"/>
    </row>
    <row r="102" customFormat="false" ht="12.75" hidden="false" customHeight="false" outlineLevel="0" collapsed="false">
      <c r="J102" s="334"/>
      <c r="K102" s="335" t="n">
        <f aca="false">SUM(K52:K101)</f>
        <v>0</v>
      </c>
    </row>
    <row r="103" customFormat="false" ht="12.75" hidden="false" customHeight="false" outlineLevel="0" collapsed="false">
      <c r="B103" s="167"/>
      <c r="C103" s="167"/>
      <c r="D103" s="289"/>
      <c r="E103" s="167"/>
      <c r="F103" s="167"/>
      <c r="G103" s="167"/>
      <c r="H103" s="167"/>
      <c r="I103" s="167"/>
      <c r="J103" s="167"/>
    </row>
    <row r="104" customFormat="false" ht="12.75" hidden="false" customHeight="false" outlineLevel="0" collapsed="false">
      <c r="B104" s="167"/>
      <c r="C104" s="167"/>
      <c r="D104" s="289"/>
      <c r="E104" s="167"/>
      <c r="F104" s="167"/>
      <c r="G104" s="167"/>
      <c r="H104" s="167"/>
      <c r="I104" s="167"/>
      <c r="J104" s="167"/>
    </row>
    <row r="105" customFormat="false" ht="12.75" hidden="false" customHeight="false" outlineLevel="0" collapsed="false">
      <c r="B105" s="167"/>
      <c r="C105" s="167"/>
      <c r="D105" s="289"/>
      <c r="E105" s="167"/>
      <c r="F105" s="167"/>
      <c r="G105" s="167"/>
      <c r="H105" s="167"/>
      <c r="I105" s="167"/>
      <c r="J105" s="167"/>
    </row>
    <row r="106" customFormat="false" ht="12.75" hidden="false" customHeight="false" outlineLevel="0" collapsed="false">
      <c r="B106" s="167"/>
      <c r="C106" s="167"/>
      <c r="D106" s="289"/>
      <c r="E106" s="167"/>
      <c r="F106" s="167"/>
      <c r="G106" s="167"/>
      <c r="H106" s="167"/>
      <c r="I106" s="167"/>
      <c r="J106" s="167"/>
    </row>
    <row r="107" customFormat="false" ht="12.75" hidden="false" customHeight="false" outlineLevel="0" collapsed="false">
      <c r="B107" s="167"/>
      <c r="C107" s="167"/>
      <c r="D107" s="289"/>
      <c r="E107" s="167"/>
      <c r="F107" s="167"/>
      <c r="G107" s="167"/>
      <c r="H107" s="167"/>
      <c r="I107" s="167"/>
      <c r="J107" s="167"/>
    </row>
    <row r="108" customFormat="false" ht="12.75" hidden="false" customHeight="false" outlineLevel="0" collapsed="false">
      <c r="B108" s="167"/>
      <c r="C108" s="167"/>
      <c r="D108" s="289"/>
      <c r="E108" s="167"/>
      <c r="F108" s="167"/>
      <c r="G108" s="167"/>
      <c r="H108" s="167"/>
      <c r="I108" s="167"/>
      <c r="J108" s="167"/>
    </row>
    <row r="109" customFormat="false" ht="12.75" hidden="false" customHeight="false" outlineLevel="0" collapsed="false">
      <c r="B109" s="167"/>
      <c r="C109" s="167"/>
      <c r="D109" s="289"/>
      <c r="E109" s="167"/>
      <c r="F109" s="167"/>
      <c r="G109" s="167"/>
      <c r="H109" s="167"/>
      <c r="I109" s="167"/>
      <c r="J109" s="167"/>
    </row>
    <row r="110" customFormat="false" ht="12.75" hidden="false" customHeight="false" outlineLevel="0" collapsed="false">
      <c r="B110" s="167"/>
      <c r="C110" s="167"/>
      <c r="D110" s="289"/>
      <c r="E110" s="167"/>
      <c r="F110" s="167"/>
      <c r="G110" s="167"/>
      <c r="H110" s="167"/>
      <c r="I110" s="167"/>
      <c r="J110" s="167"/>
    </row>
    <row r="111" customFormat="false" ht="12.75" hidden="false" customHeight="false" outlineLevel="0" collapsed="false">
      <c r="B111" s="167"/>
      <c r="C111" s="167"/>
      <c r="D111" s="289"/>
      <c r="E111" s="167"/>
      <c r="F111" s="167"/>
      <c r="G111" s="167"/>
      <c r="H111" s="167"/>
      <c r="I111" s="167"/>
      <c r="J111" s="167"/>
    </row>
    <row r="112" customFormat="false" ht="12.75" hidden="false" customHeight="false" outlineLevel="0" collapsed="false">
      <c r="B112" s="167"/>
      <c r="C112" s="167"/>
      <c r="D112" s="289"/>
      <c r="E112" s="167"/>
      <c r="F112" s="167"/>
      <c r="G112" s="167"/>
      <c r="H112" s="167"/>
      <c r="I112" s="167"/>
      <c r="J112" s="167"/>
    </row>
    <row r="113" customFormat="false" ht="12.75" hidden="false" customHeight="false" outlineLevel="0" collapsed="false">
      <c r="B113" s="167"/>
      <c r="C113" s="167"/>
      <c r="D113" s="289"/>
      <c r="E113" s="167"/>
      <c r="F113" s="167"/>
      <c r="G113" s="167"/>
      <c r="H113" s="167"/>
      <c r="I113" s="167"/>
      <c r="J113" s="167"/>
    </row>
    <row r="114" customFormat="false" ht="12.75" hidden="false" customHeight="false" outlineLevel="0" collapsed="false">
      <c r="B114" s="167"/>
      <c r="C114" s="167"/>
      <c r="D114" s="289"/>
      <c r="E114" s="167"/>
      <c r="F114" s="167"/>
      <c r="G114" s="167"/>
      <c r="H114" s="167"/>
      <c r="I114" s="167"/>
      <c r="J114" s="167"/>
    </row>
    <row r="115" customFormat="false" ht="12.75" hidden="false" customHeight="false" outlineLevel="0" collapsed="false">
      <c r="B115" s="167"/>
      <c r="C115" s="167"/>
      <c r="D115" s="289"/>
      <c r="E115" s="167"/>
      <c r="F115" s="167"/>
      <c r="G115" s="167"/>
      <c r="H115" s="167"/>
      <c r="I115" s="167"/>
      <c r="J115" s="167"/>
    </row>
    <row r="116" customFormat="false" ht="12.75" hidden="false" customHeight="false" outlineLevel="0" collapsed="false">
      <c r="B116" s="167"/>
      <c r="C116" s="167"/>
      <c r="D116" s="289"/>
      <c r="E116" s="167"/>
      <c r="F116" s="167"/>
      <c r="G116" s="167"/>
      <c r="H116" s="167"/>
      <c r="I116" s="167"/>
      <c r="J116" s="167"/>
    </row>
    <row r="117" customFormat="false" ht="12.75" hidden="false" customHeight="false" outlineLevel="0" collapsed="false">
      <c r="B117" s="167"/>
      <c r="C117" s="167"/>
      <c r="D117" s="289"/>
      <c r="E117" s="167"/>
      <c r="F117" s="167"/>
      <c r="G117" s="167"/>
      <c r="H117" s="167"/>
      <c r="I117" s="167"/>
      <c r="J117" s="167"/>
    </row>
    <row r="118" customFormat="false" ht="12.75" hidden="false" customHeight="false" outlineLevel="0" collapsed="false">
      <c r="B118" s="167"/>
      <c r="C118" s="167"/>
      <c r="D118" s="289"/>
      <c r="E118" s="167"/>
      <c r="F118" s="167"/>
      <c r="G118" s="167"/>
      <c r="H118" s="167"/>
      <c r="I118" s="167"/>
      <c r="J118" s="167"/>
    </row>
    <row r="119" customFormat="false" ht="12.75" hidden="false" customHeight="false" outlineLevel="0" collapsed="false">
      <c r="B119" s="167"/>
      <c r="C119" s="167"/>
      <c r="D119" s="289"/>
      <c r="E119" s="167"/>
      <c r="F119" s="167"/>
      <c r="G119" s="167"/>
      <c r="H119" s="167"/>
      <c r="I119" s="167"/>
      <c r="J119" s="167"/>
    </row>
    <row r="120" customFormat="false" ht="12.75" hidden="false" customHeight="false" outlineLevel="0" collapsed="false">
      <c r="B120" s="167"/>
      <c r="C120" s="167"/>
      <c r="D120" s="289"/>
      <c r="E120" s="167"/>
      <c r="F120" s="167"/>
      <c r="G120" s="167"/>
      <c r="H120" s="167"/>
      <c r="I120" s="167"/>
      <c r="J120" s="167"/>
    </row>
    <row r="121" customFormat="false" ht="12.75" hidden="false" customHeight="false" outlineLevel="0" collapsed="false">
      <c r="B121" s="167"/>
      <c r="C121" s="167"/>
      <c r="D121" s="289"/>
      <c r="E121" s="167"/>
      <c r="F121" s="167"/>
      <c r="G121" s="167"/>
      <c r="H121" s="167"/>
      <c r="I121" s="167"/>
      <c r="J121" s="167"/>
    </row>
    <row r="122" customFormat="false" ht="12.75" hidden="false" customHeight="false" outlineLevel="0" collapsed="false">
      <c r="B122" s="167"/>
      <c r="C122" s="167"/>
      <c r="D122" s="289"/>
      <c r="E122" s="167"/>
      <c r="F122" s="167"/>
      <c r="G122" s="167"/>
      <c r="H122" s="167"/>
      <c r="I122" s="167"/>
      <c r="J122" s="167"/>
    </row>
    <row r="123" customFormat="false" ht="12.75" hidden="false" customHeight="false" outlineLevel="0" collapsed="false">
      <c r="B123" s="167"/>
      <c r="C123" s="167"/>
      <c r="D123" s="289"/>
      <c r="E123" s="167"/>
      <c r="F123" s="167"/>
      <c r="G123" s="167"/>
      <c r="H123" s="167"/>
      <c r="I123" s="167"/>
      <c r="J123" s="167"/>
    </row>
    <row r="124" customFormat="false" ht="12.75" hidden="false" customHeight="false" outlineLevel="0" collapsed="false">
      <c r="B124" s="167"/>
      <c r="C124" s="167"/>
      <c r="D124" s="289"/>
      <c r="E124" s="167"/>
      <c r="F124" s="167"/>
      <c r="G124" s="167"/>
      <c r="H124" s="167"/>
      <c r="I124" s="167"/>
      <c r="J124" s="167"/>
    </row>
    <row r="125" customFormat="false" ht="12.75" hidden="false" customHeight="false" outlineLevel="0" collapsed="false">
      <c r="B125" s="167"/>
      <c r="C125" s="167"/>
      <c r="D125" s="289"/>
      <c r="E125" s="167"/>
      <c r="F125" s="167"/>
      <c r="G125" s="167"/>
      <c r="H125" s="167"/>
      <c r="I125" s="167"/>
      <c r="J125" s="167"/>
    </row>
    <row r="126" customFormat="false" ht="12.75" hidden="false" customHeight="false" outlineLevel="0" collapsed="false">
      <c r="B126" s="167"/>
      <c r="C126" s="167"/>
      <c r="D126" s="289"/>
      <c r="E126" s="167"/>
      <c r="F126" s="167"/>
      <c r="G126" s="167"/>
      <c r="H126" s="167"/>
      <c r="I126" s="167"/>
      <c r="J126" s="167"/>
    </row>
    <row r="127" customFormat="false" ht="12.75" hidden="false" customHeight="false" outlineLevel="0" collapsed="false">
      <c r="B127" s="167"/>
      <c r="C127" s="167"/>
      <c r="D127" s="289"/>
      <c r="E127" s="167"/>
      <c r="F127" s="167"/>
      <c r="G127" s="167"/>
      <c r="H127" s="167"/>
      <c r="I127" s="167"/>
      <c r="J127" s="167"/>
    </row>
    <row r="128" customFormat="false" ht="12.75" hidden="false" customHeight="false" outlineLevel="0" collapsed="false">
      <c r="B128" s="167"/>
      <c r="C128" s="167"/>
      <c r="D128" s="289"/>
      <c r="E128" s="167"/>
      <c r="F128" s="167"/>
      <c r="G128" s="167"/>
      <c r="H128" s="167"/>
      <c r="I128" s="167"/>
      <c r="J128" s="167"/>
    </row>
    <row r="129" customFormat="false" ht="12.75" hidden="false" customHeight="false" outlineLevel="0" collapsed="false">
      <c r="B129" s="167"/>
      <c r="C129" s="167"/>
      <c r="D129" s="289"/>
      <c r="E129" s="167"/>
      <c r="F129" s="167"/>
      <c r="G129" s="167"/>
      <c r="H129" s="167"/>
      <c r="I129" s="167"/>
      <c r="J129" s="167"/>
    </row>
    <row r="130" customFormat="false" ht="12.75" hidden="false" customHeight="false" outlineLevel="0" collapsed="false">
      <c r="B130" s="167"/>
      <c r="C130" s="167"/>
      <c r="D130" s="289"/>
      <c r="E130" s="167"/>
      <c r="F130" s="167"/>
      <c r="G130" s="167"/>
      <c r="H130" s="167"/>
      <c r="I130" s="167"/>
      <c r="J130" s="167"/>
    </row>
    <row r="131" customFormat="false" ht="12.75" hidden="false" customHeight="false" outlineLevel="0" collapsed="false">
      <c r="B131" s="167"/>
      <c r="C131" s="167"/>
      <c r="D131" s="289"/>
      <c r="E131" s="167"/>
      <c r="F131" s="167"/>
      <c r="G131" s="167"/>
      <c r="H131" s="167"/>
      <c r="I131" s="167"/>
      <c r="J131" s="167"/>
    </row>
    <row r="132" customFormat="false" ht="12.75" hidden="false" customHeight="false" outlineLevel="0" collapsed="false">
      <c r="B132" s="167"/>
      <c r="C132" s="167"/>
      <c r="D132" s="289"/>
      <c r="E132" s="167"/>
      <c r="F132" s="167"/>
      <c r="G132" s="167"/>
      <c r="H132" s="167"/>
      <c r="I132" s="167"/>
      <c r="J132" s="167"/>
    </row>
    <row r="133" customFormat="false" ht="12.75" hidden="false" customHeight="false" outlineLevel="0" collapsed="false">
      <c r="B133" s="167"/>
      <c r="C133" s="167"/>
      <c r="D133" s="289"/>
      <c r="E133" s="167"/>
      <c r="F133" s="167"/>
      <c r="G133" s="167"/>
      <c r="H133" s="167"/>
      <c r="I133" s="167"/>
      <c r="J133" s="167"/>
    </row>
    <row r="134" customFormat="false" ht="12.75" hidden="false" customHeight="false" outlineLevel="0" collapsed="false">
      <c r="B134" s="167"/>
      <c r="C134" s="167"/>
      <c r="D134" s="289"/>
      <c r="E134" s="167"/>
      <c r="F134" s="167"/>
      <c r="G134" s="167"/>
      <c r="H134" s="167"/>
      <c r="I134" s="167"/>
      <c r="J134" s="167"/>
    </row>
    <row r="135" customFormat="false" ht="12.75" hidden="false" customHeight="false" outlineLevel="0" collapsed="false">
      <c r="B135" s="167"/>
      <c r="C135" s="167"/>
      <c r="D135" s="289"/>
      <c r="E135" s="167"/>
      <c r="F135" s="167"/>
      <c r="G135" s="167"/>
      <c r="H135" s="167"/>
      <c r="I135" s="167"/>
      <c r="J135" s="167"/>
    </row>
    <row r="136" customFormat="false" ht="12.75" hidden="false" customHeight="false" outlineLevel="0" collapsed="false">
      <c r="B136" s="167"/>
      <c r="C136" s="167"/>
      <c r="D136" s="289"/>
      <c r="E136" s="167"/>
      <c r="F136" s="167"/>
      <c r="G136" s="167"/>
      <c r="H136" s="167"/>
      <c r="I136" s="167"/>
      <c r="J136" s="167"/>
    </row>
    <row r="137" customFormat="false" ht="12.75" hidden="false" customHeight="false" outlineLevel="0" collapsed="false">
      <c r="B137" s="167"/>
      <c r="C137" s="167"/>
      <c r="D137" s="289"/>
      <c r="E137" s="167"/>
      <c r="F137" s="167"/>
      <c r="G137" s="167"/>
      <c r="H137" s="167"/>
      <c r="I137" s="167"/>
      <c r="J137" s="167"/>
    </row>
    <row r="138" customFormat="false" ht="12.75" hidden="false" customHeight="false" outlineLevel="0" collapsed="false">
      <c r="B138" s="167"/>
      <c r="C138" s="167"/>
      <c r="D138" s="289"/>
      <c r="E138" s="167"/>
      <c r="F138" s="167"/>
      <c r="G138" s="167"/>
      <c r="H138" s="167"/>
      <c r="I138" s="167"/>
      <c r="J138" s="167"/>
    </row>
    <row r="139" customFormat="false" ht="12.75" hidden="false" customHeight="false" outlineLevel="0" collapsed="false">
      <c r="B139" s="167"/>
      <c r="C139" s="167"/>
      <c r="D139" s="289"/>
      <c r="E139" s="167"/>
      <c r="F139" s="167"/>
      <c r="G139" s="167"/>
      <c r="H139" s="167"/>
      <c r="I139" s="167"/>
      <c r="J139" s="167"/>
    </row>
    <row r="140" customFormat="false" ht="12.75" hidden="false" customHeight="false" outlineLevel="0" collapsed="false">
      <c r="B140" s="167"/>
      <c r="C140" s="167"/>
      <c r="D140" s="289"/>
      <c r="E140" s="167"/>
      <c r="F140" s="167"/>
      <c r="G140" s="167"/>
      <c r="H140" s="167"/>
      <c r="I140" s="167"/>
      <c r="J140" s="167"/>
    </row>
    <row r="141" customFormat="false" ht="12.75" hidden="false" customHeight="false" outlineLevel="0" collapsed="false">
      <c r="B141" s="167"/>
      <c r="C141" s="167"/>
      <c r="D141" s="289"/>
      <c r="E141" s="167"/>
      <c r="F141" s="167"/>
      <c r="G141" s="167"/>
      <c r="H141" s="167"/>
      <c r="I141" s="167"/>
      <c r="J141" s="167"/>
    </row>
    <row r="142" customFormat="false" ht="12.75" hidden="false" customHeight="false" outlineLevel="0" collapsed="false">
      <c r="B142" s="167"/>
      <c r="C142" s="167"/>
      <c r="D142" s="289"/>
      <c r="E142" s="167"/>
      <c r="F142" s="167"/>
      <c r="G142" s="167"/>
      <c r="H142" s="167"/>
      <c r="I142" s="167"/>
      <c r="J142" s="167"/>
    </row>
    <row r="143" customFormat="false" ht="12.75" hidden="false" customHeight="false" outlineLevel="0" collapsed="false">
      <c r="B143" s="167"/>
      <c r="C143" s="167"/>
      <c r="D143" s="289"/>
      <c r="E143" s="167"/>
      <c r="F143" s="167"/>
      <c r="G143" s="167"/>
      <c r="H143" s="167"/>
      <c r="I143" s="167"/>
      <c r="J143" s="167"/>
    </row>
    <row r="144" customFormat="false" ht="12.75" hidden="false" customHeight="false" outlineLevel="0" collapsed="false">
      <c r="B144" s="167"/>
      <c r="C144" s="167"/>
      <c r="D144" s="289"/>
      <c r="E144" s="167"/>
      <c r="F144" s="167"/>
      <c r="G144" s="167"/>
      <c r="H144" s="167"/>
      <c r="I144" s="167"/>
      <c r="J144" s="167"/>
    </row>
    <row r="145" customFormat="false" ht="12.75" hidden="false" customHeight="false" outlineLevel="0" collapsed="false">
      <c r="B145" s="167"/>
      <c r="C145" s="167"/>
      <c r="D145" s="289"/>
      <c r="E145" s="167"/>
      <c r="F145" s="167"/>
      <c r="G145" s="167"/>
      <c r="H145" s="167"/>
      <c r="I145" s="167"/>
      <c r="J145" s="167"/>
    </row>
    <row r="146" customFormat="false" ht="12.75" hidden="false" customHeight="false" outlineLevel="0" collapsed="false">
      <c r="B146" s="167"/>
      <c r="C146" s="167"/>
      <c r="D146" s="289"/>
      <c r="E146" s="167"/>
      <c r="F146" s="167"/>
      <c r="G146" s="167"/>
      <c r="H146" s="167"/>
      <c r="I146" s="167"/>
      <c r="J146" s="167"/>
    </row>
    <row r="147" customFormat="false" ht="12.75" hidden="false" customHeight="false" outlineLevel="0" collapsed="false">
      <c r="B147" s="167"/>
      <c r="C147" s="167"/>
      <c r="D147" s="289"/>
      <c r="E147" s="167"/>
      <c r="F147" s="167"/>
      <c r="G147" s="167"/>
      <c r="H147" s="167"/>
      <c r="I147" s="167"/>
      <c r="J147" s="167"/>
    </row>
    <row r="148" customFormat="false" ht="12.75" hidden="false" customHeight="false" outlineLevel="0" collapsed="false">
      <c r="B148" s="167"/>
      <c r="C148" s="167"/>
      <c r="D148" s="289"/>
      <c r="E148" s="167"/>
      <c r="F148" s="167"/>
      <c r="G148" s="167"/>
      <c r="H148" s="167"/>
      <c r="I148" s="167"/>
      <c r="J148" s="167"/>
    </row>
    <row r="149" customFormat="false" ht="12.75" hidden="false" customHeight="false" outlineLevel="0" collapsed="false">
      <c r="B149" s="167"/>
      <c r="C149" s="167"/>
      <c r="D149" s="289"/>
      <c r="E149" s="167"/>
      <c r="F149" s="167"/>
      <c r="G149" s="167"/>
      <c r="H149" s="167"/>
      <c r="I149" s="167"/>
      <c r="J149" s="167"/>
    </row>
    <row r="150" customFormat="false" ht="12.75" hidden="false" customHeight="false" outlineLevel="0" collapsed="false">
      <c r="B150" s="167"/>
      <c r="C150" s="167"/>
      <c r="D150" s="289"/>
      <c r="E150" s="167"/>
      <c r="F150" s="167"/>
      <c r="G150" s="167"/>
      <c r="H150" s="167"/>
      <c r="I150" s="167"/>
      <c r="J150" s="167"/>
    </row>
    <row r="151" customFormat="false" ht="12.75" hidden="false" customHeight="false" outlineLevel="0" collapsed="false">
      <c r="B151" s="167"/>
      <c r="C151" s="167"/>
      <c r="D151" s="289"/>
      <c r="E151" s="167"/>
      <c r="F151" s="167"/>
      <c r="G151" s="167"/>
      <c r="H151" s="167"/>
      <c r="I151" s="167"/>
      <c r="J151" s="167"/>
    </row>
    <row r="152" customFormat="false" ht="12.75" hidden="false" customHeight="false" outlineLevel="0" collapsed="false">
      <c r="B152" s="167"/>
      <c r="C152" s="167"/>
      <c r="D152" s="289"/>
      <c r="E152" s="167"/>
      <c r="F152" s="167"/>
      <c r="G152" s="167"/>
      <c r="H152" s="167"/>
      <c r="I152" s="167"/>
      <c r="J152" s="167"/>
    </row>
    <row r="153" customFormat="false" ht="12.75" hidden="false" customHeight="false" outlineLevel="0" collapsed="false">
      <c r="B153" s="167"/>
      <c r="C153" s="167"/>
      <c r="D153" s="289"/>
      <c r="E153" s="167"/>
      <c r="F153" s="167"/>
      <c r="G153" s="167"/>
      <c r="H153" s="167"/>
      <c r="I153" s="167"/>
      <c r="J153" s="167"/>
    </row>
    <row r="154" customFormat="false" ht="12.75" hidden="false" customHeight="false" outlineLevel="0" collapsed="false">
      <c r="B154" s="167"/>
      <c r="C154" s="167"/>
      <c r="D154" s="289"/>
      <c r="E154" s="167"/>
      <c r="F154" s="167"/>
      <c r="G154" s="167"/>
      <c r="H154" s="167"/>
      <c r="I154" s="167"/>
      <c r="J154" s="167"/>
    </row>
    <row r="155" customFormat="false" ht="12.75" hidden="false" customHeight="false" outlineLevel="0" collapsed="false">
      <c r="B155" s="167"/>
      <c r="C155" s="167"/>
      <c r="D155" s="289"/>
      <c r="E155" s="167"/>
      <c r="F155" s="167"/>
      <c r="G155" s="167"/>
      <c r="H155" s="167"/>
      <c r="I155" s="167"/>
      <c r="J155" s="167"/>
    </row>
    <row r="156" customFormat="false" ht="12.75" hidden="false" customHeight="false" outlineLevel="0" collapsed="false">
      <c r="B156" s="167"/>
      <c r="C156" s="167"/>
      <c r="D156" s="289"/>
      <c r="E156" s="167"/>
      <c r="F156" s="167"/>
      <c r="G156" s="167"/>
      <c r="H156" s="167"/>
      <c r="I156" s="167"/>
      <c r="J156" s="167"/>
    </row>
    <row r="157" customFormat="false" ht="12.75" hidden="false" customHeight="false" outlineLevel="0" collapsed="false">
      <c r="B157" s="167"/>
      <c r="C157" s="167"/>
      <c r="D157" s="289"/>
      <c r="E157" s="167"/>
      <c r="F157" s="167"/>
      <c r="G157" s="167"/>
      <c r="H157" s="167"/>
      <c r="I157" s="167"/>
      <c r="J157" s="167"/>
    </row>
    <row r="158" customFormat="false" ht="12.75" hidden="false" customHeight="false" outlineLevel="0" collapsed="false">
      <c r="B158" s="167"/>
      <c r="C158" s="167"/>
      <c r="D158" s="289"/>
      <c r="E158" s="167"/>
      <c r="F158" s="167"/>
      <c r="G158" s="167"/>
      <c r="H158" s="167"/>
      <c r="I158" s="167"/>
      <c r="J158" s="167"/>
    </row>
    <row r="159" customFormat="false" ht="12.75" hidden="false" customHeight="false" outlineLevel="0" collapsed="false">
      <c r="B159" s="167"/>
      <c r="C159" s="167"/>
      <c r="D159" s="289"/>
      <c r="E159" s="167"/>
      <c r="F159" s="167"/>
      <c r="G159" s="167"/>
      <c r="H159" s="167"/>
      <c r="I159" s="167"/>
      <c r="J159" s="167"/>
    </row>
    <row r="160" customFormat="false" ht="12.75" hidden="false" customHeight="false" outlineLevel="0" collapsed="false">
      <c r="B160" s="167"/>
      <c r="C160" s="167"/>
      <c r="D160" s="289"/>
      <c r="E160" s="167"/>
      <c r="F160" s="167"/>
      <c r="G160" s="167"/>
      <c r="H160" s="167"/>
      <c r="I160" s="167"/>
      <c r="J160" s="167"/>
    </row>
    <row r="161" customFormat="false" ht="12.75" hidden="false" customHeight="false" outlineLevel="0" collapsed="false">
      <c r="B161" s="167"/>
      <c r="C161" s="167"/>
      <c r="D161" s="289"/>
      <c r="E161" s="167"/>
      <c r="F161" s="167"/>
      <c r="G161" s="167"/>
      <c r="H161" s="167"/>
      <c r="I161" s="167"/>
      <c r="J161" s="167"/>
    </row>
    <row r="162" customFormat="false" ht="12.75" hidden="false" customHeight="false" outlineLevel="0" collapsed="false">
      <c r="B162" s="167"/>
      <c r="C162" s="167"/>
      <c r="D162" s="289"/>
      <c r="E162" s="167"/>
      <c r="F162" s="167"/>
      <c r="G162" s="167"/>
      <c r="H162" s="167"/>
      <c r="I162" s="167"/>
      <c r="J162" s="167"/>
    </row>
    <row r="163" customFormat="false" ht="12.75" hidden="false" customHeight="false" outlineLevel="0" collapsed="false">
      <c r="B163" s="167"/>
      <c r="C163" s="167"/>
      <c r="D163" s="289"/>
      <c r="E163" s="167"/>
      <c r="F163" s="167"/>
      <c r="G163" s="167"/>
      <c r="H163" s="167"/>
      <c r="I163" s="167"/>
      <c r="J163" s="167"/>
    </row>
    <row r="164" customFormat="false" ht="12.75" hidden="false" customHeight="false" outlineLevel="0" collapsed="false">
      <c r="B164" s="167"/>
      <c r="C164" s="167"/>
      <c r="D164" s="289"/>
      <c r="E164" s="167"/>
      <c r="F164" s="167"/>
      <c r="G164" s="167"/>
      <c r="H164" s="167"/>
      <c r="I164" s="167"/>
      <c r="J164" s="167"/>
    </row>
    <row r="165" customFormat="false" ht="12.75" hidden="false" customHeight="false" outlineLevel="0" collapsed="false">
      <c r="B165" s="167"/>
      <c r="C165" s="167"/>
      <c r="D165" s="289"/>
      <c r="E165" s="167"/>
      <c r="F165" s="167"/>
      <c r="G165" s="167"/>
      <c r="H165" s="167"/>
      <c r="I165" s="167"/>
      <c r="J165" s="167"/>
    </row>
    <row r="166" customFormat="false" ht="12.75" hidden="false" customHeight="false" outlineLevel="0" collapsed="false">
      <c r="B166" s="167"/>
      <c r="C166" s="167"/>
      <c r="D166" s="289"/>
      <c r="E166" s="167"/>
      <c r="F166" s="167"/>
      <c r="G166" s="167"/>
      <c r="H166" s="167"/>
      <c r="I166" s="167"/>
      <c r="J166" s="167"/>
    </row>
    <row r="167" customFormat="false" ht="12.75" hidden="false" customHeight="false" outlineLevel="0" collapsed="false">
      <c r="B167" s="167"/>
      <c r="C167" s="167"/>
      <c r="D167" s="289"/>
      <c r="E167" s="167"/>
      <c r="F167" s="167"/>
      <c r="G167" s="167"/>
      <c r="H167" s="167"/>
      <c r="I167" s="167"/>
      <c r="J167" s="167"/>
    </row>
    <row r="168" customFormat="false" ht="12.75" hidden="false" customHeight="false" outlineLevel="0" collapsed="false">
      <c r="B168" s="167"/>
      <c r="C168" s="167"/>
      <c r="D168" s="289"/>
      <c r="E168" s="167"/>
      <c r="F168" s="167"/>
      <c r="G168" s="167"/>
      <c r="H168" s="167"/>
      <c r="I168" s="167"/>
      <c r="J168" s="167"/>
    </row>
    <row r="169" customFormat="false" ht="12.75" hidden="false" customHeight="false" outlineLevel="0" collapsed="false">
      <c r="B169" s="167"/>
      <c r="C169" s="167"/>
      <c r="D169" s="289"/>
      <c r="E169" s="167"/>
      <c r="F169" s="167"/>
      <c r="G169" s="167"/>
      <c r="H169" s="167"/>
      <c r="I169" s="167"/>
      <c r="J169" s="167"/>
    </row>
    <row r="170" customFormat="false" ht="12.75" hidden="false" customHeight="false" outlineLevel="0" collapsed="false">
      <c r="B170" s="167"/>
      <c r="C170" s="167"/>
      <c r="D170" s="289"/>
      <c r="E170" s="167"/>
      <c r="F170" s="167"/>
      <c r="G170" s="167"/>
      <c r="H170" s="167"/>
      <c r="I170" s="167"/>
      <c r="J170" s="167"/>
    </row>
    <row r="171" customFormat="false" ht="12.75" hidden="false" customHeight="false" outlineLevel="0" collapsed="false">
      <c r="B171" s="167"/>
      <c r="C171" s="167"/>
      <c r="D171" s="289"/>
      <c r="E171" s="167"/>
      <c r="F171" s="167"/>
      <c r="G171" s="167"/>
      <c r="H171" s="167"/>
      <c r="I171" s="167"/>
      <c r="J171" s="167"/>
    </row>
    <row r="172" customFormat="false" ht="12.75" hidden="false" customHeight="false" outlineLevel="0" collapsed="false">
      <c r="B172" s="167"/>
      <c r="C172" s="167"/>
      <c r="D172" s="289"/>
      <c r="E172" s="167"/>
      <c r="F172" s="167"/>
      <c r="G172" s="167"/>
      <c r="H172" s="167"/>
      <c r="I172" s="167"/>
      <c r="J172" s="167"/>
    </row>
    <row r="173" customFormat="false" ht="12.75" hidden="false" customHeight="false" outlineLevel="0" collapsed="false">
      <c r="B173" s="167"/>
      <c r="C173" s="167"/>
      <c r="D173" s="289"/>
      <c r="E173" s="167"/>
      <c r="F173" s="167"/>
      <c r="G173" s="167"/>
      <c r="H173" s="167"/>
      <c r="I173" s="167"/>
      <c r="J173" s="167"/>
    </row>
    <row r="174" customFormat="false" ht="12.75" hidden="false" customHeight="false" outlineLevel="0" collapsed="false">
      <c r="B174" s="167"/>
      <c r="C174" s="167"/>
      <c r="D174" s="289"/>
      <c r="E174" s="167"/>
      <c r="F174" s="167"/>
      <c r="G174" s="167"/>
      <c r="H174" s="167"/>
      <c r="I174" s="167"/>
      <c r="J174" s="167"/>
    </row>
    <row r="175" customFormat="false" ht="12.75" hidden="false" customHeight="false" outlineLevel="0" collapsed="false">
      <c r="B175" s="167"/>
      <c r="C175" s="167"/>
      <c r="D175" s="289"/>
      <c r="E175" s="167"/>
      <c r="F175" s="167"/>
      <c r="G175" s="167"/>
      <c r="H175" s="167"/>
      <c r="I175" s="167"/>
      <c r="J175" s="167"/>
    </row>
    <row r="176" customFormat="false" ht="12.75" hidden="false" customHeight="false" outlineLevel="0" collapsed="false">
      <c r="B176" s="167"/>
      <c r="C176" s="167"/>
      <c r="D176" s="289"/>
      <c r="E176" s="167"/>
      <c r="F176" s="167"/>
      <c r="G176" s="167"/>
      <c r="H176" s="167"/>
      <c r="I176" s="167"/>
      <c r="J176" s="167"/>
    </row>
    <row r="177" customFormat="false" ht="12.75" hidden="false" customHeight="false" outlineLevel="0" collapsed="false">
      <c r="B177" s="167"/>
      <c r="C177" s="167"/>
      <c r="D177" s="289"/>
      <c r="E177" s="167"/>
      <c r="F177" s="167"/>
      <c r="G177" s="167"/>
      <c r="H177" s="167"/>
      <c r="I177" s="167"/>
      <c r="J177" s="167"/>
    </row>
    <row r="178" customFormat="false" ht="12.75" hidden="false" customHeight="false" outlineLevel="0" collapsed="false">
      <c r="B178" s="167"/>
      <c r="C178" s="167"/>
      <c r="D178" s="289"/>
      <c r="E178" s="167"/>
      <c r="F178" s="167"/>
      <c r="G178" s="167"/>
      <c r="H178" s="167"/>
      <c r="I178" s="167"/>
      <c r="J178" s="167"/>
    </row>
    <row r="179" customFormat="false" ht="12.75" hidden="false" customHeight="false" outlineLevel="0" collapsed="false">
      <c r="B179" s="167"/>
      <c r="C179" s="167"/>
      <c r="D179" s="289"/>
      <c r="E179" s="167"/>
      <c r="F179" s="167"/>
      <c r="G179" s="167"/>
      <c r="H179" s="167"/>
      <c r="I179" s="167"/>
      <c r="J179" s="167"/>
    </row>
    <row r="180" customFormat="false" ht="12.75" hidden="false" customHeight="false" outlineLevel="0" collapsed="false">
      <c r="B180" s="167"/>
      <c r="C180" s="167"/>
      <c r="D180" s="289"/>
      <c r="E180" s="167"/>
      <c r="F180" s="167"/>
      <c r="G180" s="167"/>
      <c r="H180" s="167"/>
      <c r="I180" s="167"/>
      <c r="J180" s="167"/>
    </row>
    <row r="181" customFormat="false" ht="12.75" hidden="false" customHeight="false" outlineLevel="0" collapsed="false">
      <c r="B181" s="167"/>
      <c r="C181" s="167"/>
      <c r="D181" s="289"/>
      <c r="E181" s="167"/>
      <c r="F181" s="167"/>
      <c r="G181" s="167"/>
      <c r="H181" s="167"/>
      <c r="I181" s="167"/>
      <c r="J181" s="167"/>
    </row>
    <row r="182" customFormat="false" ht="12.75" hidden="false" customHeight="false" outlineLevel="0" collapsed="false">
      <c r="B182" s="167"/>
      <c r="C182" s="167"/>
      <c r="D182" s="289"/>
      <c r="E182" s="167"/>
      <c r="F182" s="167"/>
      <c r="G182" s="167"/>
      <c r="H182" s="167"/>
      <c r="I182" s="167"/>
      <c r="J182" s="167"/>
    </row>
    <row r="183" customFormat="false" ht="12.75" hidden="false" customHeight="false" outlineLevel="0" collapsed="false">
      <c r="B183" s="167"/>
      <c r="C183" s="167"/>
      <c r="D183" s="289"/>
      <c r="E183" s="167"/>
      <c r="F183" s="167"/>
      <c r="G183" s="167"/>
      <c r="H183" s="167"/>
      <c r="I183" s="167"/>
      <c r="J183" s="167"/>
    </row>
    <row r="184" customFormat="false" ht="12.75" hidden="false" customHeight="false" outlineLevel="0" collapsed="false">
      <c r="B184" s="167"/>
      <c r="C184" s="167"/>
      <c r="D184" s="289"/>
      <c r="E184" s="167"/>
      <c r="F184" s="167"/>
      <c r="G184" s="167"/>
      <c r="H184" s="167"/>
      <c r="I184" s="167"/>
      <c r="J184" s="167"/>
    </row>
    <row r="185" customFormat="false" ht="12.75" hidden="false" customHeight="false" outlineLevel="0" collapsed="false">
      <c r="B185" s="167"/>
      <c r="C185" s="167"/>
      <c r="D185" s="289"/>
      <c r="E185" s="167"/>
      <c r="F185" s="167"/>
      <c r="G185" s="167"/>
      <c r="H185" s="167"/>
      <c r="I185" s="167"/>
      <c r="J185" s="167"/>
    </row>
    <row r="186" customFormat="false" ht="12.75" hidden="false" customHeight="false" outlineLevel="0" collapsed="false">
      <c r="B186" s="167"/>
      <c r="C186" s="167"/>
      <c r="D186" s="289"/>
      <c r="E186" s="167"/>
      <c r="F186" s="167"/>
      <c r="G186" s="167"/>
      <c r="H186" s="167"/>
      <c r="I186" s="167"/>
      <c r="J186" s="167"/>
    </row>
    <row r="187" customFormat="false" ht="12.75" hidden="false" customHeight="false" outlineLevel="0" collapsed="false">
      <c r="B187" s="167"/>
      <c r="C187" s="167"/>
      <c r="D187" s="289"/>
      <c r="E187" s="167"/>
      <c r="F187" s="167"/>
      <c r="G187" s="167"/>
      <c r="H187" s="167"/>
      <c r="I187" s="167"/>
      <c r="J187" s="167"/>
    </row>
    <row r="188" customFormat="false" ht="12.75" hidden="false" customHeight="false" outlineLevel="0" collapsed="false">
      <c r="B188" s="167"/>
      <c r="C188" s="167"/>
      <c r="D188" s="289"/>
      <c r="E188" s="167"/>
      <c r="F188" s="167"/>
      <c r="G188" s="167"/>
      <c r="H188" s="167"/>
      <c r="I188" s="167"/>
      <c r="J188" s="167"/>
    </row>
    <row r="189" customFormat="false" ht="12.75" hidden="false" customHeight="false" outlineLevel="0" collapsed="false">
      <c r="B189" s="167"/>
      <c r="C189" s="167"/>
      <c r="D189" s="289"/>
      <c r="E189" s="167"/>
      <c r="F189" s="167"/>
      <c r="G189" s="167"/>
      <c r="H189" s="167"/>
      <c r="I189" s="167"/>
      <c r="J189" s="167"/>
    </row>
    <row r="190" customFormat="false" ht="12.75" hidden="false" customHeight="false" outlineLevel="0" collapsed="false">
      <c r="B190" s="167"/>
      <c r="C190" s="167"/>
      <c r="D190" s="289"/>
      <c r="E190" s="167"/>
      <c r="F190" s="167"/>
      <c r="G190" s="167"/>
      <c r="H190" s="167"/>
      <c r="I190" s="167"/>
      <c r="J190" s="167"/>
    </row>
    <row r="191" customFormat="false" ht="12.75" hidden="false" customHeight="false" outlineLevel="0" collapsed="false">
      <c r="B191" s="167"/>
      <c r="C191" s="167"/>
      <c r="D191" s="289"/>
      <c r="E191" s="167"/>
      <c r="F191" s="167"/>
      <c r="G191" s="167"/>
      <c r="H191" s="167"/>
      <c r="I191" s="167"/>
      <c r="J191" s="167"/>
    </row>
    <row r="192" customFormat="false" ht="12.75" hidden="false" customHeight="false" outlineLevel="0" collapsed="false">
      <c r="B192" s="167"/>
      <c r="C192" s="167"/>
      <c r="D192" s="289"/>
      <c r="E192" s="167"/>
      <c r="F192" s="167"/>
      <c r="G192" s="167"/>
      <c r="H192" s="167"/>
      <c r="I192" s="167"/>
      <c r="J192" s="167"/>
    </row>
    <row r="193" customFormat="false" ht="12.75" hidden="false" customHeight="false" outlineLevel="0" collapsed="false">
      <c r="B193" s="167"/>
      <c r="C193" s="167"/>
      <c r="D193" s="289"/>
      <c r="E193" s="167"/>
      <c r="F193" s="167"/>
      <c r="G193" s="167"/>
      <c r="H193" s="167"/>
      <c r="I193" s="167"/>
      <c r="J193" s="167"/>
    </row>
    <row r="194" customFormat="false" ht="12.75" hidden="false" customHeight="false" outlineLevel="0" collapsed="false">
      <c r="B194" s="167"/>
      <c r="C194" s="167"/>
      <c r="D194" s="289"/>
      <c r="E194" s="167"/>
      <c r="F194" s="167"/>
      <c r="G194" s="167"/>
      <c r="H194" s="167"/>
      <c r="I194" s="167"/>
      <c r="J194" s="167"/>
    </row>
    <row r="195" customFormat="false" ht="12.75" hidden="false" customHeight="false" outlineLevel="0" collapsed="false">
      <c r="B195" s="167"/>
      <c r="C195" s="167"/>
      <c r="D195" s="289"/>
      <c r="E195" s="167"/>
      <c r="F195" s="167"/>
      <c r="G195" s="167"/>
      <c r="H195" s="167"/>
      <c r="I195" s="167"/>
      <c r="J195" s="167"/>
    </row>
    <row r="196" customFormat="false" ht="12.75" hidden="false" customHeight="false" outlineLevel="0" collapsed="false">
      <c r="B196" s="167"/>
      <c r="C196" s="167"/>
      <c r="D196" s="289"/>
      <c r="E196" s="167"/>
      <c r="F196" s="167"/>
      <c r="G196" s="167"/>
      <c r="H196" s="167"/>
      <c r="I196" s="167"/>
      <c r="J196" s="167"/>
    </row>
    <row r="197" customFormat="false" ht="12.75" hidden="false" customHeight="false" outlineLevel="0" collapsed="false">
      <c r="B197" s="167"/>
      <c r="C197" s="167"/>
      <c r="D197" s="289"/>
      <c r="E197" s="167"/>
      <c r="F197" s="167"/>
      <c r="G197" s="167"/>
      <c r="H197" s="167"/>
      <c r="I197" s="167"/>
      <c r="J197" s="167"/>
    </row>
    <row r="198" customFormat="false" ht="12.75" hidden="false" customHeight="false" outlineLevel="0" collapsed="false">
      <c r="B198" s="167"/>
      <c r="C198" s="167"/>
      <c r="D198" s="289"/>
      <c r="E198" s="167"/>
      <c r="F198" s="167"/>
      <c r="G198" s="167"/>
      <c r="H198" s="167"/>
      <c r="I198" s="167"/>
      <c r="J198" s="167"/>
    </row>
    <row r="199" customFormat="false" ht="12.75" hidden="false" customHeight="false" outlineLevel="0" collapsed="false">
      <c r="B199" s="167"/>
      <c r="C199" s="167"/>
      <c r="D199" s="289"/>
      <c r="E199" s="167"/>
      <c r="F199" s="167"/>
      <c r="G199" s="167"/>
      <c r="H199" s="167"/>
      <c r="I199" s="167"/>
      <c r="J199" s="167"/>
    </row>
    <row r="200" customFormat="false" ht="12.75" hidden="false" customHeight="false" outlineLevel="0" collapsed="false">
      <c r="B200" s="167"/>
      <c r="C200" s="167"/>
      <c r="D200" s="289"/>
      <c r="E200" s="167"/>
      <c r="F200" s="167"/>
      <c r="G200" s="167"/>
      <c r="H200" s="167"/>
      <c r="I200" s="167"/>
      <c r="J200" s="167"/>
    </row>
    <row r="201" customFormat="false" ht="12.75" hidden="false" customHeight="false" outlineLevel="0" collapsed="false">
      <c r="B201" s="167"/>
      <c r="C201" s="167"/>
      <c r="D201" s="289"/>
      <c r="E201" s="167"/>
      <c r="F201" s="167"/>
      <c r="G201" s="167"/>
      <c r="H201" s="167"/>
      <c r="I201" s="167"/>
      <c r="J201" s="167"/>
    </row>
    <row r="202" customFormat="false" ht="12.75" hidden="false" customHeight="false" outlineLevel="0" collapsed="false">
      <c r="B202" s="167"/>
      <c r="C202" s="167"/>
      <c r="D202" s="289"/>
      <c r="E202" s="167"/>
      <c r="F202" s="167"/>
      <c r="G202" s="167"/>
      <c r="H202" s="167"/>
      <c r="I202" s="167"/>
      <c r="J202" s="167"/>
    </row>
    <row r="203" customFormat="false" ht="12.75" hidden="false" customHeight="false" outlineLevel="0" collapsed="false">
      <c r="B203" s="167"/>
      <c r="C203" s="167"/>
      <c r="D203" s="289"/>
      <c r="E203" s="167"/>
      <c r="F203" s="167"/>
      <c r="G203" s="167"/>
      <c r="H203" s="167"/>
      <c r="I203" s="167"/>
      <c r="J203" s="167"/>
    </row>
    <row r="204" customFormat="false" ht="12.75" hidden="false" customHeight="false" outlineLevel="0" collapsed="false">
      <c r="B204" s="167"/>
      <c r="C204" s="167"/>
      <c r="D204" s="289"/>
      <c r="E204" s="167"/>
      <c r="F204" s="167"/>
      <c r="G204" s="167"/>
      <c r="H204" s="167"/>
      <c r="I204" s="167"/>
      <c r="J204" s="167"/>
    </row>
    <row r="205" customFormat="false" ht="12.75" hidden="false" customHeight="false" outlineLevel="0" collapsed="false">
      <c r="B205" s="167"/>
      <c r="C205" s="167"/>
      <c r="D205" s="289"/>
      <c r="E205" s="167"/>
      <c r="F205" s="167"/>
      <c r="G205" s="167"/>
      <c r="H205" s="167"/>
      <c r="I205" s="167"/>
      <c r="J205" s="167"/>
    </row>
    <row r="206" customFormat="false" ht="12.75" hidden="false" customHeight="false" outlineLevel="0" collapsed="false">
      <c r="B206" s="167"/>
      <c r="C206" s="167"/>
      <c r="D206" s="289"/>
      <c r="E206" s="167"/>
      <c r="F206" s="167"/>
      <c r="G206" s="167"/>
      <c r="H206" s="167"/>
      <c r="I206" s="167"/>
      <c r="J206" s="167"/>
    </row>
    <row r="207" customFormat="false" ht="12.75" hidden="false" customHeight="false" outlineLevel="0" collapsed="false">
      <c r="B207" s="167"/>
      <c r="C207" s="167"/>
      <c r="D207" s="289"/>
      <c r="E207" s="167"/>
      <c r="F207" s="167"/>
      <c r="G207" s="167"/>
      <c r="H207" s="167"/>
      <c r="I207" s="167"/>
      <c r="J207" s="167"/>
    </row>
    <row r="208" customFormat="false" ht="12.75" hidden="false" customHeight="false" outlineLevel="0" collapsed="false">
      <c r="B208" s="167"/>
      <c r="C208" s="167"/>
      <c r="D208" s="289"/>
      <c r="E208" s="167"/>
      <c r="F208" s="167"/>
      <c r="G208" s="167"/>
      <c r="H208" s="167"/>
      <c r="I208" s="167"/>
      <c r="J208" s="167"/>
    </row>
    <row r="209" customFormat="false" ht="12.75" hidden="false" customHeight="false" outlineLevel="0" collapsed="false">
      <c r="B209" s="167"/>
      <c r="C209" s="167"/>
      <c r="D209" s="289"/>
      <c r="E209" s="167"/>
      <c r="F209" s="167"/>
      <c r="G209" s="167"/>
      <c r="H209" s="167"/>
      <c r="I209" s="167"/>
      <c r="J209" s="167"/>
    </row>
    <row r="210" customFormat="false" ht="12.75" hidden="false" customHeight="false" outlineLevel="0" collapsed="false">
      <c r="B210" s="167"/>
      <c r="C210" s="167"/>
      <c r="D210" s="289"/>
      <c r="E210" s="167"/>
      <c r="F210" s="167"/>
      <c r="G210" s="167"/>
      <c r="H210" s="167"/>
      <c r="I210" s="167"/>
      <c r="J210" s="167"/>
    </row>
    <row r="211" customFormat="false" ht="12.75" hidden="false" customHeight="false" outlineLevel="0" collapsed="false">
      <c r="B211" s="167"/>
      <c r="C211" s="167"/>
      <c r="D211" s="289"/>
      <c r="E211" s="167"/>
      <c r="F211" s="167"/>
      <c r="G211" s="167"/>
      <c r="H211" s="167"/>
      <c r="I211" s="167"/>
      <c r="J211" s="167"/>
    </row>
    <row r="212" customFormat="false" ht="12.75" hidden="false" customHeight="false" outlineLevel="0" collapsed="false">
      <c r="B212" s="167"/>
      <c r="C212" s="167"/>
      <c r="D212" s="289"/>
      <c r="E212" s="167"/>
      <c r="F212" s="167"/>
      <c r="G212" s="167"/>
      <c r="H212" s="167"/>
      <c r="I212" s="167"/>
      <c r="J212" s="167"/>
    </row>
    <row r="213" customFormat="false" ht="12.75" hidden="false" customHeight="false" outlineLevel="0" collapsed="false">
      <c r="B213" s="167"/>
      <c r="C213" s="167"/>
      <c r="D213" s="289"/>
      <c r="E213" s="167"/>
      <c r="F213" s="167"/>
      <c r="G213" s="167"/>
      <c r="H213" s="167"/>
      <c r="I213" s="167"/>
      <c r="J213" s="167"/>
    </row>
    <row r="214" customFormat="false" ht="12.75" hidden="false" customHeight="false" outlineLevel="0" collapsed="false">
      <c r="B214" s="167"/>
      <c r="C214" s="167"/>
      <c r="D214" s="289"/>
      <c r="E214" s="167"/>
      <c r="F214" s="167"/>
      <c r="G214" s="167"/>
      <c r="H214" s="167"/>
      <c r="I214" s="167"/>
      <c r="J214" s="167"/>
    </row>
    <row r="215" customFormat="false" ht="12.75" hidden="false" customHeight="false" outlineLevel="0" collapsed="false">
      <c r="B215" s="167"/>
      <c r="C215" s="167"/>
      <c r="D215" s="289"/>
      <c r="E215" s="167"/>
      <c r="F215" s="167"/>
      <c r="G215" s="167"/>
      <c r="H215" s="167"/>
      <c r="I215" s="167"/>
      <c r="J215" s="167"/>
    </row>
    <row r="216" customFormat="false" ht="12.75" hidden="false" customHeight="false" outlineLevel="0" collapsed="false">
      <c r="B216" s="167"/>
      <c r="C216" s="167"/>
      <c r="D216" s="289"/>
      <c r="E216" s="167"/>
      <c r="F216" s="167"/>
      <c r="G216" s="167"/>
      <c r="H216" s="167"/>
      <c r="I216" s="167"/>
      <c r="J216" s="167"/>
    </row>
    <row r="217" customFormat="false" ht="12.75" hidden="false" customHeight="false" outlineLevel="0" collapsed="false">
      <c r="B217" s="167"/>
      <c r="C217" s="167"/>
      <c r="D217" s="289"/>
      <c r="E217" s="167"/>
      <c r="F217" s="167"/>
      <c r="G217" s="167"/>
      <c r="H217" s="167"/>
      <c r="I217" s="167"/>
      <c r="J217" s="167"/>
    </row>
    <row r="218" customFormat="false" ht="12.75" hidden="false" customHeight="false" outlineLevel="0" collapsed="false">
      <c r="B218" s="167"/>
      <c r="C218" s="167"/>
      <c r="D218" s="289"/>
      <c r="E218" s="167"/>
      <c r="F218" s="167"/>
      <c r="G218" s="167"/>
      <c r="H218" s="167"/>
      <c r="I218" s="167"/>
      <c r="J218" s="167"/>
    </row>
    <row r="219" customFormat="false" ht="12.75" hidden="false" customHeight="false" outlineLevel="0" collapsed="false">
      <c r="B219" s="167"/>
      <c r="C219" s="167"/>
      <c r="D219" s="289"/>
      <c r="E219" s="167"/>
      <c r="F219" s="167"/>
      <c r="G219" s="167"/>
      <c r="H219" s="167"/>
      <c r="I219" s="167"/>
      <c r="J219" s="167"/>
    </row>
    <row r="220" customFormat="false" ht="12.75" hidden="false" customHeight="false" outlineLevel="0" collapsed="false">
      <c r="B220" s="167"/>
      <c r="C220" s="167"/>
      <c r="D220" s="289"/>
      <c r="E220" s="167"/>
      <c r="F220" s="167"/>
      <c r="G220" s="167"/>
      <c r="H220" s="167"/>
      <c r="I220" s="167"/>
      <c r="J220" s="167"/>
    </row>
    <row r="221" customFormat="false" ht="12.75" hidden="false" customHeight="false" outlineLevel="0" collapsed="false">
      <c r="B221" s="167"/>
      <c r="C221" s="167"/>
      <c r="D221" s="289"/>
      <c r="E221" s="167"/>
      <c r="F221" s="167"/>
      <c r="G221" s="167"/>
      <c r="H221" s="167"/>
      <c r="I221" s="167"/>
      <c r="J221" s="167"/>
    </row>
    <row r="222" customFormat="false" ht="12.75" hidden="false" customHeight="false" outlineLevel="0" collapsed="false">
      <c r="B222" s="167"/>
      <c r="C222" s="167"/>
      <c r="D222" s="289"/>
      <c r="E222" s="167"/>
      <c r="F222" s="167"/>
      <c r="G222" s="167"/>
      <c r="H222" s="167"/>
      <c r="I222" s="167"/>
      <c r="J222" s="167"/>
    </row>
    <row r="223" customFormat="false" ht="12.75" hidden="false" customHeight="false" outlineLevel="0" collapsed="false">
      <c r="B223" s="167"/>
      <c r="C223" s="167"/>
      <c r="D223" s="289"/>
      <c r="E223" s="167"/>
      <c r="F223" s="167"/>
      <c r="G223" s="167"/>
      <c r="H223" s="167"/>
      <c r="I223" s="167"/>
      <c r="J223" s="167"/>
    </row>
    <row r="224" customFormat="false" ht="12.75" hidden="false" customHeight="false" outlineLevel="0" collapsed="false">
      <c r="B224" s="167"/>
      <c r="C224" s="167"/>
      <c r="D224" s="289"/>
      <c r="E224" s="167"/>
      <c r="F224" s="167"/>
      <c r="G224" s="167"/>
      <c r="H224" s="167"/>
      <c r="I224" s="167"/>
      <c r="J224" s="167"/>
    </row>
    <row r="225" customFormat="false" ht="12.75" hidden="false" customHeight="false" outlineLevel="0" collapsed="false">
      <c r="B225" s="167"/>
      <c r="C225" s="167"/>
      <c r="D225" s="289"/>
      <c r="E225" s="167"/>
      <c r="F225" s="167"/>
      <c r="G225" s="167"/>
      <c r="H225" s="167"/>
      <c r="I225" s="167"/>
      <c r="J225" s="167"/>
    </row>
    <row r="226" customFormat="false" ht="12.75" hidden="false" customHeight="false" outlineLevel="0" collapsed="false">
      <c r="B226" s="167"/>
      <c r="C226" s="167"/>
      <c r="D226" s="289"/>
      <c r="E226" s="167"/>
      <c r="F226" s="167"/>
      <c r="G226" s="167"/>
      <c r="H226" s="167"/>
      <c r="I226" s="167"/>
      <c r="J226" s="167"/>
    </row>
    <row r="227" customFormat="false" ht="12.75" hidden="false" customHeight="false" outlineLevel="0" collapsed="false">
      <c r="B227" s="167"/>
      <c r="C227" s="167"/>
      <c r="D227" s="289"/>
      <c r="E227" s="167"/>
      <c r="F227" s="167"/>
      <c r="G227" s="167"/>
      <c r="H227" s="167"/>
      <c r="I227" s="167"/>
      <c r="J227" s="167"/>
    </row>
    <row r="228" customFormat="false" ht="12.75" hidden="false" customHeight="false" outlineLevel="0" collapsed="false">
      <c r="B228" s="167"/>
      <c r="C228" s="167"/>
      <c r="D228" s="289"/>
      <c r="E228" s="167"/>
      <c r="F228" s="167"/>
      <c r="G228" s="167"/>
      <c r="H228" s="167"/>
      <c r="I228" s="167"/>
      <c r="J228" s="167"/>
    </row>
    <row r="229" customFormat="false" ht="12.75" hidden="false" customHeight="false" outlineLevel="0" collapsed="false">
      <c r="B229" s="167"/>
      <c r="C229" s="167"/>
      <c r="D229" s="289"/>
      <c r="E229" s="167"/>
      <c r="F229" s="167"/>
      <c r="G229" s="167"/>
      <c r="H229" s="167"/>
      <c r="I229" s="167"/>
      <c r="J229" s="167"/>
    </row>
    <row r="230" customFormat="false" ht="12.75" hidden="false" customHeight="false" outlineLevel="0" collapsed="false">
      <c r="B230" s="167"/>
      <c r="C230" s="167"/>
      <c r="D230" s="289"/>
      <c r="E230" s="167"/>
      <c r="F230" s="167"/>
      <c r="G230" s="167"/>
      <c r="H230" s="167"/>
      <c r="I230" s="167"/>
      <c r="J230" s="167"/>
    </row>
    <row r="231" customFormat="false" ht="12.75" hidden="false" customHeight="false" outlineLevel="0" collapsed="false">
      <c r="B231" s="167"/>
      <c r="C231" s="167"/>
      <c r="D231" s="289"/>
      <c r="E231" s="167"/>
      <c r="F231" s="167"/>
      <c r="G231" s="167"/>
      <c r="H231" s="167"/>
      <c r="I231" s="167"/>
      <c r="J231" s="167"/>
    </row>
    <row r="232" customFormat="false" ht="12.75" hidden="false" customHeight="false" outlineLevel="0" collapsed="false">
      <c r="B232" s="167"/>
      <c r="C232" s="167"/>
      <c r="D232" s="289"/>
      <c r="E232" s="167"/>
      <c r="F232" s="167"/>
      <c r="G232" s="167"/>
      <c r="H232" s="167"/>
      <c r="I232" s="167"/>
      <c r="J232" s="167"/>
    </row>
    <row r="233" customFormat="false" ht="12.75" hidden="false" customHeight="false" outlineLevel="0" collapsed="false">
      <c r="B233" s="167"/>
      <c r="C233" s="167"/>
      <c r="D233" s="289"/>
      <c r="E233" s="167"/>
      <c r="F233" s="167"/>
      <c r="G233" s="167"/>
      <c r="H233" s="167"/>
      <c r="I233" s="167"/>
      <c r="J233" s="167"/>
    </row>
    <row r="234" customFormat="false" ht="12.75" hidden="false" customHeight="false" outlineLevel="0" collapsed="false">
      <c r="B234" s="167"/>
      <c r="C234" s="167"/>
      <c r="D234" s="289"/>
      <c r="E234" s="167"/>
      <c r="F234" s="167"/>
      <c r="G234" s="167"/>
      <c r="H234" s="167"/>
      <c r="I234" s="167"/>
      <c r="J234" s="167"/>
    </row>
    <row r="235" customFormat="false" ht="12.75" hidden="false" customHeight="false" outlineLevel="0" collapsed="false">
      <c r="B235" s="167"/>
      <c r="C235" s="167"/>
      <c r="D235" s="289"/>
      <c r="E235" s="167"/>
      <c r="F235" s="167"/>
      <c r="G235" s="167"/>
      <c r="H235" s="167"/>
      <c r="I235" s="167"/>
      <c r="J235" s="167"/>
    </row>
    <row r="236" customFormat="false" ht="12.75" hidden="false" customHeight="false" outlineLevel="0" collapsed="false">
      <c r="B236" s="167"/>
      <c r="C236" s="167"/>
      <c r="D236" s="289"/>
      <c r="E236" s="167"/>
      <c r="F236" s="167"/>
      <c r="G236" s="167"/>
      <c r="H236" s="167"/>
      <c r="I236" s="167"/>
      <c r="J236" s="167"/>
    </row>
    <row r="237" customFormat="false" ht="12.75" hidden="false" customHeight="false" outlineLevel="0" collapsed="false">
      <c r="B237" s="167"/>
      <c r="C237" s="167"/>
      <c r="D237" s="289"/>
      <c r="E237" s="167"/>
      <c r="F237" s="167"/>
      <c r="G237" s="167"/>
      <c r="H237" s="167"/>
      <c r="I237" s="167"/>
      <c r="J237" s="167"/>
    </row>
    <row r="238" customFormat="false" ht="12.75" hidden="false" customHeight="false" outlineLevel="0" collapsed="false">
      <c r="B238" s="167"/>
      <c r="C238" s="167"/>
      <c r="D238" s="289"/>
      <c r="E238" s="167"/>
      <c r="F238" s="167"/>
      <c r="G238" s="167"/>
      <c r="H238" s="167"/>
      <c r="I238" s="167"/>
      <c r="J238" s="167"/>
    </row>
    <row r="239" customFormat="false" ht="12.75" hidden="false" customHeight="false" outlineLevel="0" collapsed="false">
      <c r="B239" s="167"/>
      <c r="C239" s="167"/>
      <c r="D239" s="289"/>
      <c r="E239" s="167"/>
      <c r="F239" s="167"/>
      <c r="G239" s="167"/>
      <c r="H239" s="167"/>
      <c r="I239" s="167"/>
      <c r="J239" s="167"/>
    </row>
    <row r="240" customFormat="false" ht="12.75" hidden="false" customHeight="false" outlineLevel="0" collapsed="false">
      <c r="B240" s="167"/>
      <c r="C240" s="167"/>
      <c r="D240" s="289"/>
      <c r="E240" s="167"/>
      <c r="F240" s="167"/>
      <c r="G240" s="167"/>
      <c r="H240" s="167"/>
      <c r="I240" s="167"/>
      <c r="J240" s="167"/>
    </row>
    <row r="241" customFormat="false" ht="12.75" hidden="false" customHeight="false" outlineLevel="0" collapsed="false">
      <c r="B241" s="167"/>
      <c r="C241" s="167"/>
      <c r="D241" s="289"/>
      <c r="E241" s="167"/>
      <c r="F241" s="167"/>
      <c r="G241" s="167"/>
      <c r="H241" s="167"/>
      <c r="I241" s="167"/>
      <c r="J241" s="167"/>
    </row>
    <row r="242" customFormat="false" ht="12.75" hidden="false" customHeight="false" outlineLevel="0" collapsed="false">
      <c r="B242" s="167"/>
      <c r="C242" s="167"/>
      <c r="D242" s="289"/>
      <c r="E242" s="167"/>
      <c r="F242" s="167"/>
      <c r="G242" s="167"/>
      <c r="H242" s="167"/>
      <c r="I242" s="167"/>
      <c r="J242" s="167"/>
    </row>
    <row r="243" customFormat="false" ht="12.75" hidden="false" customHeight="false" outlineLevel="0" collapsed="false">
      <c r="B243" s="167"/>
      <c r="C243" s="167"/>
      <c r="D243" s="289"/>
      <c r="E243" s="167"/>
      <c r="F243" s="167"/>
      <c r="G243" s="167"/>
      <c r="H243" s="167"/>
      <c r="I243" s="167"/>
      <c r="J243" s="167"/>
    </row>
    <row r="244" customFormat="false" ht="12.75" hidden="false" customHeight="false" outlineLevel="0" collapsed="false">
      <c r="B244" s="167"/>
      <c r="C244" s="167"/>
      <c r="D244" s="289"/>
      <c r="E244" s="167"/>
      <c r="F244" s="167"/>
      <c r="G244" s="167"/>
      <c r="H244" s="167"/>
      <c r="I244" s="167"/>
      <c r="J244" s="167"/>
    </row>
    <row r="245" customFormat="false" ht="12.75" hidden="false" customHeight="false" outlineLevel="0" collapsed="false">
      <c r="B245" s="167"/>
      <c r="C245" s="167"/>
      <c r="D245" s="289"/>
      <c r="E245" s="167"/>
      <c r="F245" s="167"/>
      <c r="G245" s="167"/>
      <c r="H245" s="167"/>
      <c r="I245" s="167"/>
      <c r="J245" s="167"/>
    </row>
    <row r="246" customFormat="false" ht="12.75" hidden="false" customHeight="false" outlineLevel="0" collapsed="false">
      <c r="B246" s="167"/>
      <c r="C246" s="167"/>
      <c r="D246" s="289"/>
      <c r="E246" s="167"/>
      <c r="F246" s="167"/>
      <c r="G246" s="167"/>
      <c r="H246" s="167"/>
      <c r="I246" s="167"/>
      <c r="J246" s="167"/>
    </row>
    <row r="247" customFormat="false" ht="12.75" hidden="false" customHeight="false" outlineLevel="0" collapsed="false">
      <c r="B247" s="167"/>
      <c r="C247" s="167"/>
      <c r="D247" s="289"/>
      <c r="E247" s="167"/>
      <c r="F247" s="167"/>
      <c r="G247" s="167"/>
      <c r="H247" s="167"/>
      <c r="I247" s="167"/>
      <c r="J247" s="167"/>
    </row>
    <row r="248" customFormat="false" ht="12.75" hidden="false" customHeight="false" outlineLevel="0" collapsed="false">
      <c r="B248" s="167"/>
      <c r="C248" s="167"/>
      <c r="D248" s="289"/>
      <c r="E248" s="167"/>
      <c r="F248" s="167"/>
      <c r="G248" s="167"/>
      <c r="H248" s="167"/>
      <c r="I248" s="167"/>
      <c r="J248" s="167"/>
    </row>
    <row r="249" customFormat="false" ht="12.75" hidden="false" customHeight="false" outlineLevel="0" collapsed="false">
      <c r="B249" s="167"/>
      <c r="C249" s="167"/>
      <c r="D249" s="289"/>
      <c r="E249" s="167"/>
      <c r="F249" s="167"/>
      <c r="G249" s="167"/>
      <c r="H249" s="167"/>
      <c r="I249" s="167"/>
      <c r="J249" s="167"/>
    </row>
    <row r="250" customFormat="false" ht="12.75" hidden="false" customHeight="false" outlineLevel="0" collapsed="false">
      <c r="B250" s="167"/>
      <c r="C250" s="167"/>
      <c r="D250" s="289"/>
      <c r="E250" s="167"/>
      <c r="F250" s="167"/>
      <c r="G250" s="167"/>
      <c r="H250" s="167"/>
      <c r="I250" s="167"/>
      <c r="J250" s="167"/>
    </row>
    <row r="251" customFormat="false" ht="12.75" hidden="false" customHeight="false" outlineLevel="0" collapsed="false">
      <c r="B251" s="167"/>
      <c r="C251" s="167"/>
      <c r="D251" s="289"/>
      <c r="E251" s="167"/>
      <c r="F251" s="167"/>
      <c r="G251" s="167"/>
      <c r="H251" s="167"/>
      <c r="I251" s="167"/>
      <c r="J251" s="167"/>
    </row>
    <row r="252" customFormat="false" ht="12.75" hidden="false" customHeight="false" outlineLevel="0" collapsed="false">
      <c r="B252" s="167"/>
      <c r="C252" s="167"/>
      <c r="D252" s="289"/>
      <c r="E252" s="167"/>
      <c r="F252" s="167"/>
      <c r="G252" s="167"/>
      <c r="H252" s="167"/>
      <c r="I252" s="167"/>
      <c r="J252" s="167"/>
    </row>
    <row r="253" customFormat="false" ht="12.75" hidden="false" customHeight="false" outlineLevel="0" collapsed="false">
      <c r="B253" s="167"/>
      <c r="C253" s="167"/>
      <c r="D253" s="289"/>
      <c r="E253" s="167"/>
      <c r="F253" s="167"/>
      <c r="G253" s="167"/>
      <c r="H253" s="167"/>
      <c r="I253" s="167"/>
      <c r="J253" s="167"/>
    </row>
    <row r="254" customFormat="false" ht="12.75" hidden="false" customHeight="false" outlineLevel="0" collapsed="false">
      <c r="B254" s="167"/>
      <c r="C254" s="167"/>
      <c r="D254" s="289"/>
      <c r="E254" s="167"/>
      <c r="F254" s="167"/>
      <c r="G254" s="167"/>
      <c r="H254" s="167"/>
      <c r="I254" s="167"/>
      <c r="J254" s="167"/>
    </row>
    <row r="255" customFormat="false" ht="12.75" hidden="false" customHeight="false" outlineLevel="0" collapsed="false">
      <c r="B255" s="167"/>
      <c r="C255" s="167"/>
      <c r="D255" s="289"/>
      <c r="E255" s="167"/>
      <c r="F255" s="167"/>
      <c r="G255" s="167"/>
      <c r="H255" s="167"/>
      <c r="I255" s="167"/>
      <c r="J255" s="167"/>
    </row>
    <row r="256" customFormat="false" ht="12.75" hidden="false" customHeight="false" outlineLevel="0" collapsed="false">
      <c r="B256" s="167"/>
      <c r="C256" s="167"/>
      <c r="D256" s="289"/>
      <c r="E256" s="167"/>
      <c r="F256" s="167"/>
      <c r="G256" s="167"/>
      <c r="H256" s="167"/>
      <c r="I256" s="167"/>
      <c r="J256" s="167"/>
    </row>
    <row r="257" customFormat="false" ht="12.75" hidden="false" customHeight="false" outlineLevel="0" collapsed="false">
      <c r="B257" s="167"/>
      <c r="C257" s="167"/>
      <c r="D257" s="289"/>
      <c r="E257" s="167"/>
      <c r="F257" s="167"/>
      <c r="G257" s="167"/>
      <c r="H257" s="167"/>
      <c r="I257" s="167"/>
      <c r="J257" s="167"/>
    </row>
    <row r="258" customFormat="false" ht="12.75" hidden="false" customHeight="false" outlineLevel="0" collapsed="false">
      <c r="B258" s="167"/>
      <c r="C258" s="167"/>
      <c r="D258" s="289"/>
      <c r="E258" s="167"/>
      <c r="F258" s="167"/>
      <c r="G258" s="167"/>
      <c r="H258" s="167"/>
      <c r="I258" s="167"/>
      <c r="J258" s="167"/>
    </row>
    <row r="259" customFormat="false" ht="12.75" hidden="false" customHeight="false" outlineLevel="0" collapsed="false">
      <c r="B259" s="167"/>
      <c r="C259" s="167"/>
      <c r="D259" s="289"/>
      <c r="E259" s="167"/>
      <c r="F259" s="167"/>
      <c r="G259" s="167"/>
      <c r="H259" s="167"/>
      <c r="I259" s="167"/>
      <c r="J259" s="167"/>
    </row>
    <row r="260" customFormat="false" ht="12.75" hidden="false" customHeight="false" outlineLevel="0" collapsed="false">
      <c r="B260" s="167"/>
      <c r="C260" s="167"/>
      <c r="D260" s="289"/>
      <c r="E260" s="167"/>
      <c r="F260" s="167"/>
      <c r="G260" s="167"/>
      <c r="H260" s="167"/>
      <c r="I260" s="167"/>
      <c r="J260" s="167"/>
    </row>
    <row r="261" customFormat="false" ht="12.75" hidden="false" customHeight="false" outlineLevel="0" collapsed="false">
      <c r="B261" s="167"/>
      <c r="C261" s="167"/>
      <c r="D261" s="289"/>
      <c r="E261" s="167"/>
      <c r="F261" s="167"/>
      <c r="G261" s="167"/>
      <c r="H261" s="167"/>
      <c r="I261" s="167"/>
      <c r="J261" s="167"/>
    </row>
    <row r="262" customFormat="false" ht="12.75" hidden="false" customHeight="false" outlineLevel="0" collapsed="false">
      <c r="B262" s="167"/>
      <c r="C262" s="167"/>
      <c r="D262" s="289"/>
      <c r="E262" s="167"/>
      <c r="F262" s="167"/>
      <c r="G262" s="167"/>
      <c r="H262" s="167"/>
      <c r="I262" s="167"/>
      <c r="J262" s="167"/>
    </row>
    <row r="263" customFormat="false" ht="12.75" hidden="false" customHeight="false" outlineLevel="0" collapsed="false">
      <c r="B263" s="167"/>
      <c r="C263" s="167"/>
      <c r="D263" s="289"/>
      <c r="E263" s="167"/>
      <c r="F263" s="167"/>
      <c r="G263" s="167"/>
      <c r="H263" s="167"/>
      <c r="I263" s="167"/>
      <c r="J263" s="167"/>
    </row>
    <row r="264" customFormat="false" ht="12.75" hidden="false" customHeight="false" outlineLevel="0" collapsed="false">
      <c r="B264" s="167"/>
      <c r="C264" s="167"/>
      <c r="D264" s="289"/>
      <c r="E264" s="167"/>
      <c r="F264" s="167"/>
      <c r="G264" s="167"/>
      <c r="H264" s="167"/>
      <c r="I264" s="167"/>
      <c r="J264" s="167"/>
    </row>
    <row r="265" customFormat="false" ht="12.75" hidden="false" customHeight="false" outlineLevel="0" collapsed="false">
      <c r="B265" s="167"/>
      <c r="C265" s="167"/>
      <c r="D265" s="289"/>
      <c r="E265" s="167"/>
      <c r="F265" s="167"/>
      <c r="G265" s="167"/>
      <c r="H265" s="167"/>
      <c r="I265" s="167"/>
      <c r="J265" s="167"/>
    </row>
    <row r="266" customFormat="false" ht="12.75" hidden="false" customHeight="false" outlineLevel="0" collapsed="false">
      <c r="B266" s="167"/>
      <c r="C266" s="167"/>
      <c r="D266" s="289"/>
      <c r="E266" s="167"/>
      <c r="F266" s="167"/>
      <c r="G266" s="167"/>
      <c r="H266" s="167"/>
      <c r="I266" s="167"/>
      <c r="J266" s="167"/>
    </row>
    <row r="267" customFormat="false" ht="12.75" hidden="false" customHeight="false" outlineLevel="0" collapsed="false">
      <c r="B267" s="167"/>
      <c r="C267" s="167"/>
      <c r="D267" s="289"/>
      <c r="E267" s="167"/>
      <c r="F267" s="167"/>
      <c r="G267" s="167"/>
      <c r="H267" s="167"/>
      <c r="I267" s="167"/>
      <c r="J267" s="167"/>
    </row>
    <row r="268" customFormat="false" ht="12.75" hidden="false" customHeight="false" outlineLevel="0" collapsed="false">
      <c r="B268" s="167"/>
      <c r="C268" s="167"/>
      <c r="D268" s="289"/>
      <c r="E268" s="167"/>
      <c r="F268" s="167"/>
      <c r="G268" s="167"/>
      <c r="H268" s="167"/>
      <c r="I268" s="167"/>
      <c r="J268" s="167"/>
    </row>
    <row r="269" customFormat="false" ht="12.75" hidden="false" customHeight="false" outlineLevel="0" collapsed="false">
      <c r="B269" s="167"/>
      <c r="C269" s="167"/>
      <c r="D269" s="289"/>
      <c r="E269" s="167"/>
      <c r="F269" s="167"/>
      <c r="G269" s="167"/>
      <c r="H269" s="167"/>
      <c r="I269" s="167"/>
      <c r="J269" s="167"/>
    </row>
    <row r="270" customFormat="false" ht="12.75" hidden="false" customHeight="false" outlineLevel="0" collapsed="false">
      <c r="B270" s="167"/>
      <c r="C270" s="167"/>
      <c r="D270" s="289"/>
      <c r="E270" s="167"/>
      <c r="F270" s="167"/>
      <c r="G270" s="167"/>
      <c r="H270" s="167"/>
      <c r="I270" s="167"/>
      <c r="J270" s="167"/>
    </row>
    <row r="271" customFormat="false" ht="12.75" hidden="false" customHeight="false" outlineLevel="0" collapsed="false">
      <c r="B271" s="167"/>
      <c r="C271" s="167"/>
      <c r="D271" s="289"/>
      <c r="E271" s="167"/>
      <c r="F271" s="167"/>
      <c r="G271" s="167"/>
      <c r="H271" s="167"/>
      <c r="I271" s="167"/>
      <c r="J271" s="167"/>
    </row>
    <row r="272" customFormat="false" ht="12.75" hidden="false" customHeight="false" outlineLevel="0" collapsed="false">
      <c r="B272" s="167"/>
      <c r="C272" s="167"/>
      <c r="D272" s="289"/>
      <c r="E272" s="167"/>
      <c r="F272" s="167"/>
      <c r="G272" s="167"/>
      <c r="H272" s="167"/>
      <c r="I272" s="167"/>
      <c r="J272" s="167"/>
    </row>
    <row r="273" customFormat="false" ht="12.75" hidden="false" customHeight="false" outlineLevel="0" collapsed="false">
      <c r="B273" s="167"/>
      <c r="C273" s="167"/>
      <c r="D273" s="289"/>
      <c r="E273" s="167"/>
      <c r="F273" s="167"/>
      <c r="G273" s="167"/>
      <c r="H273" s="167"/>
      <c r="I273" s="167"/>
      <c r="J273" s="167"/>
    </row>
    <row r="274" customFormat="false" ht="12.75" hidden="false" customHeight="false" outlineLevel="0" collapsed="false">
      <c r="B274" s="167"/>
      <c r="C274" s="167"/>
      <c r="D274" s="289"/>
      <c r="E274" s="167"/>
      <c r="F274" s="167"/>
      <c r="G274" s="167"/>
      <c r="H274" s="167"/>
      <c r="I274" s="167"/>
      <c r="J274" s="167"/>
    </row>
    <row r="275" customFormat="false" ht="12.75" hidden="false" customHeight="false" outlineLevel="0" collapsed="false">
      <c r="B275" s="167"/>
      <c r="C275" s="167"/>
      <c r="D275" s="289"/>
      <c r="E275" s="167"/>
      <c r="F275" s="167"/>
      <c r="G275" s="167"/>
      <c r="H275" s="167"/>
      <c r="I275" s="167"/>
      <c r="J275" s="167"/>
    </row>
    <row r="276" customFormat="false" ht="12.75" hidden="false" customHeight="false" outlineLevel="0" collapsed="false">
      <c r="B276" s="167"/>
      <c r="C276" s="167"/>
      <c r="D276" s="289"/>
      <c r="E276" s="167"/>
      <c r="F276" s="167"/>
      <c r="G276" s="167"/>
      <c r="H276" s="167"/>
      <c r="I276" s="167"/>
      <c r="J276" s="167"/>
    </row>
    <row r="277" customFormat="false" ht="12.75" hidden="false" customHeight="false" outlineLevel="0" collapsed="false">
      <c r="B277" s="167"/>
      <c r="C277" s="167"/>
      <c r="D277" s="289"/>
      <c r="E277" s="167"/>
      <c r="F277" s="167"/>
      <c r="G277" s="167"/>
      <c r="H277" s="167"/>
      <c r="I277" s="167"/>
      <c r="J277" s="167"/>
    </row>
    <row r="278" customFormat="false" ht="12.75" hidden="false" customHeight="false" outlineLevel="0" collapsed="false">
      <c r="B278" s="167"/>
      <c r="C278" s="167"/>
      <c r="D278" s="289"/>
      <c r="E278" s="167"/>
      <c r="F278" s="167"/>
      <c r="G278" s="167"/>
      <c r="H278" s="167"/>
      <c r="I278" s="167"/>
      <c r="J278" s="167"/>
    </row>
    <row r="279" customFormat="false" ht="12.75" hidden="false" customHeight="false" outlineLevel="0" collapsed="false">
      <c r="B279" s="167"/>
      <c r="C279" s="167"/>
      <c r="D279" s="289"/>
      <c r="E279" s="167"/>
      <c r="F279" s="167"/>
      <c r="G279" s="167"/>
      <c r="H279" s="167"/>
      <c r="I279" s="167"/>
      <c r="J279" s="167"/>
    </row>
    <row r="280" customFormat="false" ht="12.75" hidden="false" customHeight="false" outlineLevel="0" collapsed="false">
      <c r="B280" s="167"/>
      <c r="C280" s="167"/>
      <c r="D280" s="289"/>
      <c r="E280" s="167"/>
      <c r="F280" s="167"/>
      <c r="G280" s="167"/>
      <c r="H280" s="167"/>
      <c r="I280" s="167"/>
      <c r="J280" s="167"/>
    </row>
    <row r="281" customFormat="false" ht="12.75" hidden="false" customHeight="false" outlineLevel="0" collapsed="false">
      <c r="B281" s="167"/>
      <c r="C281" s="167"/>
      <c r="D281" s="289"/>
      <c r="E281" s="167"/>
      <c r="F281" s="167"/>
      <c r="G281" s="167"/>
      <c r="H281" s="167"/>
      <c r="I281" s="167"/>
      <c r="J281" s="167"/>
    </row>
    <row r="282" customFormat="false" ht="12.75" hidden="false" customHeight="false" outlineLevel="0" collapsed="false">
      <c r="B282" s="167"/>
      <c r="C282" s="167"/>
      <c r="D282" s="289"/>
      <c r="E282" s="167"/>
      <c r="F282" s="167"/>
      <c r="G282" s="167"/>
      <c r="H282" s="167"/>
      <c r="I282" s="167"/>
      <c r="J282" s="167"/>
    </row>
    <row r="283" customFormat="false" ht="12.75" hidden="false" customHeight="false" outlineLevel="0" collapsed="false">
      <c r="B283" s="167"/>
      <c r="C283" s="167"/>
      <c r="D283" s="289"/>
      <c r="E283" s="167"/>
      <c r="F283" s="167"/>
      <c r="G283" s="167"/>
      <c r="H283" s="167"/>
      <c r="I283" s="167"/>
      <c r="J283" s="167"/>
    </row>
    <row r="284" customFormat="false" ht="12.75" hidden="false" customHeight="false" outlineLevel="0" collapsed="false">
      <c r="B284" s="167"/>
      <c r="C284" s="167"/>
      <c r="D284" s="289"/>
      <c r="E284" s="167"/>
      <c r="F284" s="167"/>
      <c r="G284" s="167"/>
      <c r="H284" s="167"/>
      <c r="I284" s="167"/>
      <c r="J284" s="167"/>
    </row>
    <row r="285" customFormat="false" ht="12.75" hidden="false" customHeight="false" outlineLevel="0" collapsed="false">
      <c r="B285" s="167"/>
      <c r="C285" s="167"/>
      <c r="D285" s="289"/>
      <c r="E285" s="167"/>
      <c r="F285" s="167"/>
      <c r="G285" s="167"/>
      <c r="H285" s="167"/>
      <c r="I285" s="167"/>
      <c r="J285" s="167"/>
    </row>
    <row r="286" customFormat="false" ht="12.75" hidden="false" customHeight="false" outlineLevel="0" collapsed="false">
      <c r="B286" s="167"/>
      <c r="C286" s="167"/>
      <c r="D286" s="289"/>
      <c r="E286" s="167"/>
      <c r="F286" s="167"/>
      <c r="G286" s="167"/>
      <c r="H286" s="167"/>
      <c r="I286" s="167"/>
      <c r="J286" s="167"/>
    </row>
    <row r="287" customFormat="false" ht="12.75" hidden="false" customHeight="false" outlineLevel="0" collapsed="false">
      <c r="B287" s="167"/>
      <c r="C287" s="167"/>
      <c r="D287" s="289"/>
      <c r="E287" s="167"/>
      <c r="F287" s="167"/>
      <c r="G287" s="167"/>
      <c r="H287" s="167"/>
      <c r="I287" s="167"/>
      <c r="J287" s="167"/>
    </row>
    <row r="288" customFormat="false" ht="12.75" hidden="false" customHeight="false" outlineLevel="0" collapsed="false">
      <c r="B288" s="167"/>
      <c r="C288" s="167"/>
      <c r="D288" s="289"/>
      <c r="E288" s="167"/>
      <c r="F288" s="167"/>
      <c r="G288" s="167"/>
      <c r="H288" s="167"/>
      <c r="I288" s="167"/>
      <c r="J288" s="167"/>
    </row>
    <row r="289" customFormat="false" ht="12.75" hidden="false" customHeight="false" outlineLevel="0" collapsed="false">
      <c r="B289" s="167"/>
      <c r="C289" s="167"/>
      <c r="D289" s="289"/>
      <c r="E289" s="167"/>
      <c r="F289" s="167"/>
      <c r="G289" s="167"/>
      <c r="H289" s="167"/>
      <c r="I289" s="167"/>
      <c r="J289" s="167"/>
    </row>
    <row r="290" customFormat="false" ht="12.75" hidden="false" customHeight="false" outlineLevel="0" collapsed="false">
      <c r="B290" s="167"/>
      <c r="C290" s="167"/>
      <c r="D290" s="289"/>
      <c r="E290" s="167"/>
      <c r="F290" s="167"/>
      <c r="G290" s="167"/>
      <c r="H290" s="167"/>
      <c r="I290" s="167"/>
      <c r="J290" s="167"/>
    </row>
    <row r="291" customFormat="false" ht="12.75" hidden="false" customHeight="false" outlineLevel="0" collapsed="false">
      <c r="B291" s="167"/>
      <c r="C291" s="167"/>
      <c r="D291" s="289"/>
      <c r="E291" s="167"/>
      <c r="F291" s="167"/>
      <c r="G291" s="167"/>
      <c r="H291" s="167"/>
      <c r="I291" s="167"/>
      <c r="J291" s="167"/>
    </row>
    <row r="292" customFormat="false" ht="12.75" hidden="false" customHeight="false" outlineLevel="0" collapsed="false">
      <c r="B292" s="167"/>
      <c r="C292" s="167"/>
      <c r="D292" s="289"/>
      <c r="E292" s="167"/>
      <c r="F292" s="167"/>
      <c r="G292" s="167"/>
      <c r="H292" s="167"/>
      <c r="I292" s="167"/>
      <c r="J292" s="167"/>
    </row>
    <row r="293" customFormat="false" ht="12.75" hidden="false" customHeight="false" outlineLevel="0" collapsed="false">
      <c r="B293" s="167"/>
      <c r="C293" s="167"/>
      <c r="D293" s="289"/>
      <c r="E293" s="167"/>
      <c r="F293" s="167"/>
      <c r="G293" s="167"/>
      <c r="H293" s="167"/>
      <c r="I293" s="167"/>
      <c r="J293" s="167"/>
    </row>
    <row r="294" customFormat="false" ht="12.75" hidden="false" customHeight="false" outlineLevel="0" collapsed="false">
      <c r="B294" s="167"/>
      <c r="C294" s="167"/>
      <c r="D294" s="289"/>
      <c r="E294" s="167"/>
      <c r="F294" s="167"/>
      <c r="G294" s="167"/>
      <c r="H294" s="167"/>
      <c r="I294" s="167"/>
      <c r="J294" s="167"/>
    </row>
    <row r="295" customFormat="false" ht="12.75" hidden="false" customHeight="false" outlineLevel="0" collapsed="false">
      <c r="B295" s="167"/>
      <c r="C295" s="167"/>
      <c r="D295" s="289"/>
      <c r="E295" s="167"/>
      <c r="F295" s="167"/>
      <c r="G295" s="167"/>
      <c r="H295" s="167"/>
      <c r="I295" s="167"/>
      <c r="J295" s="167"/>
    </row>
    <row r="296" customFormat="false" ht="12.75" hidden="false" customHeight="false" outlineLevel="0" collapsed="false">
      <c r="B296" s="167"/>
      <c r="C296" s="167"/>
      <c r="D296" s="289"/>
      <c r="E296" s="167"/>
      <c r="F296" s="167"/>
      <c r="G296" s="167"/>
      <c r="H296" s="167"/>
      <c r="I296" s="167"/>
      <c r="J296" s="167"/>
    </row>
    <row r="297" customFormat="false" ht="12.75" hidden="false" customHeight="false" outlineLevel="0" collapsed="false">
      <c r="B297" s="167"/>
      <c r="C297" s="167"/>
      <c r="D297" s="289"/>
      <c r="E297" s="167"/>
      <c r="F297" s="167"/>
      <c r="G297" s="167"/>
      <c r="H297" s="167"/>
      <c r="I297" s="167"/>
      <c r="J297" s="167"/>
    </row>
    <row r="298" customFormat="false" ht="12.75" hidden="false" customHeight="false" outlineLevel="0" collapsed="false">
      <c r="B298" s="167"/>
      <c r="C298" s="167"/>
      <c r="D298" s="289"/>
      <c r="E298" s="167"/>
      <c r="F298" s="167"/>
      <c r="G298" s="167"/>
      <c r="H298" s="167"/>
      <c r="I298" s="167"/>
      <c r="J298" s="167"/>
    </row>
    <row r="299" customFormat="false" ht="12.75" hidden="false" customHeight="false" outlineLevel="0" collapsed="false">
      <c r="B299" s="167"/>
      <c r="C299" s="167"/>
      <c r="D299" s="289"/>
      <c r="E299" s="167"/>
      <c r="F299" s="167"/>
      <c r="G299" s="167"/>
      <c r="H299" s="167"/>
      <c r="I299" s="167"/>
      <c r="J299" s="167"/>
    </row>
    <row r="300" customFormat="false" ht="12.75" hidden="false" customHeight="false" outlineLevel="0" collapsed="false">
      <c r="B300" s="167"/>
      <c r="C300" s="167"/>
      <c r="D300" s="289"/>
      <c r="E300" s="167"/>
      <c r="F300" s="167"/>
      <c r="G300" s="167"/>
      <c r="H300" s="167"/>
      <c r="I300" s="167"/>
      <c r="J300" s="167"/>
    </row>
    <row r="301" customFormat="false" ht="12.75" hidden="false" customHeight="false" outlineLevel="0" collapsed="false">
      <c r="B301" s="167"/>
      <c r="C301" s="167"/>
      <c r="D301" s="289"/>
      <c r="E301" s="167"/>
      <c r="F301" s="167"/>
      <c r="G301" s="167"/>
      <c r="H301" s="167"/>
      <c r="I301" s="167"/>
      <c r="J301" s="167"/>
    </row>
    <row r="302" customFormat="false" ht="12.75" hidden="false" customHeight="false" outlineLevel="0" collapsed="false">
      <c r="B302" s="167"/>
      <c r="C302" s="167"/>
      <c r="D302" s="289"/>
      <c r="E302" s="167"/>
      <c r="F302" s="167"/>
      <c r="G302" s="167"/>
      <c r="H302" s="167"/>
      <c r="I302" s="167"/>
      <c r="J302" s="167"/>
    </row>
    <row r="303" customFormat="false" ht="12.75" hidden="false" customHeight="false" outlineLevel="0" collapsed="false">
      <c r="B303" s="167"/>
      <c r="C303" s="167"/>
      <c r="D303" s="289"/>
      <c r="E303" s="167"/>
      <c r="F303" s="167"/>
      <c r="G303" s="167"/>
      <c r="H303" s="167"/>
      <c r="I303" s="167"/>
      <c r="J303" s="167"/>
    </row>
    <row r="304" customFormat="false" ht="12.75" hidden="false" customHeight="false" outlineLevel="0" collapsed="false">
      <c r="B304" s="167"/>
      <c r="C304" s="167"/>
      <c r="D304" s="289"/>
      <c r="E304" s="167"/>
      <c r="F304" s="167"/>
      <c r="G304" s="167"/>
      <c r="H304" s="167"/>
      <c r="I304" s="167"/>
      <c r="J304" s="167"/>
    </row>
    <row r="305" customFormat="false" ht="12.75" hidden="false" customHeight="false" outlineLevel="0" collapsed="false">
      <c r="B305" s="167"/>
      <c r="C305" s="167"/>
      <c r="D305" s="289"/>
      <c r="E305" s="167"/>
      <c r="F305" s="167"/>
      <c r="G305" s="167"/>
      <c r="H305" s="167"/>
      <c r="I305" s="167"/>
      <c r="J305" s="167"/>
    </row>
    <row r="306" customFormat="false" ht="12.75" hidden="false" customHeight="false" outlineLevel="0" collapsed="false">
      <c r="B306" s="167"/>
      <c r="C306" s="167"/>
      <c r="D306" s="289"/>
      <c r="E306" s="167"/>
      <c r="F306" s="167"/>
      <c r="G306" s="167"/>
      <c r="H306" s="167"/>
      <c r="I306" s="167"/>
      <c r="J306" s="167"/>
    </row>
    <row r="307" customFormat="false" ht="12.75" hidden="false" customHeight="false" outlineLevel="0" collapsed="false">
      <c r="B307" s="167"/>
      <c r="C307" s="167"/>
      <c r="D307" s="289"/>
      <c r="E307" s="167"/>
      <c r="F307" s="167"/>
      <c r="G307" s="167"/>
      <c r="H307" s="167"/>
      <c r="I307" s="167"/>
      <c r="J307" s="167"/>
    </row>
    <row r="308" customFormat="false" ht="12.75" hidden="false" customHeight="false" outlineLevel="0" collapsed="false">
      <c r="B308" s="167"/>
      <c r="C308" s="167"/>
      <c r="D308" s="289"/>
      <c r="E308" s="167"/>
      <c r="F308" s="167"/>
      <c r="G308" s="167"/>
      <c r="H308" s="167"/>
      <c r="I308" s="167"/>
      <c r="J308" s="167"/>
    </row>
    <row r="309" customFormat="false" ht="12.75" hidden="false" customHeight="false" outlineLevel="0" collapsed="false">
      <c r="B309" s="167"/>
      <c r="C309" s="167"/>
      <c r="D309" s="289"/>
      <c r="E309" s="167"/>
      <c r="F309" s="167"/>
      <c r="G309" s="167"/>
      <c r="H309" s="167"/>
      <c r="I309" s="167"/>
      <c r="J309" s="167"/>
    </row>
    <row r="310" customFormat="false" ht="12.75" hidden="false" customHeight="false" outlineLevel="0" collapsed="false">
      <c r="B310" s="167"/>
      <c r="C310" s="167"/>
      <c r="D310" s="289"/>
      <c r="E310" s="167"/>
      <c r="F310" s="167"/>
      <c r="G310" s="167"/>
      <c r="H310" s="167"/>
      <c r="I310" s="167"/>
      <c r="J310" s="167"/>
    </row>
    <row r="311" customFormat="false" ht="12.75" hidden="false" customHeight="false" outlineLevel="0" collapsed="false">
      <c r="B311" s="167"/>
      <c r="C311" s="167"/>
      <c r="D311" s="289"/>
      <c r="E311" s="167"/>
      <c r="F311" s="167"/>
      <c r="G311" s="167"/>
      <c r="H311" s="167"/>
      <c r="I311" s="167"/>
      <c r="J311" s="167"/>
    </row>
    <row r="312" customFormat="false" ht="12.75" hidden="false" customHeight="false" outlineLevel="0" collapsed="false">
      <c r="B312" s="167"/>
      <c r="C312" s="167"/>
      <c r="D312" s="289"/>
      <c r="E312" s="167"/>
      <c r="F312" s="167"/>
      <c r="G312" s="167"/>
      <c r="H312" s="167"/>
      <c r="I312" s="167"/>
      <c r="J312" s="167"/>
    </row>
    <row r="313" customFormat="false" ht="12.75" hidden="false" customHeight="false" outlineLevel="0" collapsed="false">
      <c r="B313" s="167"/>
      <c r="C313" s="167"/>
      <c r="D313" s="289"/>
      <c r="E313" s="167"/>
      <c r="F313" s="167"/>
      <c r="G313" s="167"/>
      <c r="H313" s="167"/>
      <c r="I313" s="167"/>
      <c r="J313" s="167"/>
    </row>
    <row r="314" customFormat="false" ht="12.75" hidden="false" customHeight="false" outlineLevel="0" collapsed="false">
      <c r="B314" s="167"/>
      <c r="C314" s="167"/>
      <c r="D314" s="289"/>
      <c r="E314" s="167"/>
      <c r="F314" s="167"/>
      <c r="G314" s="167"/>
      <c r="H314" s="167"/>
      <c r="I314" s="167"/>
      <c r="J314" s="167"/>
    </row>
    <row r="315" customFormat="false" ht="12.75" hidden="false" customHeight="false" outlineLevel="0" collapsed="false">
      <c r="B315" s="167"/>
      <c r="C315" s="167"/>
      <c r="D315" s="289"/>
      <c r="E315" s="167"/>
      <c r="F315" s="167"/>
      <c r="G315" s="167"/>
      <c r="H315" s="167"/>
      <c r="I315" s="167"/>
      <c r="J315" s="167"/>
    </row>
    <row r="316" customFormat="false" ht="12.75" hidden="false" customHeight="false" outlineLevel="0" collapsed="false">
      <c r="B316" s="167"/>
      <c r="C316" s="167"/>
      <c r="D316" s="289"/>
      <c r="E316" s="167"/>
      <c r="F316" s="167"/>
      <c r="G316" s="167"/>
      <c r="H316" s="167"/>
      <c r="I316" s="167"/>
      <c r="J316" s="167"/>
    </row>
    <row r="317" customFormat="false" ht="12.75" hidden="false" customHeight="false" outlineLevel="0" collapsed="false">
      <c r="B317" s="167"/>
      <c r="C317" s="167"/>
      <c r="D317" s="289"/>
      <c r="E317" s="167"/>
      <c r="F317" s="167"/>
      <c r="G317" s="167"/>
      <c r="H317" s="167"/>
      <c r="I317" s="167"/>
      <c r="J317" s="167"/>
    </row>
    <row r="318" customFormat="false" ht="12.75" hidden="false" customHeight="false" outlineLevel="0" collapsed="false">
      <c r="B318" s="167"/>
      <c r="C318" s="167"/>
      <c r="D318" s="289"/>
      <c r="E318" s="167"/>
      <c r="F318" s="167"/>
      <c r="G318" s="167"/>
      <c r="H318" s="167"/>
      <c r="I318" s="167"/>
      <c r="J318" s="167"/>
    </row>
    <row r="319" customFormat="false" ht="12.75" hidden="false" customHeight="false" outlineLevel="0" collapsed="false">
      <c r="B319" s="167"/>
      <c r="C319" s="167"/>
      <c r="D319" s="289"/>
      <c r="E319" s="167"/>
      <c r="F319" s="167"/>
      <c r="G319" s="167"/>
      <c r="H319" s="167"/>
      <c r="I319" s="167"/>
      <c r="J319" s="167"/>
    </row>
    <row r="320" customFormat="false" ht="12.75" hidden="false" customHeight="false" outlineLevel="0" collapsed="false">
      <c r="B320" s="167"/>
      <c r="C320" s="167"/>
      <c r="D320" s="289"/>
      <c r="E320" s="167"/>
      <c r="F320" s="167"/>
      <c r="G320" s="167"/>
      <c r="H320" s="167"/>
      <c r="I320" s="167"/>
      <c r="J320" s="167"/>
    </row>
    <row r="321" customFormat="false" ht="12.75" hidden="false" customHeight="false" outlineLevel="0" collapsed="false">
      <c r="B321" s="167"/>
      <c r="C321" s="167"/>
      <c r="D321" s="289"/>
      <c r="E321" s="167"/>
      <c r="F321" s="167"/>
      <c r="G321" s="167"/>
      <c r="H321" s="167"/>
      <c r="I321" s="167"/>
      <c r="J321" s="167"/>
    </row>
    <row r="322" customFormat="false" ht="12.75" hidden="false" customHeight="false" outlineLevel="0" collapsed="false">
      <c r="B322" s="167"/>
      <c r="C322" s="167"/>
      <c r="D322" s="289"/>
      <c r="E322" s="167"/>
      <c r="F322" s="167"/>
      <c r="G322" s="167"/>
      <c r="H322" s="167"/>
      <c r="I322" s="167"/>
      <c r="J322" s="167"/>
    </row>
    <row r="323" customFormat="false" ht="12.75" hidden="false" customHeight="false" outlineLevel="0" collapsed="false">
      <c r="B323" s="167"/>
      <c r="C323" s="167"/>
      <c r="D323" s="289"/>
      <c r="E323" s="167"/>
      <c r="F323" s="167"/>
      <c r="G323" s="167"/>
      <c r="H323" s="167"/>
      <c r="I323" s="167"/>
      <c r="J323" s="167"/>
    </row>
    <row r="324" customFormat="false" ht="12.75" hidden="false" customHeight="false" outlineLevel="0" collapsed="false">
      <c r="B324" s="167"/>
      <c r="C324" s="167"/>
      <c r="D324" s="289"/>
      <c r="E324" s="167"/>
      <c r="F324" s="167"/>
      <c r="G324" s="167"/>
      <c r="H324" s="167"/>
      <c r="I324" s="167"/>
      <c r="J324" s="167"/>
    </row>
    <row r="325" customFormat="false" ht="12.75" hidden="false" customHeight="false" outlineLevel="0" collapsed="false">
      <c r="B325" s="167"/>
      <c r="C325" s="167"/>
      <c r="D325" s="289"/>
      <c r="E325" s="167"/>
      <c r="F325" s="167"/>
      <c r="G325" s="167"/>
      <c r="H325" s="167"/>
      <c r="I325" s="167"/>
      <c r="J325" s="167"/>
    </row>
    <row r="326" customFormat="false" ht="12.75" hidden="false" customHeight="false" outlineLevel="0" collapsed="false">
      <c r="B326" s="167"/>
      <c r="C326" s="167"/>
      <c r="D326" s="289"/>
      <c r="E326" s="167"/>
      <c r="F326" s="167"/>
      <c r="G326" s="167"/>
      <c r="H326" s="167"/>
      <c r="I326" s="167"/>
      <c r="J326" s="167"/>
    </row>
    <row r="327" customFormat="false" ht="12.75" hidden="false" customHeight="false" outlineLevel="0" collapsed="false">
      <c r="B327" s="167"/>
      <c r="C327" s="167"/>
      <c r="D327" s="289"/>
      <c r="E327" s="167"/>
      <c r="F327" s="167"/>
      <c r="G327" s="167"/>
      <c r="H327" s="167"/>
      <c r="I327" s="167"/>
      <c r="J327" s="167"/>
    </row>
    <row r="328" customFormat="false" ht="12.75" hidden="false" customHeight="false" outlineLevel="0" collapsed="false">
      <c r="B328" s="167"/>
      <c r="C328" s="167"/>
      <c r="D328" s="289"/>
      <c r="E328" s="167"/>
      <c r="F328" s="167"/>
      <c r="G328" s="167"/>
      <c r="H328" s="167"/>
      <c r="I328" s="167"/>
      <c r="J328" s="167"/>
    </row>
    <row r="329" customFormat="false" ht="12.75" hidden="false" customHeight="false" outlineLevel="0" collapsed="false">
      <c r="B329" s="167"/>
      <c r="C329" s="167"/>
      <c r="D329" s="289"/>
      <c r="E329" s="167"/>
      <c r="F329" s="167"/>
      <c r="G329" s="167"/>
      <c r="H329" s="167"/>
      <c r="I329" s="167"/>
      <c r="J329" s="167"/>
    </row>
    <row r="330" customFormat="false" ht="12.75" hidden="false" customHeight="false" outlineLevel="0" collapsed="false">
      <c r="B330" s="167"/>
      <c r="C330" s="167"/>
      <c r="D330" s="289"/>
      <c r="E330" s="167"/>
      <c r="F330" s="167"/>
      <c r="G330" s="167"/>
      <c r="H330" s="167"/>
      <c r="I330" s="167"/>
      <c r="J330" s="167"/>
    </row>
    <row r="331" customFormat="false" ht="12.75" hidden="false" customHeight="false" outlineLevel="0" collapsed="false">
      <c r="B331" s="167"/>
      <c r="C331" s="167"/>
      <c r="D331" s="289"/>
      <c r="E331" s="167"/>
      <c r="F331" s="167"/>
      <c r="G331" s="167"/>
      <c r="H331" s="167"/>
      <c r="I331" s="167"/>
      <c r="J331" s="167"/>
    </row>
    <row r="332" customFormat="false" ht="12.75" hidden="false" customHeight="false" outlineLevel="0" collapsed="false">
      <c r="B332" s="167"/>
      <c r="C332" s="167"/>
      <c r="D332" s="289"/>
      <c r="E332" s="167"/>
      <c r="F332" s="167"/>
      <c r="G332" s="167"/>
      <c r="H332" s="167"/>
      <c r="I332" s="167"/>
      <c r="J332" s="167"/>
    </row>
    <row r="333" customFormat="false" ht="12.75" hidden="false" customHeight="false" outlineLevel="0" collapsed="false">
      <c r="B333" s="167"/>
      <c r="C333" s="167"/>
      <c r="D333" s="289"/>
      <c r="E333" s="167"/>
      <c r="F333" s="167"/>
      <c r="G333" s="167"/>
      <c r="H333" s="167"/>
      <c r="I333" s="167"/>
      <c r="J333" s="167"/>
    </row>
    <row r="334" customFormat="false" ht="12.75" hidden="false" customHeight="false" outlineLevel="0" collapsed="false">
      <c r="B334" s="167"/>
      <c r="C334" s="167"/>
      <c r="D334" s="289"/>
      <c r="E334" s="167"/>
      <c r="F334" s="167"/>
      <c r="G334" s="167"/>
      <c r="H334" s="167"/>
      <c r="I334" s="167"/>
      <c r="J334" s="167"/>
    </row>
    <row r="335" customFormat="false" ht="12.75" hidden="false" customHeight="false" outlineLevel="0" collapsed="false">
      <c r="B335" s="167"/>
      <c r="C335" s="167"/>
      <c r="D335" s="289"/>
      <c r="E335" s="167"/>
      <c r="F335" s="167"/>
      <c r="G335" s="167"/>
      <c r="H335" s="167"/>
      <c r="I335" s="167"/>
      <c r="J335" s="167"/>
    </row>
    <row r="336" customFormat="false" ht="12.75" hidden="false" customHeight="false" outlineLevel="0" collapsed="false">
      <c r="B336" s="167"/>
      <c r="C336" s="167"/>
      <c r="D336" s="289"/>
      <c r="E336" s="167"/>
      <c r="F336" s="167"/>
      <c r="G336" s="167"/>
      <c r="H336" s="167"/>
      <c r="I336" s="167"/>
      <c r="J336" s="167"/>
    </row>
    <row r="337" customFormat="false" ht="12.75" hidden="false" customHeight="false" outlineLevel="0" collapsed="false">
      <c r="B337" s="167"/>
      <c r="C337" s="167"/>
      <c r="D337" s="289"/>
      <c r="E337" s="167"/>
      <c r="F337" s="167"/>
      <c r="G337" s="167"/>
      <c r="H337" s="167"/>
      <c r="I337" s="167"/>
      <c r="J337" s="167"/>
    </row>
    <row r="338" customFormat="false" ht="12.75" hidden="false" customHeight="false" outlineLevel="0" collapsed="false">
      <c r="B338" s="167"/>
      <c r="C338" s="167"/>
      <c r="D338" s="289"/>
      <c r="E338" s="167"/>
      <c r="F338" s="167"/>
      <c r="G338" s="167"/>
      <c r="H338" s="167"/>
      <c r="I338" s="167"/>
      <c r="J338" s="167"/>
    </row>
    <row r="339" customFormat="false" ht="12.75" hidden="false" customHeight="false" outlineLevel="0" collapsed="false">
      <c r="B339" s="167"/>
      <c r="C339" s="167"/>
      <c r="D339" s="289"/>
      <c r="E339" s="167"/>
      <c r="F339" s="167"/>
      <c r="G339" s="167"/>
      <c r="H339" s="167"/>
      <c r="I339" s="167"/>
      <c r="J339" s="167"/>
    </row>
    <row r="340" customFormat="false" ht="12.75" hidden="false" customHeight="false" outlineLevel="0" collapsed="false">
      <c r="B340" s="167"/>
      <c r="C340" s="167"/>
      <c r="D340" s="289"/>
      <c r="E340" s="167"/>
      <c r="F340" s="167"/>
      <c r="G340" s="167"/>
      <c r="H340" s="167"/>
      <c r="I340" s="167"/>
      <c r="J340" s="167"/>
    </row>
    <row r="341" customFormat="false" ht="12.75" hidden="false" customHeight="false" outlineLevel="0" collapsed="false">
      <c r="B341" s="167"/>
      <c r="C341" s="167"/>
      <c r="D341" s="289"/>
      <c r="E341" s="167"/>
      <c r="F341" s="167"/>
      <c r="G341" s="167"/>
      <c r="H341" s="167"/>
      <c r="I341" s="167"/>
      <c r="J341" s="167"/>
    </row>
    <row r="342" customFormat="false" ht="12.75" hidden="false" customHeight="false" outlineLevel="0" collapsed="false">
      <c r="B342" s="167"/>
      <c r="C342" s="167"/>
      <c r="D342" s="289"/>
      <c r="E342" s="167"/>
      <c r="F342" s="167"/>
      <c r="G342" s="167"/>
      <c r="H342" s="167"/>
      <c r="I342" s="167"/>
      <c r="J342" s="167"/>
    </row>
    <row r="343" customFormat="false" ht="12.75" hidden="false" customHeight="false" outlineLevel="0" collapsed="false">
      <c r="B343" s="167"/>
      <c r="C343" s="167"/>
      <c r="D343" s="289"/>
      <c r="E343" s="167"/>
      <c r="F343" s="167"/>
      <c r="G343" s="167"/>
      <c r="H343" s="167"/>
      <c r="I343" s="167"/>
      <c r="J343" s="167"/>
    </row>
    <row r="344" customFormat="false" ht="12.75" hidden="false" customHeight="false" outlineLevel="0" collapsed="false">
      <c r="B344" s="167"/>
      <c r="C344" s="167"/>
      <c r="D344" s="289"/>
      <c r="E344" s="167"/>
      <c r="F344" s="167"/>
      <c r="G344" s="167"/>
      <c r="H344" s="167"/>
      <c r="I344" s="167"/>
      <c r="J344" s="167"/>
    </row>
    <row r="345" customFormat="false" ht="12.75" hidden="false" customHeight="false" outlineLevel="0" collapsed="false">
      <c r="B345" s="167"/>
      <c r="C345" s="167"/>
      <c r="D345" s="289"/>
      <c r="E345" s="167"/>
      <c r="F345" s="167"/>
      <c r="G345" s="167"/>
      <c r="H345" s="167"/>
      <c r="I345" s="167"/>
      <c r="J345" s="167"/>
    </row>
    <row r="346" customFormat="false" ht="12.75" hidden="false" customHeight="false" outlineLevel="0" collapsed="false">
      <c r="B346" s="167"/>
      <c r="C346" s="167"/>
      <c r="D346" s="289"/>
      <c r="E346" s="167"/>
      <c r="F346" s="167"/>
      <c r="G346" s="167"/>
      <c r="H346" s="167"/>
      <c r="I346" s="167"/>
      <c r="J346" s="167"/>
    </row>
    <row r="347" customFormat="false" ht="12.75" hidden="false" customHeight="false" outlineLevel="0" collapsed="false">
      <c r="B347" s="167"/>
      <c r="C347" s="167"/>
      <c r="D347" s="289"/>
      <c r="E347" s="167"/>
      <c r="F347" s="167"/>
      <c r="G347" s="167"/>
      <c r="H347" s="167"/>
      <c r="I347" s="167"/>
      <c r="J347" s="167"/>
    </row>
  </sheetData>
  <autoFilter ref="B7:M48"/>
  <mergeCells count="1">
    <mergeCell ref="F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4" activeCellId="0" sqref="A4"/>
    </sheetView>
  </sheetViews>
  <sheetFormatPr defaultColWidth="11.42578125" defaultRowHeight="12.75" zeroHeight="false" outlineLevelRow="0" outlineLevelCol="0"/>
  <cols>
    <col collapsed="false" customWidth="true" hidden="false" outlineLevel="0" max="1" min="1" style="0" width="17.86"/>
    <col collapsed="false" customWidth="true" hidden="false" outlineLevel="0" max="4" min="4" style="114" width="13.15"/>
    <col collapsed="false" customWidth="true" hidden="false" outlineLevel="0" max="5" min="5" style="0" width="12.86"/>
  </cols>
  <sheetData>
    <row r="1" customFormat="false" ht="12.75" hidden="false" customHeight="false" outlineLevel="0" collapsed="false">
      <c r="G1" s="49" t="s">
        <v>73</v>
      </c>
    </row>
    <row r="2" customFormat="false" ht="12.75" hidden="false" customHeight="false" outlineLevel="0" collapsed="false">
      <c r="F2" s="49" t="s">
        <v>159</v>
      </c>
      <c r="G2" s="278" t="n">
        <v>-0.05</v>
      </c>
    </row>
    <row r="5" customFormat="false" ht="12.75" hidden="false" customHeight="false" outlineLevel="0" collapsed="false">
      <c r="B5" s="0" t="s">
        <v>160</v>
      </c>
      <c r="C5" s="0" t="s">
        <v>161</v>
      </c>
      <c r="D5" s="336" t="s">
        <v>162</v>
      </c>
      <c r="E5" s="337" t="s">
        <v>163</v>
      </c>
      <c r="F5" s="337" t="s">
        <v>163</v>
      </c>
      <c r="G5" s="110" t="s">
        <v>164</v>
      </c>
      <c r="H5" s="338" t="s">
        <v>165</v>
      </c>
      <c r="I5" s="338" t="s">
        <v>165</v>
      </c>
      <c r="K5" s="49" t="s">
        <v>166</v>
      </c>
    </row>
    <row r="6" customFormat="false" ht="12.75" hidden="false" customHeight="false" outlineLevel="0" collapsed="false">
      <c r="A6" s="110" t="s">
        <v>167</v>
      </c>
      <c r="B6" s="110" t="e">
        <f aca="false" t="array" ref="B6:B6">_xll.rdp.data(A6,"CF_BID")</f>
        <v>#NAME?</v>
      </c>
      <c r="C6" s="110" t="e">
        <f aca="false" t="array" ref="C6:C6">_xll.rdp.data(A6,"CF_ASK")</f>
        <v>#NAME?</v>
      </c>
      <c r="D6" s="339" t="e">
        <f aca="false">(B6+C6)/2</f>
        <v>#NAME?</v>
      </c>
      <c r="E6" s="340" t="n">
        <v>-0.015</v>
      </c>
      <c r="F6" s="340" t="n">
        <v>-0.015</v>
      </c>
      <c r="G6" s="340" t="e">
        <f aca="false">IF(#REF!=0,0,IF(#REF!&gt;0,E6*#REF!*100,F6*#REF!*100))</f>
        <v>#REF!</v>
      </c>
      <c r="H6" s="30" t="n">
        <v>898.375</v>
      </c>
      <c r="I6" s="30" t="n">
        <f aca="false">E6*(1+H6)</f>
        <v>-13.490625</v>
      </c>
      <c r="K6" s="110" t="e">
        <f aca="false">_xll.rdp.data(A6,"TR.WACCBeta")</f>
        <v>#NAME?</v>
      </c>
    </row>
    <row r="7" customFormat="false" ht="12.75" hidden="false" customHeight="false" outlineLevel="0" collapsed="false">
      <c r="A7" s="110" t="s">
        <v>168</v>
      </c>
      <c r="B7" s="110" t="e">
        <f aca="false" t="array" ref="B7:B7">_xll.rdp.data(A7,"CF_BID")</f>
        <v>#NAME?</v>
      </c>
      <c r="C7" s="110" t="e">
        <f aca="false" t="array" ref="C7:C7">_xll.rdp.data(A7,"CF_ASK")</f>
        <v>#NAME?</v>
      </c>
      <c r="D7" s="339" t="e">
        <f aca="false">(B7+C7)/2</f>
        <v>#NAME?</v>
      </c>
      <c r="E7" s="340" t="n">
        <v>-0.025</v>
      </c>
      <c r="F7" s="340" t="n">
        <v>-0.025</v>
      </c>
      <c r="G7" s="340" t="e">
        <f aca="false">IF(#REF!=0,0,IF(#REF!&gt;0,E7*#REF!*100,F7*#REF!*100))</f>
        <v>#REF!</v>
      </c>
      <c r="H7" s="30" t="n">
        <v>5.0295</v>
      </c>
      <c r="I7" s="30" t="n">
        <f aca="false">E7*(1+H7)</f>
        <v>-0.1507375</v>
      </c>
      <c r="K7" s="110" t="e">
        <f aca="false">_xll.rdp.data(A7,"TR.WACCBeta")</f>
        <v>#NAME?</v>
      </c>
    </row>
    <row r="8" customFormat="false" ht="12.75" hidden="false" customHeight="false" outlineLevel="0" collapsed="false">
      <c r="A8" s="0" t="s">
        <v>169</v>
      </c>
      <c r="B8" s="0" t="e">
        <f aca="false" t="array" ref="B8:B8">_xll.rdp.data(A8,"CF_BID")</f>
        <v>#NAME?</v>
      </c>
      <c r="C8" s="0" t="e">
        <f aca="false" t="array" ref="C8:C8">_xll.rdp.data(A8,"CF_ASK")</f>
        <v>#NAME?</v>
      </c>
      <c r="D8" s="339" t="e">
        <f aca="false">(B8+C8)/2</f>
        <v>#NAME?</v>
      </c>
      <c r="E8" s="340" t="n">
        <v>0.016</v>
      </c>
      <c r="F8" s="340" t="n">
        <v>0.016</v>
      </c>
      <c r="G8" s="340" t="e">
        <f aca="false">IF(#REF!=0,0,IF(#REF!&gt;0,E8*#REF!*100,F8*#REF!*100))</f>
        <v>#REF!</v>
      </c>
      <c r="H8" s="30" t="n">
        <v>1.1716</v>
      </c>
      <c r="I8" s="30" t="n">
        <f aca="false">E8*(1+H8)</f>
        <v>0.0347456</v>
      </c>
      <c r="K8" s="110" t="e">
        <f aca="false">_xll.rdp.data(A8,"TR.WACCBeta")</f>
        <v>#NAME?</v>
      </c>
    </row>
    <row r="9" customFormat="false" ht="12.75" hidden="false" customHeight="false" outlineLevel="0" collapsed="false">
      <c r="A9" s="49" t="s">
        <v>170</v>
      </c>
      <c r="B9" s="110" t="e">
        <f aca="false" t="array" ref="B9:B9">_xll.rdp.data(A9,"CF_BID")</f>
        <v>#NAME?</v>
      </c>
      <c r="C9" s="110" t="e">
        <f aca="false" t="array" ref="C9:C9">_xll.rdp.data(A9,"CF_ASK")</f>
        <v>#NAME?</v>
      </c>
      <c r="D9" s="339" t="e">
        <f aca="false">(B9+C9)/2</f>
        <v>#NAME?</v>
      </c>
      <c r="E9" s="340" t="n">
        <v>0</v>
      </c>
      <c r="F9" s="340" t="n">
        <v>0</v>
      </c>
      <c r="G9" s="340" t="e">
        <f aca="false">IF(#REF!=0,0,IF(#REF!&gt;0,E9*#REF!*100,F9*#REF!*100))</f>
        <v>#REF!</v>
      </c>
      <c r="H9" s="30" t="n">
        <v>39.05</v>
      </c>
      <c r="I9" s="30" t="n">
        <f aca="false">E9*(1+H9)</f>
        <v>0</v>
      </c>
      <c r="K9" s="110" t="e">
        <f aca="false">_xll.rdp.data(A9,"TR.WACCBeta")</f>
        <v>#NAME?</v>
      </c>
    </row>
    <row r="10" customFormat="false" ht="12.75" hidden="false" customHeight="false" outlineLevel="0" collapsed="false">
      <c r="A10" s="0" t="s">
        <v>171</v>
      </c>
      <c r="B10" s="0" t="e">
        <f aca="false" t="array" ref="B10:B10">_xll.rdp.data(A10,"CF_BID")</f>
        <v>#NAME?</v>
      </c>
      <c r="C10" s="0" t="e">
        <f aca="false" t="array" ref="C10:C10">_xll.rdp.data(A10,"CF_ASK")</f>
        <v>#NAME?</v>
      </c>
      <c r="D10" s="339" t="e">
        <f aca="false">(B10+C10)/2</f>
        <v>#NAME?</v>
      </c>
      <c r="E10" s="340" t="n">
        <v>0.01</v>
      </c>
      <c r="F10" s="340" t="n">
        <v>0.01</v>
      </c>
      <c r="G10" s="340" t="e">
        <f aca="false">IF(#REF!=0,0,IF(#REF!&gt;0,E10*#REF!*100,F10*#REF!*100))</f>
        <v>#REF!</v>
      </c>
      <c r="H10" s="30" t="n">
        <v>0.7067</v>
      </c>
      <c r="I10" s="30" t="n">
        <f aca="false">E10*(1+H10)</f>
        <v>0.017067</v>
      </c>
      <c r="K10" s="110" t="e">
        <f aca="false">_xll.rdp.data(A10,"TR.WACCBeta")</f>
        <v>#NAME?</v>
      </c>
    </row>
    <row r="11" customFormat="false" ht="12.75" hidden="false" customHeight="false" outlineLevel="0" collapsed="false">
      <c r="A11" s="0" t="s">
        <v>172</v>
      </c>
      <c r="B11" s="0" t="e">
        <f aca="false" t="array" ref="B11:B11">_xll.rdp.data(A11,"CF_BID")</f>
        <v>#NAME?</v>
      </c>
      <c r="C11" s="0" t="e">
        <f aca="false" t="array" ref="C11:C11">_xll.rdp.data(A11,"CF_ASK")</f>
        <v>#NAME?</v>
      </c>
      <c r="D11" s="339" t="e">
        <f aca="false">(B11+C11)/2</f>
        <v>#NAME?</v>
      </c>
      <c r="E11" s="340" t="n">
        <v>0.02</v>
      </c>
      <c r="F11" s="341" t="n">
        <v>0.01</v>
      </c>
      <c r="G11" s="340" t="e">
        <f aca="false">IF(#REF!=0,0,IF(#REF!&gt;0,E11*#REF!*100,F11*#REF!*100))</f>
        <v>#REF!</v>
      </c>
      <c r="H11" s="30" t="n">
        <v>4720.375</v>
      </c>
      <c r="I11" s="30" t="n">
        <f aca="false">E11*(1+H11)</f>
        <v>94.4275</v>
      </c>
      <c r="K11" s="110" t="e">
        <f aca="false">_xll.rdp.data(A11,"TR.WACCBeta")</f>
        <v>#NAME?</v>
      </c>
    </row>
    <row r="12" customFormat="false" ht="12.75" hidden="false" customHeight="false" outlineLevel="0" collapsed="false">
      <c r="A12" s="0" t="s">
        <v>73</v>
      </c>
      <c r="B12" s="0" t="e">
        <f aca="false" t="array" ref="B12:B12">_xll.rdp.data(A12,"CF_BID")</f>
        <v>#NAME?</v>
      </c>
      <c r="C12" s="0" t="e">
        <f aca="false" t="array" ref="C12:C12">_xll.rdp.data(A12,"CF_ASK")</f>
        <v>#NAME?</v>
      </c>
      <c r="D12" s="339" t="e">
        <f aca="false">(B12+C12)/2</f>
        <v>#NAME?</v>
      </c>
      <c r="E12" s="340" t="n">
        <v>0.01</v>
      </c>
      <c r="F12" s="340" t="n">
        <v>0.01</v>
      </c>
      <c r="G12" s="340" t="e">
        <f aca="false">IF(#REF!=0,0,IF(#REF!&gt;0,E12*#REF!*100,F12*#REF!*100))</f>
        <v>#REF!</v>
      </c>
      <c r="H12" s="30" t="n">
        <v>679.25</v>
      </c>
      <c r="I12" s="30" t="n">
        <f aca="false">E12*(1+H12)</f>
        <v>6.8025</v>
      </c>
      <c r="K12" s="110" t="e">
        <f aca="false">_xll.rdp.data(A12,"TR.WACCBeta")</f>
        <v>#NAME?</v>
      </c>
    </row>
    <row r="13" customFormat="false" ht="12.75" hidden="false" customHeight="false" outlineLevel="0" collapsed="false">
      <c r="A13" s="110" t="s">
        <v>173</v>
      </c>
      <c r="B13" s="110" t="e">
        <f aca="false" t="array" ref="B13:B13">_xll.rdp.data(A13,"CF_BID")</f>
        <v>#NAME?</v>
      </c>
      <c r="C13" s="110" t="e">
        <f aca="false" t="array" ref="C13:C13">_xll.rdp.data(A13,"CF_ASK")</f>
        <v>#NAME?</v>
      </c>
      <c r="D13" s="339" t="e">
        <f aca="false">(B13+C13)/2</f>
        <v>#NAME?</v>
      </c>
      <c r="E13" s="340" t="n">
        <v>0.02</v>
      </c>
      <c r="F13" s="340" t="n">
        <v>0.03</v>
      </c>
      <c r="G13" s="340" t="e">
        <f aca="false">IF(#REF!=0,0,IF(#REF!&gt;0,E13*#REF!*100,F13*#REF!*100))</f>
        <v>#REF!</v>
      </c>
      <c r="H13" s="30" t="n">
        <v>257.4</v>
      </c>
      <c r="I13" s="30" t="n">
        <f aca="false">E13*(1+H13)</f>
        <v>5.168</v>
      </c>
      <c r="K13" s="110" t="e">
        <f aca="false">_xll.rdp.data(A13,"TR.WACCBeta")</f>
        <v>#NAME?</v>
      </c>
    </row>
    <row r="14" customFormat="false" ht="12.75" hidden="false" customHeight="false" outlineLevel="0" collapsed="false">
      <c r="A14" s="49" t="s">
        <v>174</v>
      </c>
      <c r="B14" s="110" t="e">
        <f aca="false" t="array" ref="B14:B14">_xll.rdp.data(A14,"CF_BID")</f>
        <v>#NAME?</v>
      </c>
      <c r="C14" s="110" t="e">
        <f aca="false" t="array" ref="C14:C14">_xll.rdp.data(A14,"CF_ASK")</f>
        <v>#NAME?</v>
      </c>
      <c r="D14" s="339" t="e">
        <f aca="false">(B14+C14)/2</f>
        <v>#NAME?</v>
      </c>
      <c r="E14" s="341" t="n">
        <v>-0.01</v>
      </c>
      <c r="F14" s="340" t="n">
        <v>-0.03</v>
      </c>
      <c r="G14" s="340" t="e">
        <f aca="false">IF(#REF!=0,0,IF(#REF!&gt;0,E14*#REF!*100,F14*#REF!*100))</f>
        <v>#REF!</v>
      </c>
      <c r="H14" s="30" t="n">
        <v>17.34315</v>
      </c>
      <c r="I14" s="30" t="n">
        <f aca="false">E14*(1+H14)</f>
        <v>-0.1834315</v>
      </c>
      <c r="K14" s="110" t="e">
        <f aca="false">_xll.rdp.data(A14,"TR.WACCBeta")</f>
        <v>#NAME?</v>
      </c>
    </row>
    <row r="15" customFormat="false" ht="12.75" hidden="false" customHeight="false" outlineLevel="0" collapsed="false">
      <c r="A15" s="49" t="s">
        <v>175</v>
      </c>
      <c r="B15" s="110" t="e">
        <f aca="false" t="array" ref="B15:B15">_xll.rdp.data(A15,"CF_BID")</f>
        <v>#NAME?</v>
      </c>
      <c r="C15" s="110" t="e">
        <f aca="false" t="array" ref="C15:C15">_xll.rdp.data(A15,"CF_ASK")</f>
        <v>#NAME?</v>
      </c>
      <c r="D15" s="339" t="e">
        <f aca="false">(B15+C15)/2</f>
        <v>#NAME?</v>
      </c>
      <c r="E15" s="340" t="n">
        <v>-0.025</v>
      </c>
      <c r="F15" s="340" t="n">
        <v>-0.025</v>
      </c>
      <c r="G15" s="340" t="e">
        <f aca="false">IF(#REF!=0,0,IF(#REF!&gt;0,E15*#REF!*100,F15*#REF!*100))</f>
        <v>#REF!</v>
      </c>
      <c r="H15" s="30" t="n">
        <v>16.4854</v>
      </c>
      <c r="I15" s="30" t="n">
        <f aca="false">E15*(1+H15)</f>
        <v>-0.437135</v>
      </c>
      <c r="K15" s="110" t="e">
        <f aca="false">_xll.rdp.data(A15,"TR.WACCBeta")</f>
        <v>#NAME?</v>
      </c>
    </row>
    <row r="16" customFormat="false" ht="12.75" hidden="false" customHeight="false" outlineLevel="0" collapsed="false">
      <c r="A16" s="49" t="s">
        <v>176</v>
      </c>
      <c r="B16" s="110" t="e">
        <f aca="false" t="array" ref="B16:B16">_xll.rdp.data(A16,"CF_BID")</f>
        <v>#NAME?</v>
      </c>
      <c r="C16" s="110" t="e">
        <f aca="false" t="array" ref="C16:C16">_xll.rdp.data(A16,"CF_ASK")</f>
        <v>#NAME?</v>
      </c>
      <c r="D16" s="339" t="e">
        <f aca="false">(B16+C16)/2</f>
        <v>#NAME?</v>
      </c>
      <c r="E16" s="340" t="n">
        <v>0</v>
      </c>
      <c r="F16" s="340" t="n">
        <v>0</v>
      </c>
      <c r="G16" s="340" t="e">
        <f aca="false">IF(#REF!=0,0,IF(#REF!&gt;0,E16*#REF!*100,F16*#REF!*100))</f>
        <v>#REF!</v>
      </c>
      <c r="H16" s="30" t="n">
        <v>159.565</v>
      </c>
      <c r="I16" s="30" t="n">
        <f aca="false">E16*(1+H16)</f>
        <v>0</v>
      </c>
      <c r="K16" s="110" t="e">
        <f aca="false">_xll.rdp.data(A16,"TR.WACCBeta")</f>
        <v>#NAME?</v>
      </c>
    </row>
    <row r="17" customFormat="false" ht="12.75" hidden="false" customHeight="false" outlineLevel="0" collapsed="false">
      <c r="A17" s="49" t="s">
        <v>177</v>
      </c>
      <c r="B17" s="110" t="e">
        <f aca="false" t="array" ref="B17:B17">_xll.rdp.data(A17,"CF_BID")</f>
        <v>#NAME?</v>
      </c>
      <c r="C17" s="110" t="e">
        <f aca="false" t="array" ref="C17:C17">_xll.rdp.data(A17,"CF_ASK")</f>
        <v>#NAME?</v>
      </c>
      <c r="D17" s="339" t="e">
        <f aca="false">(B17+C17)/2</f>
        <v>#NAME?</v>
      </c>
      <c r="E17" s="340" t="n">
        <v>0</v>
      </c>
      <c r="F17" s="340" t="n">
        <v>0</v>
      </c>
      <c r="G17" s="340" t="e">
        <f aca="false">IF(#REF!=0,0,IF(#REF!&gt;0,E17*#REF!*100,F17*#REF!*100))</f>
        <v>#REF!</v>
      </c>
      <c r="H17" s="30" t="n">
        <v>120.07</v>
      </c>
      <c r="I17" s="30" t="n">
        <f aca="false">E17*(1+H17)</f>
        <v>0</v>
      </c>
      <c r="K17" s="110" t="e">
        <f aca="false">_xll.rdp.data(A17,"TR.WACCBeta")</f>
        <v>#NAME?</v>
      </c>
    </row>
    <row r="18" customFormat="false" ht="12.75" hidden="false" customHeight="false" outlineLevel="0" collapsed="false">
      <c r="A18" s="49" t="s">
        <v>114</v>
      </c>
      <c r="B18" s="110" t="e">
        <f aca="false" t="array" ref="B18:B18">_xll.rdp.data(A18,"CF_BID")</f>
        <v>#NAME?</v>
      </c>
      <c r="C18" s="110" t="e">
        <f aca="false" t="array" ref="C18:C18">_xll.rdp.data(A18,"CF_ASK")</f>
        <v>#NAME?</v>
      </c>
      <c r="D18" s="339" t="e">
        <f aca="false">(B18+C18)/2</f>
        <v>#NAME?</v>
      </c>
      <c r="E18" s="340" t="n">
        <v>0.027</v>
      </c>
      <c r="F18" s="340" t="n">
        <v>0.027</v>
      </c>
      <c r="G18" s="340" t="e">
        <f aca="false">IF(#REF!=0,0,IF(#REF!&gt;0,E18*#REF!*100,F18*#REF!*100))</f>
        <v>#REF!</v>
      </c>
      <c r="H18" s="30" t="n">
        <v>36.085</v>
      </c>
      <c r="I18" s="30" t="n">
        <f aca="false">E18*(1+H18)</f>
        <v>1.001295</v>
      </c>
      <c r="K18" s="110" t="e">
        <f aca="false">_xll.rdp.data(A18,"TR.WACCBeta")</f>
        <v>#NAME?</v>
      </c>
    </row>
    <row r="19" customFormat="false" ht="12.75" hidden="false" customHeight="false" outlineLevel="0" collapsed="false">
      <c r="A19" s="49" t="s">
        <v>178</v>
      </c>
      <c r="B19" s="110" t="e">
        <f aca="false" t="array" ref="B19:B19">_xll.rdp.data(A19,"CF_BID")</f>
        <v>#NAME?</v>
      </c>
      <c r="C19" s="110" t="e">
        <f aca="false" t="array" ref="C19:C19">_xll.rdp.data(A19,"CF_ASK")</f>
        <v>#NAME?</v>
      </c>
      <c r="D19" s="339" t="e">
        <f aca="false">(B19+C19)/2</f>
        <v>#NAME?</v>
      </c>
      <c r="E19" s="340" t="n">
        <v>0.02</v>
      </c>
      <c r="F19" s="340" t="n">
        <v>0.02</v>
      </c>
      <c r="G19" s="340" t="e">
        <f aca="false">IF(#REF!=0,0,IF(#REF!&gt;0,E19*#REF!*100,F19*#REF!*100))</f>
        <v>#REF!</v>
      </c>
      <c r="H19" s="30" t="n">
        <v>131.475</v>
      </c>
      <c r="I19" s="30" t="n">
        <f aca="false">E19*(1+H19)</f>
        <v>2.6495</v>
      </c>
      <c r="K19" s="110" t="e">
        <f aca="false">_xll.rdp.data(A19,"TR.WACCBeta")</f>
        <v>#NAME?</v>
      </c>
      <c r="M19" s="28"/>
      <c r="O19" s="28"/>
      <c r="P19" s="28"/>
    </row>
    <row r="20" customFormat="false" ht="12.75" hidden="false" customHeight="false" outlineLevel="0" collapsed="false">
      <c r="A20" s="49" t="s">
        <v>179</v>
      </c>
      <c r="B20" s="110" t="e">
        <f aca="false" t="array" ref="B20:B20">_xll.rdp.data(A20,"CF_BID")</f>
        <v>#NAME?</v>
      </c>
      <c r="C20" s="110" t="e">
        <f aca="false" t="array" ref="C20:C20">_xll.rdp.data(A20,"CF_ASK")</f>
        <v>#NAME?</v>
      </c>
      <c r="D20" s="339" t="e">
        <f aca="false">(B20+C20)/2</f>
        <v>#NAME?</v>
      </c>
      <c r="E20" s="340" t="n">
        <v>0.01</v>
      </c>
      <c r="F20" s="340" t="n">
        <v>0.01</v>
      </c>
      <c r="G20" s="340" t="e">
        <f aca="false">IF(#REF!=0,0,IF(#REF!&gt;0,E20*#REF!*100,F20*#REF!*100))</f>
        <v>#REF!</v>
      </c>
      <c r="H20" s="30" t="n">
        <v>40.985</v>
      </c>
      <c r="I20" s="30" t="n">
        <f aca="false">E20*(1+H20)</f>
        <v>0.41985</v>
      </c>
      <c r="K20" s="110" t="e">
        <f aca="false">_xll.rdp.data(A20,"TR.WACCBeta")</f>
        <v>#NAME?</v>
      </c>
    </row>
    <row r="21" customFormat="false" ht="12.75" hidden="false" customHeight="false" outlineLevel="0" collapsed="false">
      <c r="A21" s="49" t="s">
        <v>180</v>
      </c>
      <c r="B21" s="110" t="e">
        <f aca="false" t="array" ref="B21:B21">_xll.rdp.data(A21,"CF_BID")</f>
        <v>#NAME?</v>
      </c>
      <c r="C21" s="110" t="e">
        <f aca="false" t="array" ref="C21:C21">_xll.rdp.data(A21,"CF_ASK")</f>
        <v>#NAME?</v>
      </c>
      <c r="D21" s="339" t="e">
        <f aca="false">(B21+C21)/2</f>
        <v>#NAME?</v>
      </c>
      <c r="E21" s="340" t="n">
        <v>0.0048</v>
      </c>
      <c r="F21" s="340" t="n">
        <v>0.0048</v>
      </c>
      <c r="G21" s="340" t="e">
        <f aca="false">IF(#REF!=0,0,IF(#REF!&gt;0,E21*#REF!*100,F21*#REF!*100))</f>
        <v>#REF!</v>
      </c>
      <c r="H21" s="30" t="n">
        <v>60.245</v>
      </c>
      <c r="I21" s="30" t="n">
        <f aca="false">E21*(1+H21)</f>
        <v>0.293976</v>
      </c>
      <c r="K21" s="110" t="e">
        <f aca="false">_xll.rdp.data(A21,"TR.WACCBeta")</f>
        <v>#NAME?</v>
      </c>
    </row>
    <row r="22" customFormat="false" ht="12.75" hidden="false" customHeight="false" outlineLevel="0" collapsed="false">
      <c r="A22" s="49" t="s">
        <v>181</v>
      </c>
      <c r="B22" s="110" t="e">
        <f aca="false" t="array" ref="B22:B22">_xll.rdp.data(A22,"CF_BID")</f>
        <v>#NAME?</v>
      </c>
      <c r="C22" s="110" t="e">
        <f aca="false" t="array" ref="C22:C22">_xll.rdp.data(A22,"CF_ASK")</f>
        <v>#NAME?</v>
      </c>
      <c r="D22" s="339" t="e">
        <f aca="false">(B22+C22)/2</f>
        <v>#NAME?</v>
      </c>
      <c r="E22" s="340" t="n">
        <v>0</v>
      </c>
      <c r="F22" s="340" t="n">
        <v>0</v>
      </c>
      <c r="G22" s="340" t="e">
        <f aca="false">IF(#REF!=0,0,IF(#REF!&gt;0,E22*#REF!*100,F22*#REF!*100))</f>
        <v>#REF!</v>
      </c>
      <c r="H22" s="30" t="n">
        <v>125.415</v>
      </c>
      <c r="I22" s="30" t="n">
        <f aca="false">E22*(1+H22)</f>
        <v>0</v>
      </c>
      <c r="K22" s="110" t="e">
        <f aca="false">_xll.rdp.data(A22,"TR.WACCBeta")</f>
        <v>#NAME?</v>
      </c>
    </row>
    <row r="23" customFormat="false" ht="12.75" hidden="false" customHeight="false" outlineLevel="0" collapsed="false">
      <c r="A23" s="49" t="s">
        <v>182</v>
      </c>
      <c r="B23" s="110" t="e">
        <f aca="false" t="array" ref="B23:B23">_xll.rdp.data(A23,"CF_BID")</f>
        <v>#NAME?</v>
      </c>
      <c r="C23" s="110" t="e">
        <f aca="false" t="array" ref="C23:C23">_xll.rdp.data(A23,"CF_ASK")</f>
        <v>#NAME?</v>
      </c>
      <c r="D23" s="339" t="e">
        <f aca="false">(B23+C23)/2</f>
        <v>#NAME?</v>
      </c>
      <c r="E23" s="340" t="n">
        <v>0.0121</v>
      </c>
      <c r="F23" s="340" t="n">
        <v>0.0121</v>
      </c>
      <c r="G23" s="340" t="e">
        <f aca="false">IF(#REF!=0,0,IF(#REF!&gt;0,E23*#REF!*100,F23*#REF!*100))</f>
        <v>#REF!</v>
      </c>
      <c r="H23" s="30" t="n">
        <v>316.16</v>
      </c>
      <c r="I23" s="30" t="n">
        <f aca="false">E23*(1+H23)</f>
        <v>3.837636</v>
      </c>
      <c r="K23" s="110" t="e">
        <f aca="false">_xll.rdp.data(A23,"TR.WACCBeta")</f>
        <v>#NAME?</v>
      </c>
    </row>
    <row r="24" customFormat="false" ht="12.75" hidden="false" customHeight="false" outlineLevel="0" collapsed="false">
      <c r="A24" s="49" t="s">
        <v>131</v>
      </c>
      <c r="B24" s="110" t="e">
        <f aca="false" t="array" ref="B24:B24">_xll.rdp.data(A24,"CF_BID")</f>
        <v>#NAME?</v>
      </c>
      <c r="C24" s="110" t="e">
        <f aca="false" t="array" ref="C24:C24">_xll.rdp.data(A24,"CF_ASK")</f>
        <v>#NAME?</v>
      </c>
      <c r="D24" s="339" t="e">
        <f aca="false">(B24+C24)/2</f>
        <v>#NAME?</v>
      </c>
      <c r="E24" s="340" t="n">
        <v>0</v>
      </c>
      <c r="F24" s="340" t="n">
        <v>0</v>
      </c>
      <c r="G24" s="340" t="e">
        <f aca="false">IF(#REF!=0,0,IF(#REF!&gt;0,E24*#REF!*100,F24*#REF!*100))</f>
        <v>#REF!</v>
      </c>
      <c r="H24" s="30" t="n">
        <v>27.015</v>
      </c>
      <c r="I24" s="30" t="n">
        <f aca="false">E24*(1+H24)</f>
        <v>0</v>
      </c>
      <c r="K24" s="110" t="e">
        <f aca="false">_xll.rdp.data(A24,"TR.WACCBeta")</f>
        <v>#NAME?</v>
      </c>
    </row>
    <row r="25" customFormat="false" ht="12.75" hidden="false" customHeight="false" outlineLevel="0" collapsed="false">
      <c r="A25" s="49" t="s">
        <v>183</v>
      </c>
      <c r="B25" s="110" t="e">
        <f aca="false" t="array" ref="B25:B25">_xll.rdp.data(A25,"CF_BID")</f>
        <v>#NAME?</v>
      </c>
      <c r="C25" s="110" t="e">
        <f aca="false" t="array" ref="C25:C25">_xll.rdp.data(A25,"CF_ASK")</f>
        <v>#NAME?</v>
      </c>
      <c r="D25" s="339" t="e">
        <f aca="false">(B25+C25)/2</f>
        <v>#NAME?</v>
      </c>
      <c r="E25" s="340" t="n">
        <v>0.0054</v>
      </c>
      <c r="F25" s="340" t="n">
        <v>0.0054</v>
      </c>
      <c r="G25" s="340" t="e">
        <f aca="false">IF(#REF!=0,0,IF(#REF!&gt;0,E25*#REF!*100,F25*#REF!*100))</f>
        <v>#REF!</v>
      </c>
      <c r="H25" s="30" t="n">
        <v>42.41</v>
      </c>
      <c r="I25" s="30" t="n">
        <f aca="false">E25*(1+H25)</f>
        <v>0.234414</v>
      </c>
      <c r="K25" s="110" t="e">
        <f aca="false">_xll.rdp.data(A25,"TR.WACCBeta")</f>
        <v>#NAME?</v>
      </c>
    </row>
    <row r="26" customFormat="false" ht="12.75" hidden="false" customHeight="false" outlineLevel="0" collapsed="false">
      <c r="A26" s="49" t="s">
        <v>184</v>
      </c>
      <c r="B26" s="110" t="e">
        <f aca="false" t="array" ref="B26:B26">_xll.rdp.data(A26,"CF_BID")</f>
        <v>#NAME?</v>
      </c>
      <c r="C26" s="110" t="e">
        <f aca="false" t="array" ref="C26:C26">_xll.rdp.data(A26,"CF_ASK")</f>
        <v>#NAME?</v>
      </c>
      <c r="D26" s="339" t="e">
        <f aca="false">(B26+C26)/2</f>
        <v>#NAME?</v>
      </c>
      <c r="E26" s="340" t="n">
        <v>0</v>
      </c>
      <c r="F26" s="340" t="n">
        <v>0</v>
      </c>
      <c r="G26" s="340" t="e">
        <f aca="false">IF(#REF!=0,0,IF(#REF!&gt;0,E26*#REF!*100,F26*#REF!*100))</f>
        <v>#REF!</v>
      </c>
      <c r="H26" s="30" t="n">
        <v>86.55</v>
      </c>
      <c r="I26" s="30" t="n">
        <f aca="false">E26*(1+H26)</f>
        <v>0</v>
      </c>
      <c r="K26" s="110" t="e">
        <f aca="false">_xll.rdp.data(A26,"TR.WACCBeta")</f>
        <v>#NAME?</v>
      </c>
    </row>
    <row r="27" customFormat="false" ht="12.75" hidden="false" customHeight="false" outlineLevel="0" collapsed="false">
      <c r="A27" s="49" t="s">
        <v>185</v>
      </c>
      <c r="B27" s="110" t="e">
        <f aca="false" t="array" ref="B27:B27">_xll.rdp.data(A27,"CF_BID")</f>
        <v>#NAME?</v>
      </c>
      <c r="C27" s="110" t="e">
        <f aca="false" t="array" ref="C27:C27">_xll.rdp.data(A27,"CF_ASK")</f>
        <v>#NAME?</v>
      </c>
      <c r="D27" s="339" t="e">
        <f aca="false">(B27+C27)/2</f>
        <v>#NAME?</v>
      </c>
      <c r="E27" s="340" t="n">
        <v>0</v>
      </c>
      <c r="F27" s="340" t="n">
        <v>0</v>
      </c>
      <c r="G27" s="340" t="e">
        <f aca="false">IF(#REF!=0,0,IF(#REF!&gt;0,E27*#REF!*100,F27*#REF!*100))</f>
        <v>#REF!</v>
      </c>
      <c r="H27" s="30" t="n">
        <v>79.14</v>
      </c>
      <c r="I27" s="30" t="n">
        <f aca="false">E27*(1+H27)</f>
        <v>0</v>
      </c>
      <c r="K27" s="110" t="e">
        <f aca="false">_xll.rdp.data(A27,"TR.WACCBeta")</f>
        <v>#NAME?</v>
      </c>
    </row>
    <row r="28" customFormat="false" ht="12.75" hidden="false" customHeight="false" outlineLevel="0" collapsed="false">
      <c r="A28" s="49" t="s">
        <v>186</v>
      </c>
      <c r="B28" s="110" t="e">
        <f aca="false" t="array" ref="B28:B28">_xll.rdp.data(A28,"CF_BID")</f>
        <v>#NAME?</v>
      </c>
      <c r="C28" s="110" t="e">
        <f aca="false" t="array" ref="C28:C28">_xll.rdp.data(A28,"CF_ASK")</f>
        <v>#NAME?</v>
      </c>
      <c r="D28" s="339" t="e">
        <f aca="false">(B28+C28)/2</f>
        <v>#NAME?</v>
      </c>
      <c r="E28" s="340" t="n">
        <v>0.0098</v>
      </c>
      <c r="F28" s="340" t="n">
        <v>0.0098</v>
      </c>
      <c r="G28" s="340" t="e">
        <f aca="false">IF(#REF!=0,0,IF(#REF!&gt;0,E28*#REF!*100,F28*#REF!*100))</f>
        <v>#REF!</v>
      </c>
      <c r="H28" s="30" t="n">
        <v>627.48</v>
      </c>
      <c r="I28" s="30" t="n">
        <f aca="false">E28*(1+H28)</f>
        <v>6.159104</v>
      </c>
      <c r="K28" s="110" t="e">
        <f aca="false">_xll.rdp.data(A28,"TR.WACCBeta")</f>
        <v>#NAME?</v>
      </c>
    </row>
    <row r="29" customFormat="false" ht="12.75" hidden="false" customHeight="false" outlineLevel="0" collapsed="false">
      <c r="A29" s="0" t="s">
        <v>187</v>
      </c>
      <c r="B29" s="0" t="e">
        <f aca="false" t="array" ref="B29:B29">_xll.rdp.data(A29,"CF_BID")</f>
        <v>#NAME?</v>
      </c>
      <c r="C29" s="0" t="e">
        <f aca="false" t="array" ref="C29:C29">_xll.rdp.data(A29,"CF_ASK")</f>
        <v>#NAME?</v>
      </c>
      <c r="D29" s="339" t="e">
        <f aca="false">(B29+C29)/2</f>
        <v>#NAME?</v>
      </c>
      <c r="E29" s="340" t="n">
        <v>0</v>
      </c>
      <c r="F29" s="340" t="n">
        <v>0</v>
      </c>
      <c r="G29" s="340" t="e">
        <f aca="false">IF(#REF!=0,0,IF(#REF!&gt;0,E29*#REF!*100,F29*#REF!*100))</f>
        <v>#REF!</v>
      </c>
      <c r="H29" s="30" t="n">
        <v>108.365</v>
      </c>
      <c r="I29" s="30" t="n">
        <f aca="false">E29*(1+H29)</f>
        <v>0</v>
      </c>
      <c r="K29" s="110" t="e">
        <f aca="false">_xll.rdp.data(A29,"TR.WACCBeta")</f>
        <v>#NAME?</v>
      </c>
    </row>
    <row r="30" customFormat="false" ht="12.75" hidden="false" customHeight="false" outlineLevel="0" collapsed="false">
      <c r="A30" s="49" t="s">
        <v>188</v>
      </c>
      <c r="B30" s="110" t="e">
        <f aca="false" t="array" ref="B30:B30">_xll.rdp.data(A30,"CF_BID")</f>
        <v>#NAME?</v>
      </c>
      <c r="C30" s="110" t="e">
        <f aca="false" t="array" ref="C30:C30">_xll.rdp.data(A30,"CF_ASK")</f>
        <v>#NAME?</v>
      </c>
      <c r="D30" s="339" t="e">
        <f aca="false">(B30+C30)/2</f>
        <v>#NAME?</v>
      </c>
      <c r="E30" s="340" t="n">
        <v>0.0119</v>
      </c>
      <c r="F30" s="340" t="n">
        <v>0.0119</v>
      </c>
      <c r="G30" s="340" t="e">
        <f aca="false">IF(#REF!=0,0,IF(#REF!&gt;0,E30*#REF!*100,F30*#REF!*100))</f>
        <v>#REF!</v>
      </c>
      <c r="H30" s="30" t="n">
        <v>236.985</v>
      </c>
      <c r="I30" s="30" t="n">
        <f aca="false">E30*(1+H30)</f>
        <v>2.8320215</v>
      </c>
      <c r="K30" s="110" t="e">
        <f aca="false">_xll.rdp.data(A30,"TR.WACCBeta")</f>
        <v>#NAME?</v>
      </c>
    </row>
    <row r="31" customFormat="false" ht="12.75" hidden="false" customHeight="false" outlineLevel="0" collapsed="false">
      <c r="A31" s="0" t="s">
        <v>189</v>
      </c>
      <c r="B31" s="0" t="e">
        <f aca="false" t="array" ref="B31:B31">_xll.rdp.data(A31,"CF_BID")</f>
        <v>#NAME?</v>
      </c>
      <c r="C31" s="0" t="e">
        <f aca="false" t="array" ref="C31:C31">_xll.rdp.data(A31,"CF_ASK")</f>
        <v>#NAME?</v>
      </c>
      <c r="D31" s="339" t="e">
        <f aca="false">(B31+C31)/2</f>
        <v>#NAME?</v>
      </c>
      <c r="E31" s="340" t="n">
        <v>0.0103</v>
      </c>
      <c r="F31" s="340" t="n">
        <v>0.0103</v>
      </c>
      <c r="G31" s="340" t="e">
        <f aca="false">IF(#REF!=0,0,IF(#REF!&gt;0,E31*#REF!*100,F31*#REF!*100))</f>
        <v>#REF!</v>
      </c>
      <c r="H31" s="30" t="n">
        <v>125.72</v>
      </c>
      <c r="I31" s="30" t="n">
        <f aca="false">E31*(1+H31)</f>
        <v>1.305216</v>
      </c>
      <c r="K31" s="110" t="e">
        <f aca="false">_xll.rdp.data(A31,"TR.WACCBeta")</f>
        <v>#NAME?</v>
      </c>
    </row>
    <row r="32" customFormat="false" ht="12.75" hidden="false" customHeight="false" outlineLevel="0" collapsed="false">
      <c r="A32" s="0" t="s">
        <v>33</v>
      </c>
      <c r="B32" s="0" t="e">
        <f aca="false" t="array" ref="B32:B32">_xll.rdp.data(A32,"CF_BID")</f>
        <v>#NAME?</v>
      </c>
      <c r="C32" s="0" t="e">
        <f aca="false" t="array" ref="C32:C32">_xll.rdp.data(A32,"CF_ASK")</f>
        <v>#NAME?</v>
      </c>
      <c r="D32" s="339" t="e">
        <f aca="false">(B32+C32)/2</f>
        <v>#NAME?</v>
      </c>
      <c r="E32" s="340" t="n">
        <v>0.0153</v>
      </c>
      <c r="F32" s="340" t="n">
        <v>0.0153</v>
      </c>
      <c r="G32" s="340" t="e">
        <f aca="false">IF(#REF!=0,0,IF(#REF!&gt;0,E32*#REF!*100,F32*#REF!*100))</f>
        <v>#REF!</v>
      </c>
      <c r="H32" s="30" t="n">
        <v>32.145</v>
      </c>
      <c r="I32" s="30" t="n">
        <f aca="false">E32*(1+H32)</f>
        <v>0.5071185</v>
      </c>
      <c r="K32" s="110" t="e">
        <f aca="false">_xll.rdp.data(A32,"TR.WACCBeta")</f>
        <v>#NAME?</v>
      </c>
    </row>
    <row r="33" customFormat="false" ht="12.75" hidden="false" customHeight="false" outlineLevel="0" collapsed="false">
      <c r="A33" s="49" t="s">
        <v>118</v>
      </c>
      <c r="B33" s="110" t="e">
        <f aca="false" t="array" ref="B33:B33">_xll.rdp.data(A33,"CF_BID")</f>
        <v>#NAME?</v>
      </c>
      <c r="C33" s="110" t="e">
        <f aca="false" t="array" ref="C33:C33">_xll.rdp.data(A33,"CF_ASK")</f>
        <v>#NAME?</v>
      </c>
      <c r="D33" s="339" t="e">
        <f aca="false">(B33+C33)/2</f>
        <v>#NAME?</v>
      </c>
      <c r="E33" s="340" t="n">
        <v>0.0121</v>
      </c>
      <c r="F33" s="340" t="n">
        <v>0.0121</v>
      </c>
      <c r="G33" s="340" t="e">
        <f aca="false">IF(#REF!=0,0,IF(#REF!&gt;0,E33*#REF!*100,F33*#REF!*100))</f>
        <v>#REF!</v>
      </c>
      <c r="H33" s="30" t="n">
        <v>78.91</v>
      </c>
      <c r="I33" s="30" t="n">
        <f aca="false">E33*(1+H33)</f>
        <v>0.966911</v>
      </c>
      <c r="K33" s="110" t="e">
        <f aca="false">_xll.rdp.data(A33,"TR.WACCBeta")</f>
        <v>#NAME?</v>
      </c>
    </row>
    <row r="34" customFormat="false" ht="12.75" hidden="false" customHeight="false" outlineLevel="0" collapsed="false">
      <c r="A34" s="49" t="s">
        <v>190</v>
      </c>
      <c r="B34" s="110" t="e">
        <f aca="false" t="array" ref="B34:B34">_xll.rdp.data(A34,"CF_BID")</f>
        <v>#NAME?</v>
      </c>
      <c r="C34" s="110" t="e">
        <f aca="false" t="array" ref="C34:C34">_xll.rdp.data(A34,"CF_ASK")</f>
        <v>#NAME?</v>
      </c>
      <c r="D34" s="339" t="e">
        <f aca="false">(B34+C34)/2</f>
        <v>#NAME?</v>
      </c>
      <c r="E34" s="340" t="n">
        <v>0.0121</v>
      </c>
      <c r="F34" s="340" t="n">
        <v>0.0121</v>
      </c>
      <c r="G34" s="340" t="e">
        <f aca="false">IF(#REF!=0,0,IF(#REF!&gt;0,E34*#REF!*100,F34*#REF!*100))</f>
        <v>#REF!</v>
      </c>
      <c r="H34" s="30" t="n">
        <v>9.4</v>
      </c>
      <c r="I34" s="30" t="n">
        <f aca="false">E34*(1+H34)</f>
        <v>0.12584</v>
      </c>
      <c r="K34" s="110" t="e">
        <f aca="false">_xll.rdp.data(A34,"TR.WACCBeta")</f>
        <v>#NAME?</v>
      </c>
    </row>
    <row r="35" customFormat="false" ht="12.75" hidden="false" customHeight="false" outlineLevel="0" collapsed="false">
      <c r="A35" s="49" t="s">
        <v>191</v>
      </c>
      <c r="B35" s="110" t="e">
        <f aca="false" t="array" ref="B35:B35">_xll.rdp.data(A35,"CF_BID")</f>
        <v>#NAME?</v>
      </c>
      <c r="C35" s="110" t="e">
        <f aca="false" t="array" ref="C35:C35">_xll.rdp.data(A35,"CF_ASK")</f>
        <v>#NAME?</v>
      </c>
      <c r="D35" s="339" t="e">
        <f aca="false">(B35+C35)/2</f>
        <v>#NAME?</v>
      </c>
      <c r="E35" s="340" t="n">
        <v>0.0109</v>
      </c>
      <c r="F35" s="340" t="n">
        <v>0.0109</v>
      </c>
      <c r="G35" s="340" t="e">
        <f aca="false">IF(#REF!=0,0,IF(#REF!&gt;0,E35*#REF!*100,F35*#REF!*100))</f>
        <v>#REF!</v>
      </c>
      <c r="H35" s="30" t="n">
        <v>376.92</v>
      </c>
      <c r="I35" s="30" t="n">
        <f aca="false">E35*(1+H35)</f>
        <v>4.119328</v>
      </c>
      <c r="K35" s="110" t="e">
        <f aca="false">_xll.rdp.data(A35,"TR.WACCBeta")</f>
        <v>#NAME?</v>
      </c>
    </row>
    <row r="36" customFormat="false" ht="12.75" hidden="false" customHeight="false" outlineLevel="0" collapsed="false">
      <c r="A36" s="49" t="s">
        <v>148</v>
      </c>
      <c r="B36" s="110" t="e">
        <f aca="false" t="array" ref="B36:B36">_xll.rdp.data(A36,"CF_BID")</f>
        <v>#NAME?</v>
      </c>
      <c r="C36" s="110" t="e">
        <f aca="false" t="array" ref="C36:C36">_xll.rdp.data(A36,"CF_ASK")</f>
        <v>#NAME?</v>
      </c>
      <c r="D36" s="339" t="e">
        <f aca="false">(B36+C36)/2</f>
        <v>#NAME?</v>
      </c>
      <c r="E36" s="340" t="n">
        <v>0.0121</v>
      </c>
      <c r="F36" s="340" t="n">
        <v>0.0121</v>
      </c>
      <c r="G36" s="340" t="e">
        <f aca="false">IF(#REF!=0,0,IF(#REF!&gt;0,E36*#REF!*100,F36*#REF!*100))</f>
        <v>#REF!</v>
      </c>
      <c r="H36" s="30" t="n">
        <v>50.835</v>
      </c>
      <c r="I36" s="30" t="n">
        <f aca="false">E36*(1+H36)</f>
        <v>0.6272035</v>
      </c>
      <c r="K36" s="110" t="e">
        <f aca="false">_xll.rdp.data(A36,"TR.WACCBeta")</f>
        <v>#NAME?</v>
      </c>
    </row>
    <row r="37" customFormat="false" ht="12.75" hidden="false" customHeight="false" outlineLevel="0" collapsed="false">
      <c r="A37" s="49" t="s">
        <v>192</v>
      </c>
      <c r="B37" s="110" t="e">
        <f aca="false" t="array" ref="B37:B37">_xll.rdp.data(A37,"CF_BID")</f>
        <v>#NAME?</v>
      </c>
      <c r="C37" s="110" t="e">
        <f aca="false" t="array" ref="C37:C37">_xll.rdp.data(A37,"CF_ASK")</f>
        <v>#NAME?</v>
      </c>
      <c r="D37" s="339" t="e">
        <f aca="false">(B37+C37)/2</f>
        <v>#NAME?</v>
      </c>
      <c r="E37" s="340" t="n">
        <v>0</v>
      </c>
      <c r="F37" s="340" t="n">
        <v>0</v>
      </c>
      <c r="G37" s="340" t="e">
        <f aca="false">IF(#REF!=0,0,IF(#REF!&gt;0,E37*#REF!*100,F37*#REF!*100))</f>
        <v>#REF!</v>
      </c>
      <c r="H37" s="30" t="n">
        <v>0.6472</v>
      </c>
      <c r="I37" s="30" t="n">
        <f aca="false">E37*(1+H37)</f>
        <v>0</v>
      </c>
      <c r="K37" s="110" t="e">
        <f aca="false">_xll.rdp.data(A37,"TR.WACCBeta")</f>
        <v>#NAME?</v>
      </c>
    </row>
    <row r="38" customFormat="false" ht="12.75" hidden="false" customHeight="false" outlineLevel="0" collapsed="false">
      <c r="A38" s="49" t="s">
        <v>134</v>
      </c>
      <c r="B38" s="110" t="e">
        <f aca="false" t="array" ref="B38:B38">_xll.rdp.data(A38,"CF_BID")</f>
        <v>#NAME?</v>
      </c>
      <c r="C38" s="110" t="e">
        <f aca="false" t="array" ref="C38:C38">_xll.rdp.data(A38,"CF_ASK")</f>
        <v>#NAME?</v>
      </c>
      <c r="D38" s="339" t="e">
        <f aca="false">(B38+C38)/2</f>
        <v>#NAME?</v>
      </c>
      <c r="E38" s="340" t="n">
        <v>0.02</v>
      </c>
      <c r="F38" s="340" t="n">
        <v>0.01</v>
      </c>
      <c r="G38" s="340" t="e">
        <f aca="false">IF(#REF!=0,0,IF(#REF!&gt;0,E38*#REF!*100,F38*#REF!*100))</f>
        <v>#REF!</v>
      </c>
      <c r="H38" s="30" t="n">
        <v>432.9</v>
      </c>
      <c r="I38" s="30" t="n">
        <f aca="false">E38*(1+H38)</f>
        <v>8.678</v>
      </c>
      <c r="K38" s="110" t="e">
        <f aca="false">_xll.rdp.data(A38,"TR.WACCBeta")</f>
        <v>#NAME?</v>
      </c>
    </row>
    <row r="39" customFormat="false" ht="12.75" hidden="false" customHeight="false" outlineLevel="0" collapsed="false">
      <c r="A39" s="49" t="s">
        <v>193</v>
      </c>
      <c r="B39" s="110" t="e">
        <f aca="false" t="array" ref="B39:B39">_xll.rdp.data(A39,"CF_BID")</f>
        <v>#NAME?</v>
      </c>
      <c r="C39" s="110" t="e">
        <f aca="false" t="array" ref="C39:C39">_xll.rdp.data(A39,"CF_ASK")</f>
        <v>#NAME?</v>
      </c>
      <c r="D39" s="339" t="e">
        <f aca="false">(B39+C39)/2</f>
        <v>#NAME?</v>
      </c>
      <c r="E39" s="340" t="n">
        <v>0</v>
      </c>
      <c r="F39" s="340" t="n">
        <v>0</v>
      </c>
      <c r="G39" s="340" t="e">
        <f aca="false">IF(#REF!=0,0,IF(#REF!&gt;0,E39*#REF!*100,F39*#REF!*100))</f>
        <v>#REF!</v>
      </c>
      <c r="H39" s="30" t="n">
        <v>94.53</v>
      </c>
      <c r="I39" s="30" t="n">
        <f aca="false">E39*(1+H39)</f>
        <v>0</v>
      </c>
      <c r="K39" s="110" t="e">
        <f aca="false">_xll.rdp.data(A39,"TR.WACCBeta")</f>
        <v>#NAME?</v>
      </c>
    </row>
    <row r="40" customFormat="false" ht="12.75" hidden="false" customHeight="false" outlineLevel="0" collapsed="false">
      <c r="A40" s="49" t="s">
        <v>194</v>
      </c>
      <c r="B40" s="110" t="e">
        <f aca="false" t="array" ref="B40:B40">_xll.rdp.data(A40,"CF_BID")</f>
        <v>#NAME?</v>
      </c>
      <c r="C40" s="110" t="e">
        <f aca="false" t="array" ref="C40:C40">_xll.rdp.data(A40,"CF_ASK")</f>
        <v>#NAME?</v>
      </c>
      <c r="D40" s="339" t="e">
        <f aca="false">(B40+C40)/2</f>
        <v>#NAME?</v>
      </c>
      <c r="E40" s="340" t="n">
        <v>0</v>
      </c>
      <c r="F40" s="340" t="n">
        <v>0</v>
      </c>
      <c r="G40" s="340" t="e">
        <f aca="false">IF(#REF!=0,0,IF(#REF!&gt;0,E40*#REF!*100,F40*#REF!*100))</f>
        <v>#REF!</v>
      </c>
      <c r="H40" s="30" t="n">
        <v>67.545</v>
      </c>
      <c r="I40" s="30" t="n">
        <f aca="false">E40*(1+H40)</f>
        <v>0</v>
      </c>
      <c r="K40" s="110" t="e">
        <f aca="false">_xll.rdp.data(A40,"TR.WACCBeta")</f>
        <v>#NAME?</v>
      </c>
    </row>
    <row r="41" customFormat="false" ht="12.75" hidden="false" customHeight="false" outlineLevel="0" collapsed="false">
      <c r="A41" s="49" t="s">
        <v>195</v>
      </c>
      <c r="B41" s="110" t="e">
        <f aca="false" t="array" ref="B41:B41">_xll.rdp.data(A41,"CF_BID")</f>
        <v>#NAME?</v>
      </c>
      <c r="C41" s="110" t="e">
        <f aca="false" t="array" ref="C41:C41">_xll.rdp.data(A41,"CF_ASK")</f>
        <v>#NAME?</v>
      </c>
      <c r="D41" s="339" t="e">
        <f aca="false">(B41+C41)/2</f>
        <v>#NAME?</v>
      </c>
      <c r="E41" s="340" t="n">
        <v>0</v>
      </c>
      <c r="F41" s="340" t="n">
        <v>0</v>
      </c>
      <c r="G41" s="340" t="e">
        <f aca="false">IF(#REF!=0,0,IF(#REF!&gt;0,E41*#REF!*100,F41*#REF!*100))</f>
        <v>#REF!</v>
      </c>
      <c r="H41" s="30" t="n">
        <v>451.975</v>
      </c>
      <c r="I41" s="30" t="n">
        <f aca="false">E41*(1+H41)</f>
        <v>0</v>
      </c>
      <c r="K41" s="110" t="e">
        <f aca="false">_xll.rdp.data(A41,"TR.WACCBeta")</f>
        <v>#NAME?</v>
      </c>
    </row>
    <row r="42" customFormat="false" ht="12.75" hidden="false" customHeight="false" outlineLevel="0" collapsed="false">
      <c r="A42" s="49" t="s">
        <v>196</v>
      </c>
      <c r="B42" s="110" t="e">
        <f aca="false" t="array" ref="B42:B42">_xll.rdp.data(A42,"CF_BID")</f>
        <v>#NAME?</v>
      </c>
      <c r="C42" s="110" t="e">
        <f aca="false" t="array" ref="C42:C42">_xll.rdp.data(A42,"CF_ASK")</f>
        <v>#NAME?</v>
      </c>
      <c r="D42" s="339" t="e">
        <f aca="false">(B42+C42)/2</f>
        <v>#NAME?</v>
      </c>
      <c r="E42" s="340" t="n">
        <v>0</v>
      </c>
      <c r="F42" s="340" t="n">
        <v>0</v>
      </c>
      <c r="G42" s="340" t="e">
        <f aca="false">IF(#REF!=0,0,IF(#REF!&gt;0,E42*#REF!*100,F42*#REF!*100))</f>
        <v>#REF!</v>
      </c>
      <c r="H42" s="30" t="n">
        <v>123.57</v>
      </c>
      <c r="I42" s="30" t="n">
        <f aca="false">E42*(1+H42)</f>
        <v>0</v>
      </c>
      <c r="K42" s="110" t="e">
        <f aca="false">_xll.rdp.data(A42,"TR.WACCBeta")</f>
        <v>#NAME?</v>
      </c>
    </row>
    <row r="43" customFormat="false" ht="12.75" hidden="false" customHeight="false" outlineLevel="0" collapsed="false">
      <c r="A43" s="49" t="s">
        <v>197</v>
      </c>
      <c r="B43" s="110" t="e">
        <f aca="false" t="array" ref="B43:B43">_xll.rdp.data(A43,"CF_BID")</f>
        <v>#NAME?</v>
      </c>
      <c r="C43" s="110" t="e">
        <f aca="false" t="array" ref="C43:C43">_xll.rdp.data(A43,"CF_ASK")</f>
        <v>#NAME?</v>
      </c>
      <c r="D43" s="339" t="e">
        <f aca="false">(B43+C43)/2</f>
        <v>#NAME?</v>
      </c>
      <c r="E43" s="340" t="n">
        <v>0.0147</v>
      </c>
      <c r="F43" s="340" t="n">
        <v>0.0147</v>
      </c>
      <c r="G43" s="340" t="e">
        <f aca="false">IF(#REF!=0,0,IF(#REF!&gt;0,E43*#REF!*100,F43*#REF!*100))</f>
        <v>#REF!</v>
      </c>
      <c r="H43" s="30" t="n">
        <v>71.43</v>
      </c>
      <c r="I43" s="30" t="n">
        <f aca="false">E43*(1+H43)</f>
        <v>1.064721</v>
      </c>
      <c r="K43" s="110" t="e">
        <f aca="false">_xll.rdp.data(A43,"TR.WACCBeta")</f>
        <v>#NAME?</v>
      </c>
    </row>
    <row r="44" customFormat="false" ht="12.75" hidden="false" customHeight="false" outlineLevel="0" collapsed="false">
      <c r="A44" s="49" t="s">
        <v>198</v>
      </c>
      <c r="B44" s="110" t="e">
        <f aca="false" t="array" ref="B44:B44">_xll.rdp.data(A44,"CF_BID")</f>
        <v>#NAME?</v>
      </c>
      <c r="C44" s="110" t="e">
        <f aca="false" t="array" ref="C44:C44">_xll.rdp.data(A44,"CF_ASK")</f>
        <v>#NAME?</v>
      </c>
      <c r="D44" s="339" t="e">
        <f aca="false">(B44+C44)/2</f>
        <v>#NAME?</v>
      </c>
      <c r="E44" s="340" t="n">
        <v>0</v>
      </c>
      <c r="F44" s="340" t="n">
        <v>0</v>
      </c>
      <c r="G44" s="340" t="e">
        <f aca="false">IF(#REF!=0,0,IF(#REF!&gt;0,E44*#REF!*100,F44*#REF!*100))</f>
        <v>#REF!</v>
      </c>
      <c r="H44" s="30" t="n">
        <v>115.155</v>
      </c>
      <c r="I44" s="30" t="n">
        <f aca="false">E44*(1+H44)</f>
        <v>0</v>
      </c>
      <c r="K44" s="110" t="e">
        <f aca="false">_xll.rdp.data(A44,"TR.WACCBeta")</f>
        <v>#NAME?</v>
      </c>
    </row>
    <row r="45" customFormat="false" ht="12.75" hidden="false" customHeight="false" outlineLevel="0" collapsed="false">
      <c r="A45" s="49" t="s">
        <v>199</v>
      </c>
      <c r="B45" s="110" t="e">
        <f aca="false" t="array" ref="B45:B45">_xll.rdp.data(A45,"CF_BID")</f>
        <v>#NAME?</v>
      </c>
      <c r="C45" s="110" t="e">
        <f aca="false" t="array" ref="C45:C45">_xll.rdp.data(A45,"CF_ASK")</f>
        <v>#NAME?</v>
      </c>
      <c r="D45" s="339" t="e">
        <f aca="false">(B45+C45)/2</f>
        <v>#NAME?</v>
      </c>
      <c r="E45" s="340" t="n">
        <v>0</v>
      </c>
      <c r="F45" s="340" t="n">
        <v>0</v>
      </c>
      <c r="G45" s="340" t="e">
        <f aca="false">IF(#REF!=0,0,IF(#REF!&gt;0,E45*#REF!*100,F45*#REF!*100))</f>
        <v>#REF!</v>
      </c>
      <c r="H45" s="30" t="n">
        <v>491.065</v>
      </c>
      <c r="I45" s="30" t="n">
        <f aca="false">E45*(1+H45)</f>
        <v>0</v>
      </c>
      <c r="K45" s="110" t="e">
        <f aca="false">_xll.rdp.data(A45,"TR.WACCBeta")</f>
        <v>#NAME?</v>
      </c>
    </row>
    <row r="46" customFormat="false" ht="12.75" hidden="false" customHeight="false" outlineLevel="0" collapsed="false">
      <c r="A46" s="49" t="s">
        <v>200</v>
      </c>
      <c r="B46" s="110" t="e">
        <f aca="false" t="array" ref="B46:B46">_xll.rdp.data(A46,"CF_BID")</f>
        <v>#NAME?</v>
      </c>
      <c r="C46" s="110" t="e">
        <f aca="false" t="array" ref="C46:C46">_xll.rdp.data(A46,"CF_ASK")</f>
        <v>#NAME?</v>
      </c>
      <c r="D46" s="339" t="e">
        <f aca="false">(B46+C46)/2</f>
        <v>#NAME?</v>
      </c>
      <c r="E46" s="340" t="n">
        <v>0</v>
      </c>
      <c r="F46" s="340" t="n">
        <v>0</v>
      </c>
      <c r="G46" s="340" t="e">
        <f aca="false">IF(#REF!=0,0,IF(#REF!&gt;0,E46*#REF!*100,F46*#REF!*100))</f>
        <v>#REF!</v>
      </c>
      <c r="H46" s="30" t="n">
        <v>38.29</v>
      </c>
      <c r="I46" s="30" t="n">
        <f aca="false">E46*(1+H46)</f>
        <v>0</v>
      </c>
      <c r="K46" s="110" t="e">
        <f aca="false">_xll.rdp.data(A46,"TR.WACCBeta")</f>
        <v>#NAME?</v>
      </c>
    </row>
    <row r="47" customFormat="false" ht="12.75" hidden="false" customHeight="false" outlineLevel="0" collapsed="false">
      <c r="A47" s="49" t="s">
        <v>201</v>
      </c>
      <c r="B47" s="110" t="e">
        <f aca="false" t="array" ref="B47:B47">_xll.rdp.data(A47,"CF_BID")</f>
        <v>#NAME?</v>
      </c>
      <c r="C47" s="110" t="e">
        <f aca="false" t="array" ref="C47:C47">_xll.rdp.data(A47,"CF_ASK")</f>
        <v>#NAME?</v>
      </c>
      <c r="D47" s="339" t="e">
        <f aca="false">(B47+C47)/2</f>
        <v>#NAME?</v>
      </c>
      <c r="E47" s="340" t="n">
        <v>0</v>
      </c>
      <c r="F47" s="340" t="n">
        <v>0</v>
      </c>
      <c r="G47" s="340" t="e">
        <f aca="false">IF(#REF!=0,0,IF(#REF!&gt;0,E47*#REF!*100,F47*#REF!*100))</f>
        <v>#REF!</v>
      </c>
      <c r="H47" s="30" t="n">
        <v>87.625</v>
      </c>
      <c r="I47" s="30" t="n">
        <f aca="false">E47*(1+H47)</f>
        <v>0</v>
      </c>
      <c r="K47" s="110" t="e">
        <f aca="false">_xll.rdp.data(A47,"TR.WACCBeta")</f>
        <v>#NAME?</v>
      </c>
    </row>
    <row r="48" customFormat="false" ht="12.75" hidden="false" customHeight="false" outlineLevel="0" collapsed="false">
      <c r="A48" s="49" t="s">
        <v>202</v>
      </c>
      <c r="B48" s="110" t="e">
        <f aca="false" t="array" ref="B48:B48">_xll.rdp.data(A48,"CF_BID")</f>
        <v>#NAME?</v>
      </c>
      <c r="C48" s="110" t="e">
        <f aca="false" t="array" ref="C48:C48">_xll.rdp.data(A48,"CF_ASK")</f>
        <v>#NAME?</v>
      </c>
      <c r="D48" s="339" t="e">
        <f aca="false">(B48+C48)/2</f>
        <v>#NAME?</v>
      </c>
      <c r="E48" s="340" t="n">
        <v>0</v>
      </c>
      <c r="F48" s="340" t="n">
        <v>0</v>
      </c>
      <c r="G48" s="340" t="e">
        <f aca="false">IF(#REF!=0,0,IF(#REF!&gt;0,E48*#REF!*100,F48*#REF!*100))</f>
        <v>#REF!</v>
      </c>
      <c r="H48" s="30" t="n">
        <v>64.66</v>
      </c>
      <c r="I48" s="30" t="n">
        <f aca="false">E48*(1+H48)</f>
        <v>0</v>
      </c>
      <c r="K48" s="110" t="e">
        <f aca="false">_xll.rdp.data(A48,"TR.WACCBeta")</f>
        <v>#NAME?</v>
      </c>
    </row>
    <row r="49" customFormat="false" ht="12.75" hidden="false" customHeight="false" outlineLevel="0" collapsed="false">
      <c r="A49" s="49" t="s">
        <v>203</v>
      </c>
      <c r="B49" s="110" t="e">
        <f aca="false" t="array" ref="B49:B49">_xll.rdp.data(A49,"CF_BID")</f>
        <v>#NAME?</v>
      </c>
      <c r="C49" s="110" t="e">
        <f aca="false" t="array" ref="C49:C49">_xll.rdp.data(A49,"CF_ASK")</f>
        <v>#NAME?</v>
      </c>
      <c r="D49" s="339" t="e">
        <f aca="false">(B49+C49)/2</f>
        <v>#NAME?</v>
      </c>
      <c r="E49" s="340" t="n">
        <v>0</v>
      </c>
      <c r="F49" s="340" t="n">
        <v>0</v>
      </c>
      <c r="G49" s="340" t="e">
        <f aca="false">IF(#REF!=0,0,IF(#REF!&gt;0,E49*#REF!*100,F49*#REF!*100))</f>
        <v>#REF!</v>
      </c>
      <c r="H49" s="30" t="n">
        <v>63.525</v>
      </c>
      <c r="I49" s="30" t="n">
        <f aca="false">E49*(1+H49)</f>
        <v>0</v>
      </c>
      <c r="K49" s="110" t="e">
        <f aca="false">_xll.rdp.data(A49,"TR.WACCBeta")</f>
        <v>#NAME?</v>
      </c>
    </row>
    <row r="50" customFormat="false" ht="12.75" hidden="false" customHeight="false" outlineLevel="0" collapsed="false">
      <c r="A50" s="49" t="s">
        <v>204</v>
      </c>
      <c r="B50" s="110" t="e">
        <f aca="false" t="array" ref="B50:B50">_xll.rdp.data(A50,"CF_BID")</f>
        <v>#NAME?</v>
      </c>
      <c r="C50" s="110" t="e">
        <f aca="false" t="array" ref="C50:C50">_xll.rdp.data(A50,"CF_ASK")</f>
        <v>#NAME?</v>
      </c>
      <c r="D50" s="339" t="e">
        <f aca="false">(B50+C50)/2</f>
        <v>#NAME?</v>
      </c>
      <c r="E50" s="340" t="n">
        <v>0</v>
      </c>
      <c r="F50" s="340" t="n">
        <v>0</v>
      </c>
      <c r="G50" s="340" t="e">
        <f aca="false">IF(#REF!=0,0,IF(#REF!&gt;0,E50*#REF!*100,F50*#REF!*100))</f>
        <v>#REF!</v>
      </c>
      <c r="H50" s="30" t="n">
        <v>154.84</v>
      </c>
      <c r="I50" s="30" t="n">
        <f aca="false">E50*(1+H50)</f>
        <v>0</v>
      </c>
      <c r="K50" s="110" t="e">
        <f aca="false">_xll.rdp.data(A50,"TR.WACCBeta")</f>
        <v>#NAME?</v>
      </c>
    </row>
    <row r="51" customFormat="false" ht="12.75" hidden="false" customHeight="false" outlineLevel="0" collapsed="false">
      <c r="A51" s="49" t="s">
        <v>205</v>
      </c>
      <c r="B51" s="110" t="e">
        <f aca="false" t="array" ref="B51:B51">_xll.rdp.data(A51,"CF_BID")</f>
        <v>#NAME?</v>
      </c>
      <c r="C51" s="110" t="e">
        <f aca="false" t="array" ref="C51:C51">_xll.rdp.data(A51,"CF_ASK")</f>
        <v>#NAME?</v>
      </c>
      <c r="D51" s="339" t="e">
        <f aca="false">(B51+C51)/2</f>
        <v>#NAME?</v>
      </c>
      <c r="E51" s="340" t="n">
        <v>0</v>
      </c>
      <c r="F51" s="340" t="n">
        <v>0</v>
      </c>
      <c r="G51" s="340" t="e">
        <f aca="false">IF(#REF!=0,0,IF(#REF!&gt;0,E51*#REF!*100,F51*#REF!*100))</f>
        <v>#REF!</v>
      </c>
      <c r="H51" s="30" t="n">
        <v>119.025</v>
      </c>
      <c r="I51" s="30" t="n">
        <f aca="false">E51*(1+H51)</f>
        <v>0</v>
      </c>
      <c r="K51" s="110" t="e">
        <f aca="false">_xll.rdp.data(A51,"TR.WACCBeta")</f>
        <v>#NAME?</v>
      </c>
    </row>
    <row r="52" customFormat="false" ht="12.75" hidden="false" customHeight="false" outlineLevel="0" collapsed="false">
      <c r="A52" s="49" t="s">
        <v>206</v>
      </c>
      <c r="B52" s="110" t="e">
        <f aca="false" t="array" ref="B52:B52">_xll.rdp.data(A52,"CF_BID")</f>
        <v>#NAME?</v>
      </c>
      <c r="C52" s="110" t="e">
        <f aca="false" t="array" ref="C52:C52">_xll.rdp.data(A52,"CF_ASK")</f>
        <v>#NAME?</v>
      </c>
      <c r="D52" s="339" t="e">
        <f aca="false">(B52+C52)/2</f>
        <v>#NAME?</v>
      </c>
      <c r="E52" s="340" t="n">
        <v>0</v>
      </c>
      <c r="F52" s="340" t="n">
        <v>0</v>
      </c>
      <c r="G52" s="340" t="e">
        <f aca="false">IF(#REF!=0,0,IF(#REF!&gt;0,E52*#REF!*100,F52*#REF!*100))</f>
        <v>#REF!</v>
      </c>
      <c r="H52" s="30" t="n">
        <v>120.335</v>
      </c>
      <c r="I52" s="30" t="n">
        <f aca="false">E52*(1+H52)</f>
        <v>0</v>
      </c>
      <c r="K52" s="110" t="e">
        <f aca="false">_xll.rdp.data(A52,"TR.WACCBeta")</f>
        <v>#NAME?</v>
      </c>
    </row>
    <row r="53" customFormat="false" ht="12.75" hidden="false" customHeight="false" outlineLevel="0" collapsed="false">
      <c r="A53" s="49" t="s">
        <v>207</v>
      </c>
      <c r="B53" s="110" t="e">
        <f aca="false" t="array" ref="B53:B53">_xll.rdp.data(A53,"CF_BID")</f>
        <v>#NAME?</v>
      </c>
      <c r="C53" s="110" t="e">
        <f aca="false" t="array" ref="C53:C53">_xll.rdp.data(A53,"CF_ASK")</f>
        <v>#NAME?</v>
      </c>
      <c r="D53" s="339" t="e">
        <f aca="false">(B53+C53)/2</f>
        <v>#NAME?</v>
      </c>
      <c r="E53" s="340" t="n">
        <v>0</v>
      </c>
      <c r="F53" s="340" t="n">
        <v>0</v>
      </c>
      <c r="G53" s="340" t="e">
        <f aca="false">IF(#REF!=0,0,IF(#REF!&gt;0,E53*#REF!*100,F53*#REF!*100))</f>
        <v>#REF!</v>
      </c>
      <c r="H53" s="30" t="n">
        <v>20.655</v>
      </c>
      <c r="I53" s="30" t="n">
        <f aca="false">E53*(1+H53)</f>
        <v>0</v>
      </c>
      <c r="K53" s="110" t="e">
        <f aca="false">_xll.rdp.data(A53,"TR.WACCBeta")</f>
        <v>#NAME?</v>
      </c>
    </row>
    <row r="54" customFormat="false" ht="12.75" hidden="false" customHeight="false" outlineLevel="0" collapsed="false">
      <c r="A54" s="49" t="s">
        <v>208</v>
      </c>
      <c r="B54" s="110" t="e">
        <f aca="false" t="array" ref="B54:B54">_xll.rdp.data(A54,"CF_BID")</f>
        <v>#NAME?</v>
      </c>
      <c r="C54" s="110" t="e">
        <f aca="false" t="array" ref="C54:C54">_xll.rdp.data(A54,"CF_ASK")</f>
        <v>#NAME?</v>
      </c>
      <c r="D54" s="339" t="e">
        <f aca="false">(B54+C54)/2</f>
        <v>#NAME?</v>
      </c>
      <c r="E54" s="340" t="n">
        <v>0</v>
      </c>
      <c r="F54" s="340" t="n">
        <v>0</v>
      </c>
      <c r="G54" s="340" t="e">
        <f aca="false">IF(#REF!=0,0,IF(#REF!&gt;0,E54*#REF!*100,F54*#REF!*100))</f>
        <v>#REF!</v>
      </c>
      <c r="H54" s="30" t="n">
        <v>21.975</v>
      </c>
      <c r="I54" s="30" t="n">
        <f aca="false">E54*(1+H54)</f>
        <v>0</v>
      </c>
      <c r="K54" s="110" t="e">
        <f aca="false">_xll.rdp.data(A54,"TR.WACCBeta")</f>
        <v>#NAME?</v>
      </c>
    </row>
    <row r="55" customFormat="false" ht="12.75" hidden="false" customHeight="false" outlineLevel="0" collapsed="false">
      <c r="A55" s="49" t="s">
        <v>209</v>
      </c>
      <c r="B55" s="110" t="e">
        <f aca="false" t="array" ref="B55:B55">_xll.rdp.data(A55,"CF_BID")</f>
        <v>#NAME?</v>
      </c>
      <c r="C55" s="110" t="e">
        <f aca="false" t="array" ref="C55:C55">_xll.rdp.data(A55,"CF_ASK")</f>
        <v>#NAME?</v>
      </c>
      <c r="D55" s="339" t="e">
        <f aca="false">(B55+C55)/2</f>
        <v>#NAME?</v>
      </c>
      <c r="E55" s="340" t="n">
        <v>0</v>
      </c>
      <c r="F55" s="340" t="n">
        <v>0</v>
      </c>
      <c r="G55" s="340" t="e">
        <f aca="false">IF(#REF!=0,0,IF(#REF!&gt;0,E55*#REF!*100,F55*#REF!*100))</f>
        <v>#REF!</v>
      </c>
      <c r="H55" s="30" t="n">
        <v>1793.58</v>
      </c>
      <c r="I55" s="30" t="n">
        <f aca="false">E55*(1+H55)</f>
        <v>0</v>
      </c>
      <c r="K55" s="110" t="e">
        <f aca="false">_xll.rdp.data(A55,"TR.WACCBeta")</f>
        <v>#NAME?</v>
      </c>
    </row>
    <row r="56" customFormat="false" ht="12.75" hidden="false" customHeight="false" outlineLevel="0" collapsed="false">
      <c r="A56" s="49" t="s">
        <v>210</v>
      </c>
      <c r="B56" s="110" t="e">
        <f aca="false" t="array" ref="B56:B56">_xll.rdp.data(A56,"CF_BID")</f>
        <v>#NAME?</v>
      </c>
      <c r="C56" s="110" t="e">
        <f aca="false" t="array" ref="C56:C56">_xll.rdp.data(A56,"CF_ASK")</f>
        <v>#NAME?</v>
      </c>
      <c r="D56" s="339" t="e">
        <f aca="false">(B56+C56)/2</f>
        <v>#NAME?</v>
      </c>
      <c r="E56" s="340" t="n">
        <v>0</v>
      </c>
      <c r="F56" s="340" t="n">
        <v>0</v>
      </c>
      <c r="G56" s="340" t="e">
        <f aca="false">IF(#REF!=0,0,IF(#REF!&gt;0,E56*#REF!*100,F56*#REF!*100))</f>
        <v>#REF!</v>
      </c>
      <c r="H56" s="30" t="n">
        <v>102.245</v>
      </c>
      <c r="I56" s="30" t="n">
        <f aca="false">E56*(1+H56)</f>
        <v>0</v>
      </c>
      <c r="K56" s="110" t="e">
        <f aca="false">_xll.rdp.data(A56,"TR.WACCBeta")</f>
        <v>#NAME?</v>
      </c>
    </row>
    <row r="57" customFormat="false" ht="12.75" hidden="false" customHeight="false" outlineLevel="0" collapsed="false">
      <c r="A57" s="49" t="s">
        <v>211</v>
      </c>
      <c r="B57" s="110" t="e">
        <f aca="false" t="array" ref="B57:B57">_xll.rdp.data(A57,"CF_BID")</f>
        <v>#NAME?</v>
      </c>
      <c r="C57" s="110" t="e">
        <f aca="false" t="array" ref="C57:C57">_xll.rdp.data(A57,"CF_ASK")</f>
        <v>#NAME?</v>
      </c>
      <c r="D57" s="339" t="e">
        <f aca="false">(B57+C57)/2</f>
        <v>#NAME?</v>
      </c>
      <c r="E57" s="340" t="n">
        <v>0</v>
      </c>
      <c r="F57" s="340" t="n">
        <v>0</v>
      </c>
      <c r="G57" s="340" t="e">
        <f aca="false">IF(#REF!=0,0,IF(#REF!&gt;0,E57*#REF!*100,F57*#REF!*100))</f>
        <v>#REF!</v>
      </c>
      <c r="H57" s="30" t="n">
        <v>19.575</v>
      </c>
      <c r="I57" s="30" t="n">
        <f aca="false">E57*(1+H57)</f>
        <v>0</v>
      </c>
      <c r="K57" s="110" t="e">
        <f aca="false">_xll.rdp.data(A57,"TR.WACCBeta")</f>
        <v>#NAME?</v>
      </c>
    </row>
    <row r="58" customFormat="false" ht="12.75" hidden="false" customHeight="false" outlineLevel="0" collapsed="false">
      <c r="A58" s="49" t="s">
        <v>212</v>
      </c>
      <c r="B58" s="110" t="e">
        <f aca="false" t="array" ref="B58:B58">_xll.rdp.data(A58,"CF_BID")</f>
        <v>#NAME?</v>
      </c>
      <c r="C58" s="110" t="e">
        <f aca="false" t="array" ref="C58:C58">_xll.rdp.data(A58,"CF_ASK")</f>
        <v>#NAME?</v>
      </c>
      <c r="D58" s="339" t="e">
        <f aca="false">(B58+C58)/2</f>
        <v>#NAME?</v>
      </c>
      <c r="E58" s="340" t="n">
        <v>0.008</v>
      </c>
      <c r="F58" s="340" t="n">
        <v>0.008</v>
      </c>
      <c r="G58" s="340" t="e">
        <f aca="false">IF(#REF!=0,0,IF(#REF!&gt;0,E58*#REF!*100,F58*#REF!*100))</f>
        <v>#REF!</v>
      </c>
      <c r="H58" s="30" t="n">
        <v>79.345</v>
      </c>
      <c r="I58" s="30" t="n">
        <f aca="false">E58*(1+H58)</f>
        <v>0.64276</v>
      </c>
      <c r="K58" s="110" t="e">
        <f aca="false">_xll.rdp.data(A58,"TR.WACCBeta")</f>
        <v>#NAME?</v>
      </c>
    </row>
    <row r="59" customFormat="false" ht="12.75" hidden="false" customHeight="false" outlineLevel="0" collapsed="false">
      <c r="A59" s="49" t="s">
        <v>213</v>
      </c>
      <c r="B59" s="110" t="e">
        <f aca="false" t="array" ref="B59:B59">_xll.rdp.data(A59,"CF_BID")</f>
        <v>#NAME?</v>
      </c>
      <c r="C59" s="110" t="e">
        <f aca="false" t="array" ref="C59:C59">_xll.rdp.data(A59,"CF_ASK")</f>
        <v>#NAME?</v>
      </c>
      <c r="D59" s="339" t="e">
        <f aca="false">(B59+C59)/2</f>
        <v>#NAME?</v>
      </c>
      <c r="E59" s="340" t="n">
        <v>0.0118</v>
      </c>
      <c r="F59" s="340" t="n">
        <v>0.0118</v>
      </c>
      <c r="G59" s="340" t="e">
        <f aca="false">IF(#REF!=0,0,IF(#REF!&gt;0,E59*#REF!*100,F59*#REF!*100))</f>
        <v>#REF!</v>
      </c>
      <c r="H59" s="30" t="n">
        <v>4.945</v>
      </c>
      <c r="I59" s="30" t="n">
        <f aca="false">E59*(1+H59)</f>
        <v>0.070151</v>
      </c>
      <c r="K59" s="110" t="e">
        <f aca="false">_xll.rdp.data(A59,"TR.WACCBeta")</f>
        <v>#NAME?</v>
      </c>
    </row>
    <row r="60" customFormat="false" ht="12.75" hidden="false" customHeight="false" outlineLevel="0" collapsed="false">
      <c r="A60" s="49" t="s">
        <v>214</v>
      </c>
      <c r="B60" s="110" t="e">
        <f aca="false" t="array" ref="B60:B60">_xll.rdp.data(A60,"CF_BID")</f>
        <v>#NAME?</v>
      </c>
      <c r="C60" s="110" t="e">
        <f aca="false" t="array" ref="C60:C60">_xll.rdp.data(A60,"CF_ASK")</f>
        <v>#NAME?</v>
      </c>
      <c r="D60" s="339" t="e">
        <f aca="false">(B60+C60)/2</f>
        <v>#NAME?</v>
      </c>
      <c r="E60" s="340" t="n">
        <v>0.018</v>
      </c>
      <c r="F60" s="340" t="n">
        <v>0.018</v>
      </c>
      <c r="G60" s="340" t="e">
        <f aca="false">IF(#REF!=0,0,IF(#REF!&gt;0,E60*#REF!*100,F60*#REF!*100))</f>
        <v>#REF!</v>
      </c>
      <c r="H60" s="30" t="n">
        <v>39.92</v>
      </c>
      <c r="I60" s="30" t="n">
        <f aca="false">E60*(1+H60)</f>
        <v>0.73656</v>
      </c>
      <c r="K60" s="110" t="e">
        <f aca="false">_xll.rdp.data(A60,"TR.WACCBeta")</f>
        <v>#NAME?</v>
      </c>
    </row>
    <row r="61" customFormat="false" ht="12.75" hidden="false" customHeight="false" outlineLevel="0" collapsed="false">
      <c r="A61" s="49" t="s">
        <v>215</v>
      </c>
      <c r="B61" s="110" t="e">
        <f aca="false" t="array" ref="B61:B61">_xll.rdp.data(A61,"CF_BID")</f>
        <v>#NAME?</v>
      </c>
      <c r="C61" s="110" t="e">
        <f aca="false" t="array" ref="C61:C61">_xll.rdp.data(A61,"CF_ASK")</f>
        <v>#NAME?</v>
      </c>
      <c r="D61" s="339" t="e">
        <f aca="false">(B61+C61)/2</f>
        <v>#NAME?</v>
      </c>
      <c r="E61" s="340" t="n">
        <v>0.0081</v>
      </c>
      <c r="F61" s="340" t="n">
        <v>0.0081</v>
      </c>
      <c r="G61" s="340" t="e">
        <f aca="false">IF(#REF!=0,0,IF(#REF!&gt;0,E61*#REF!*100,F61*#REF!*100))</f>
        <v>#REF!</v>
      </c>
      <c r="H61" s="30" t="n">
        <v>231.71</v>
      </c>
      <c r="I61" s="30" t="n">
        <f aca="false">E61*(1+H61)</f>
        <v>1.884951</v>
      </c>
      <c r="K61" s="110" t="e">
        <f aca="false">_xll.rdp.data(A61,"TR.WACCBeta")</f>
        <v>#NAME?</v>
      </c>
    </row>
    <row r="62" customFormat="false" ht="12.75" hidden="false" customHeight="false" outlineLevel="0" collapsed="false">
      <c r="A62" s="49" t="s">
        <v>216</v>
      </c>
      <c r="B62" s="110" t="e">
        <f aca="false" t="array" ref="B62:B62">_xll.rdp.data(A62,"CF_BID")</f>
        <v>#NAME?</v>
      </c>
      <c r="C62" s="110" t="e">
        <f aca="false" t="array" ref="C62:C62">_xll.rdp.data(A62,"CF_ASK")</f>
        <v>#NAME?</v>
      </c>
      <c r="D62" s="339" t="e">
        <f aca="false">(B62+C62)/2</f>
        <v>#NAME?</v>
      </c>
      <c r="E62" s="340" t="n">
        <v>0.0072</v>
      </c>
      <c r="F62" s="340" t="n">
        <v>0.0072</v>
      </c>
      <c r="G62" s="340" t="e">
        <f aca="false">IF(#REF!=0,0,IF(#REF!&gt;0,E62*#REF!*100,F62*#REF!*100))</f>
        <v>#REF!</v>
      </c>
      <c r="H62" s="30" t="n">
        <v>25.13</v>
      </c>
      <c r="I62" s="30" t="n">
        <f aca="false">E62*(1+H62)</f>
        <v>0.188136</v>
      </c>
      <c r="K62" s="110" t="e">
        <f aca="false">_xll.rdp.data(A62,"TR.WACCBeta")</f>
        <v>#NAME?</v>
      </c>
    </row>
    <row r="63" customFormat="false" ht="12.75" hidden="false" customHeight="false" outlineLevel="0" collapsed="false">
      <c r="A63" s="49" t="s">
        <v>217</v>
      </c>
      <c r="B63" s="110" t="e">
        <f aca="false" t="array" ref="B63:B63">_xll.rdp.data(A63,"CF_BID")</f>
        <v>#NAME?</v>
      </c>
      <c r="C63" s="110" t="e">
        <f aca="false" t="array" ref="C63:C63">_xll.rdp.data(A63,"CF_ASK")</f>
        <v>#NAME?</v>
      </c>
      <c r="D63" s="339" t="e">
        <f aca="false">(B63+C63)/2</f>
        <v>#NAME?</v>
      </c>
      <c r="E63" s="340" t="n">
        <v>0.0179</v>
      </c>
      <c r="F63" s="340" t="n">
        <v>0.0179</v>
      </c>
      <c r="G63" s="340" t="e">
        <f aca="false">IF(#REF!=0,0,IF(#REF!&gt;0,E63*#REF!*100,F63*#REF!*100))</f>
        <v>#REF!</v>
      </c>
      <c r="H63" s="30" t="n">
        <v>13.935</v>
      </c>
      <c r="I63" s="30" t="n">
        <f aca="false">E63*(1+H63)</f>
        <v>0.2673365</v>
      </c>
      <c r="K63" s="110" t="e">
        <f aca="false">_xll.rdp.data(A63,"TR.WACCBeta")</f>
        <v>#NAME?</v>
      </c>
    </row>
    <row r="64" customFormat="false" ht="12.75" hidden="false" customHeight="false" outlineLevel="0" collapsed="false">
      <c r="A64" s="49" t="s">
        <v>218</v>
      </c>
      <c r="B64" s="110" t="e">
        <f aca="false" t="array" ref="B64:B64">_xll.rdp.data(A64,"CF_BID")</f>
        <v>#NAME?</v>
      </c>
      <c r="C64" s="110" t="e">
        <f aca="false" t="array" ref="C64:C64">_xll.rdp.data(A64,"CF_ASK")</f>
        <v>#NAME?</v>
      </c>
      <c r="D64" s="339" t="e">
        <f aca="false">(B64+C64)/2</f>
        <v>#NAME?</v>
      </c>
      <c r="E64" s="340" t="n">
        <v>0</v>
      </c>
      <c r="F64" s="340" t="n">
        <v>0</v>
      </c>
      <c r="G64" s="340" t="e">
        <f aca="false">IF(#REF!=0,0,IF(#REF!&gt;0,E64*#REF!*100,F64*#REF!*100))</f>
        <v>#REF!</v>
      </c>
      <c r="H64" s="30" t="n">
        <v>60.195</v>
      </c>
      <c r="I64" s="30" t="n">
        <f aca="false">E64*(1+H64)</f>
        <v>0</v>
      </c>
      <c r="K64" s="110" t="e">
        <f aca="false">_xll.rdp.data(A64,"TR.WACCBeta")</f>
        <v>#NAME?</v>
      </c>
    </row>
    <row r="65" customFormat="false" ht="12.75" hidden="false" customHeight="false" outlineLevel="0" collapsed="false">
      <c r="A65" s="49" t="s">
        <v>219</v>
      </c>
      <c r="B65" s="110" t="e">
        <f aca="false" t="array" ref="B65:B65">_xll.rdp.data(A65,"CF_BID")</f>
        <v>#NAME?</v>
      </c>
      <c r="C65" s="110" t="e">
        <f aca="false" t="array" ref="C65:C65">_xll.rdp.data(A65,"CF_ASK")</f>
        <v>#NAME?</v>
      </c>
      <c r="D65" s="339" t="e">
        <f aca="false">(B65+C65)/2</f>
        <v>#NAME?</v>
      </c>
      <c r="E65" s="340" t="n">
        <v>0</v>
      </c>
      <c r="F65" s="340" t="n">
        <v>0</v>
      </c>
      <c r="G65" s="340" t="e">
        <f aca="false">IF(#REF!=0,0,IF(#REF!&gt;0,E65*#REF!*100,F65*#REF!*100))</f>
        <v>#REF!</v>
      </c>
      <c r="H65" s="30" t="n">
        <v>79.765</v>
      </c>
      <c r="I65" s="30" t="n">
        <f aca="false">E65*(1+H65)</f>
        <v>0</v>
      </c>
      <c r="K65" s="110" t="e">
        <f aca="false">_xll.rdp.data(A65,"TR.WACCBeta")</f>
        <v>#NAME?</v>
      </c>
    </row>
    <row r="66" customFormat="false" ht="12.75" hidden="false" customHeight="false" outlineLevel="0" collapsed="false">
      <c r="A66" s="49" t="s">
        <v>220</v>
      </c>
      <c r="B66" s="110" t="e">
        <f aca="false" t="array" ref="B66:B66">_xll.rdp.data(A66,"CF_BID")</f>
        <v>#NAME?</v>
      </c>
      <c r="C66" s="110" t="e">
        <f aca="false" t="array" ref="C66:C66">_xll.rdp.data(A66,"CF_ASK")</f>
        <v>#NAME?</v>
      </c>
      <c r="D66" s="339" t="e">
        <f aca="false">(B66+C66)/2</f>
        <v>#NAME?</v>
      </c>
      <c r="E66" s="340" t="n">
        <v>0</v>
      </c>
      <c r="F66" s="340" t="n">
        <v>0</v>
      </c>
      <c r="G66" s="340" t="e">
        <f aca="false">IF(#REF!=0,0,IF(#REF!&gt;0,E66*#REF!*100,F66*#REF!*100))</f>
        <v>#REF!</v>
      </c>
      <c r="H66" s="30" t="n">
        <v>70.765</v>
      </c>
      <c r="I66" s="30" t="n">
        <f aca="false">E66*(1+H66)</f>
        <v>0</v>
      </c>
      <c r="K66" s="110" t="e">
        <f aca="false">_xll.rdp.data(A66,"TR.WACCBeta")</f>
        <v>#NAME?</v>
      </c>
    </row>
    <row r="67" customFormat="false" ht="12.75" hidden="false" customHeight="false" outlineLevel="0" collapsed="false">
      <c r="A67" s="49" t="s">
        <v>221</v>
      </c>
      <c r="B67" s="110" t="e">
        <f aca="false" t="array" ref="B67:B67">_xll.rdp.data(A67,"CF_BID")</f>
        <v>#NAME?</v>
      </c>
      <c r="C67" s="110" t="e">
        <f aca="false" t="array" ref="C67:C67">_xll.rdp.data(A67,"CF_ASK")</f>
        <v>#NAME?</v>
      </c>
      <c r="D67" s="339" t="e">
        <f aca="false">(B67+C67)/2</f>
        <v>#NAME?</v>
      </c>
      <c r="E67" s="340" t="n">
        <v>0</v>
      </c>
      <c r="F67" s="340" t="n">
        <v>0</v>
      </c>
      <c r="G67" s="340" t="e">
        <f aca="false">IF(#REF!=0,0,IF(#REF!&gt;0,E67*#REF!*100,F67*#REF!*100))</f>
        <v>#REF!</v>
      </c>
      <c r="H67" s="30" t="n">
        <v>338.59</v>
      </c>
      <c r="I67" s="30" t="n">
        <f aca="false">E67*(1+H67)</f>
        <v>0</v>
      </c>
      <c r="K67" s="110" t="e">
        <f aca="false">_xll.rdp.data(A67,"TR.WACCBeta")</f>
        <v>#NAME?</v>
      </c>
    </row>
    <row r="68" customFormat="false" ht="12.75" hidden="false" customHeight="false" outlineLevel="0" collapsed="false">
      <c r="A68" s="49" t="s">
        <v>222</v>
      </c>
      <c r="B68" s="110" t="e">
        <f aca="false" t="array" ref="B68:B68">_xll.rdp.data(A68,"CF_BID")</f>
        <v>#NAME?</v>
      </c>
      <c r="C68" s="110" t="e">
        <f aca="false" t="array" ref="C68:C68">_xll.rdp.data(A68,"CF_ASK")</f>
        <v>#NAME?</v>
      </c>
      <c r="D68" s="339" t="e">
        <f aca="false">(B68+C68)/2</f>
        <v>#NAME?</v>
      </c>
      <c r="E68" s="340" t="n">
        <v>0</v>
      </c>
      <c r="F68" s="340" t="n">
        <v>0</v>
      </c>
      <c r="G68" s="340" t="e">
        <f aca="false">IF(#REF!=0,0,IF(#REF!&gt;0,E68*#REF!*100,F68*#REF!*100))</f>
        <v>#REF!</v>
      </c>
      <c r="H68" s="30" t="n">
        <v>117.33</v>
      </c>
      <c r="I68" s="30" t="n">
        <f aca="false">E68*(1+H68)</f>
        <v>0</v>
      </c>
      <c r="K68" s="110" t="e">
        <f aca="false">_xll.rdp.data(A68,"TR.WACCBeta")</f>
        <v>#NAME?</v>
      </c>
    </row>
    <row r="69" customFormat="false" ht="12.75" hidden="false" customHeight="false" outlineLevel="0" collapsed="false">
      <c r="A69" s="49" t="s">
        <v>223</v>
      </c>
      <c r="B69" s="110" t="e">
        <f aca="false" t="array" ref="B69:B69">_xll.rdp.data(A69,"CF_BID")</f>
        <v>#NAME?</v>
      </c>
      <c r="C69" s="110" t="e">
        <f aca="false" t="array" ref="C69:C69">_xll.rdp.data(A69,"CF_ASK")</f>
        <v>#NAME?</v>
      </c>
      <c r="D69" s="339" t="e">
        <f aca="false">(B69+C69)/2</f>
        <v>#NAME?</v>
      </c>
      <c r="E69" s="340" t="n">
        <v>0</v>
      </c>
      <c r="F69" s="340" t="n">
        <v>0</v>
      </c>
      <c r="G69" s="340" t="e">
        <f aca="false">IF(#REF!=0,0,IF(#REF!&gt;0,E69*#REF!*100,F69*#REF!*100))</f>
        <v>#REF!</v>
      </c>
      <c r="H69" s="30" t="n">
        <v>9.325</v>
      </c>
      <c r="I69" s="30" t="n">
        <f aca="false">E69*(1+H69)</f>
        <v>0</v>
      </c>
      <c r="K69" s="110" t="e">
        <f aca="false">_xll.rdp.data(A69,"TR.WACCBeta")</f>
        <v>#NAME?</v>
      </c>
    </row>
    <row r="70" customFormat="false" ht="12.75" hidden="false" customHeight="false" outlineLevel="0" collapsed="false">
      <c r="A70" s="49" t="s">
        <v>224</v>
      </c>
      <c r="B70" s="110" t="e">
        <f aca="false" t="array" ref="B70:B70">_xll.rdp.data(A70,"CF_BID")</f>
        <v>#NAME?</v>
      </c>
      <c r="C70" s="110" t="e">
        <f aca="false" t="array" ref="C70:C70">_xll.rdp.data(A70,"CF_ASK")</f>
        <v>#NAME?</v>
      </c>
      <c r="D70" s="339" t="e">
        <f aca="false">(B70+C70)/2</f>
        <v>#NAME?</v>
      </c>
      <c r="E70" s="340" t="n">
        <v>0.0069</v>
      </c>
      <c r="F70" s="340" t="n">
        <v>0.0069</v>
      </c>
      <c r="G70" s="340" t="e">
        <f aca="false">IF(#REF!=0,0,IF(#REF!&gt;0,E70*#REF!*100,F70*#REF!*100))</f>
        <v>#REF!</v>
      </c>
      <c r="H70" s="30" t="n">
        <v>325.995</v>
      </c>
      <c r="I70" s="30" t="n">
        <f aca="false">E70*(1+H70)</f>
        <v>2.2562655</v>
      </c>
      <c r="K70" s="110" t="e">
        <f aca="false">_xll.rdp.data(A70,"TR.WACCBeta")</f>
        <v>#NAME?</v>
      </c>
    </row>
    <row r="71" customFormat="false" ht="12.75" hidden="false" customHeight="false" outlineLevel="0" collapsed="false">
      <c r="A71" s="49" t="s">
        <v>225</v>
      </c>
      <c r="B71" s="110" t="e">
        <f aca="false" t="array" ref="B71:B71">_xll.rdp.data(A71,"CF_BID")</f>
        <v>#NAME?</v>
      </c>
      <c r="C71" s="110" t="e">
        <f aca="false" t="array" ref="C71:C71">_xll.rdp.data(A71,"CF_ASK")</f>
        <v>#NAME?</v>
      </c>
      <c r="D71" s="339" t="e">
        <f aca="false">(B71+C71)/2</f>
        <v>#NAME?</v>
      </c>
      <c r="E71" s="340" t="n">
        <v>0</v>
      </c>
      <c r="F71" s="340" t="n">
        <v>0</v>
      </c>
      <c r="G71" s="340" t="e">
        <f aca="false">IF(#REF!=0,0,IF(#REF!&gt;0,E71*#REF!*100,F71*#REF!*100))</f>
        <v>#REF!</v>
      </c>
      <c r="H71" s="30" t="n">
        <v>52.335</v>
      </c>
      <c r="I71" s="30" t="n">
        <f aca="false">E71*(1+H71)</f>
        <v>0</v>
      </c>
      <c r="K71" s="110" t="e">
        <f aca="false">_xll.rdp.data(A71,"TR.WACCBeta")</f>
        <v>#NAME?</v>
      </c>
    </row>
    <row r="72" customFormat="false" ht="12.75" hidden="false" customHeight="false" outlineLevel="0" collapsed="false">
      <c r="A72" s="49" t="s">
        <v>226</v>
      </c>
      <c r="B72" s="110" t="e">
        <f aca="false" t="array" ref="B72:B72">_xll.rdp.data(A72,"CF_BID")</f>
        <v>#NAME?</v>
      </c>
      <c r="C72" s="110" t="e">
        <f aca="false" t="array" ref="C72:C72">_xll.rdp.data(A72,"CF_ASK")</f>
        <v>#NAME?</v>
      </c>
      <c r="D72" s="339" t="e">
        <f aca="false">+C72</f>
        <v>#NAME?</v>
      </c>
      <c r="E72" s="340" t="n">
        <v>0</v>
      </c>
      <c r="F72" s="340" t="n">
        <v>0</v>
      </c>
      <c r="G72" s="340" t="e">
        <f aca="false">IF(#REF!=0,0,IF(#REF!&gt;0,E72*#REF!*100,F72*#REF!*100))</f>
        <v>#REF!</v>
      </c>
      <c r="H72" s="30" t="n">
        <v>63.12</v>
      </c>
      <c r="I72" s="30" t="n">
        <f aca="false">E72*(1+H72)</f>
        <v>0</v>
      </c>
      <c r="K72" s="110" t="e">
        <f aca="false">_xll.rdp.data(A72,"TR.WACCBeta")</f>
        <v>#NAME?</v>
      </c>
    </row>
    <row r="73" customFormat="false" ht="12.75" hidden="false" customHeight="false" outlineLevel="0" collapsed="false">
      <c r="A73" s="49" t="s">
        <v>227</v>
      </c>
      <c r="B73" s="110" t="e">
        <f aca="false" t="array" ref="B73:B73">_xll.rdp.data(A73,"CF_BID")</f>
        <v>#NAME?</v>
      </c>
      <c r="C73" s="110" t="e">
        <f aca="false" t="array" ref="C73:C73">_xll.rdp.data(A73,"CF_ASK")</f>
        <v>#NAME?</v>
      </c>
      <c r="D73" s="339" t="e">
        <f aca="false">(B73+C73)/2</f>
        <v>#NAME?</v>
      </c>
      <c r="E73" s="340" t="n">
        <v>0</v>
      </c>
      <c r="F73" s="340" t="n">
        <v>0</v>
      </c>
      <c r="G73" s="340" t="e">
        <f aca="false">IF(#REF!=0,0,IF(#REF!&gt;0,E73*#REF!*100,F73*#REF!*100))</f>
        <v>#REF!</v>
      </c>
      <c r="H73" s="30" t="n">
        <v>52.75</v>
      </c>
      <c r="I73" s="30" t="n">
        <f aca="false">E73*(1+H73)</f>
        <v>0</v>
      </c>
      <c r="K73" s="110" t="e">
        <f aca="false">_xll.rdp.data(A73,"TR.WACCBeta")</f>
        <v>#NAME?</v>
      </c>
    </row>
    <row r="74" customFormat="false" ht="12.75" hidden="false" customHeight="false" outlineLevel="0" collapsed="false">
      <c r="A74" s="49" t="s">
        <v>228</v>
      </c>
      <c r="B74" s="110" t="e">
        <f aca="false" t="array" ref="B74:B74">_xll.rdp.data(A74,"CF_BID")</f>
        <v>#NAME?</v>
      </c>
      <c r="C74" s="110" t="e">
        <f aca="false" t="array" ref="C74:C74">_xll.rdp.data(A74,"CF_ASK")</f>
        <v>#NAME?</v>
      </c>
      <c r="D74" s="339" t="e">
        <f aca="false">(B74+C74)/2</f>
        <v>#NAME?</v>
      </c>
      <c r="E74" s="340" t="n">
        <v>0</v>
      </c>
      <c r="F74" s="340" t="n">
        <v>0</v>
      </c>
      <c r="G74" s="340" t="e">
        <f aca="false">IF(#REF!=0,0,IF(#REF!&gt;0,E74*#REF!*100,F74*#REF!*100))</f>
        <v>#REF!</v>
      </c>
      <c r="H74" s="30" t="n">
        <v>46.195</v>
      </c>
      <c r="I74" s="30" t="n">
        <f aca="false">E74*(1+H74)</f>
        <v>0</v>
      </c>
      <c r="K74" s="110" t="e">
        <f aca="false">_xll.rdp.data(A74,"TR.WACCBeta")</f>
        <v>#NAME?</v>
      </c>
    </row>
    <row r="75" customFormat="false" ht="12.75" hidden="false" customHeight="false" outlineLevel="0" collapsed="false">
      <c r="A75" s="49" t="s">
        <v>229</v>
      </c>
      <c r="B75" s="110" t="e">
        <f aca="false" t="array" ref="B75:B75">_xll.rdp.data(A75,"CF_BID")</f>
        <v>#NAME?</v>
      </c>
      <c r="C75" s="110" t="e">
        <f aca="false" t="array" ref="C75:C75">_xll.rdp.data(A75,"CF_ASK")</f>
        <v>#NAME?</v>
      </c>
      <c r="D75" s="339" t="e">
        <f aca="false">(B75+C75)/2</f>
        <v>#NAME?</v>
      </c>
      <c r="E75" s="340" t="n">
        <v>0</v>
      </c>
      <c r="F75" s="340" t="n">
        <v>0</v>
      </c>
      <c r="G75" s="340" t="e">
        <f aca="false">IF(#REF!=0,0,IF(#REF!&gt;0,E75*#REF!*100,F75*#REF!*100))</f>
        <v>#REF!</v>
      </c>
      <c r="H75" s="30" t="n">
        <v>351.485</v>
      </c>
      <c r="I75" s="30" t="n">
        <f aca="false">E75*(1+H75)</f>
        <v>0</v>
      </c>
      <c r="K75" s="110" t="e">
        <f aca="false">_xll.rdp.data(A75,"TR.WACCBeta")</f>
        <v>#NAME?</v>
      </c>
    </row>
    <row r="76" customFormat="false" ht="12.75" hidden="false" customHeight="false" outlineLevel="0" collapsed="false">
      <c r="A76" s="49" t="s">
        <v>230</v>
      </c>
      <c r="B76" s="110" t="e">
        <f aca="false" t="array" ref="B76:B76">_xll.rdp.data(A76,"CF_BID")</f>
        <v>#NAME?</v>
      </c>
      <c r="C76" s="110" t="e">
        <f aca="false" t="array" ref="C76:C76">_xll.rdp.data(A76,"CF_ASK")</f>
        <v>#NAME?</v>
      </c>
      <c r="D76" s="339" t="e">
        <f aca="false">(B76+C76)/2</f>
        <v>#NAME?</v>
      </c>
      <c r="E76" s="340" t="n">
        <v>0</v>
      </c>
      <c r="F76" s="340" t="n">
        <v>0</v>
      </c>
      <c r="G76" s="340" t="e">
        <f aca="false">IF(#REF!=0,0,IF(#REF!&gt;0,E76*#REF!*100,F76*#REF!*100))</f>
        <v>#REF!</v>
      </c>
      <c r="H76" s="30" t="n">
        <v>66.955</v>
      </c>
      <c r="I76" s="30" t="n">
        <f aca="false">E76*(1+H76)</f>
        <v>0</v>
      </c>
      <c r="K76" s="110" t="e">
        <f aca="false">_xll.rdp.data(A76,"TR.WACCBeta")</f>
        <v>#NAME?</v>
      </c>
    </row>
    <row r="77" customFormat="false" ht="12.75" hidden="false" customHeight="false" outlineLevel="0" collapsed="false">
      <c r="A77" s="49" t="s">
        <v>231</v>
      </c>
      <c r="B77" s="110" t="e">
        <f aca="false" t="array" ref="B77:B77">_xll.rdp.data(A77,"CF_BID")</f>
        <v>#NAME?</v>
      </c>
      <c r="C77" s="110" t="e">
        <f aca="false" t="array" ref="C77:C77">_xll.rdp.data(A77,"CF_ASK")</f>
        <v>#NAME?</v>
      </c>
      <c r="D77" s="339" t="e">
        <f aca="false">(B77+C77)/2</f>
        <v>#NAME?</v>
      </c>
      <c r="E77" s="340" t="n">
        <v>0</v>
      </c>
      <c r="F77" s="340" t="n">
        <v>0</v>
      </c>
      <c r="G77" s="340" t="e">
        <f aca="false">IF(#REF!=0,0,IF(#REF!&gt;0,E77*#REF!*100,F77*#REF!*100))</f>
        <v>#REF!</v>
      </c>
      <c r="H77" s="30" t="n">
        <v>83.12</v>
      </c>
      <c r="I77" s="30" t="n">
        <f aca="false">E77*(1+H77)</f>
        <v>0</v>
      </c>
      <c r="K77" s="110" t="e">
        <f aca="false">_xll.rdp.data(A77,"TR.WACCBeta")</f>
        <v>#NAME?</v>
      </c>
    </row>
    <row r="78" customFormat="false" ht="12.75" hidden="false" customHeight="false" outlineLevel="0" collapsed="false">
      <c r="A78" s="49" t="s">
        <v>232</v>
      </c>
      <c r="B78" s="110" t="e">
        <f aca="false" t="array" ref="B78:B78">_xll.rdp.data(A78,"CF_BID")</f>
        <v>#NAME?</v>
      </c>
      <c r="C78" s="110" t="e">
        <f aca="false" t="array" ref="C78:C78">_xll.rdp.data(A78,"CF_ASK")</f>
        <v>#NAME?</v>
      </c>
      <c r="D78" s="339" t="e">
        <f aca="false">(B78+C78)/2</f>
        <v>#NAME?</v>
      </c>
      <c r="E78" s="340" t="n">
        <v>0</v>
      </c>
      <c r="F78" s="340" t="n">
        <v>0</v>
      </c>
      <c r="G78" s="340" t="e">
        <f aca="false">IF(#REF!=0,0,IF(#REF!&gt;0,E78*#REF!*100,F78*#REF!*100))</f>
        <v>#REF!</v>
      </c>
      <c r="H78" s="30" t="n">
        <v>5.045</v>
      </c>
      <c r="I78" s="30" t="n">
        <f aca="false">E78*(1+H78)</f>
        <v>0</v>
      </c>
      <c r="K78" s="110" t="e">
        <f aca="false">_xll.rdp.data(A78,"TR.WACCBeta")</f>
        <v>#NAME?</v>
      </c>
    </row>
    <row r="79" customFormat="false" ht="12.75" hidden="false" customHeight="false" outlineLevel="0" collapsed="false">
      <c r="A79" s="49" t="s">
        <v>233</v>
      </c>
      <c r="B79" s="110" t="e">
        <f aca="false" t="array" ref="B79:B79">_xll.rdp.data(A79,"CF_BID")</f>
        <v>#NAME?</v>
      </c>
      <c r="C79" s="110" t="e">
        <f aca="false" t="array" ref="C79:C79">_xll.rdp.data(A79,"CF_ASK")</f>
        <v>#NAME?</v>
      </c>
      <c r="D79" s="339" t="e">
        <f aca="false">(B79+C79)/2</f>
        <v>#NAME?</v>
      </c>
      <c r="E79" s="340" t="n">
        <v>0</v>
      </c>
      <c r="F79" s="340" t="n">
        <v>0</v>
      </c>
      <c r="G79" s="340" t="e">
        <f aca="false">IF(#REF!=0,0,IF(#REF!&gt;0,E79*#REF!*100,F79*#REF!*100))</f>
        <v>#REF!</v>
      </c>
      <c r="H79" s="30" t="n">
        <v>187.055</v>
      </c>
      <c r="I79" s="30" t="n">
        <f aca="false">E79*(1+H79)</f>
        <v>0</v>
      </c>
      <c r="K79" s="110" t="e">
        <f aca="false">_xll.rdp.data(A79,"TR.WACCBeta")</f>
        <v>#NAME?</v>
      </c>
    </row>
    <row r="80" customFormat="false" ht="12.75" hidden="false" customHeight="false" outlineLevel="0" collapsed="false">
      <c r="A80" s="0" t="s">
        <v>234</v>
      </c>
      <c r="B80" s="0" t="e">
        <f aca="false" t="array" ref="B80:B80">_xll.rdp.data(A80,"CF_BID")</f>
        <v>#NAME?</v>
      </c>
      <c r="C80" s="0" t="e">
        <f aca="false" t="array" ref="C80:C80">_xll.rdp.data(A80,"CF_ASK")</f>
        <v>#NAME?</v>
      </c>
      <c r="D80" s="339" t="e">
        <f aca="false">(B80+C80)/2</f>
        <v>#NAME?</v>
      </c>
      <c r="E80" s="340" t="n">
        <v>0</v>
      </c>
      <c r="F80" s="340" t="n">
        <v>0</v>
      </c>
      <c r="G80" s="340" t="e">
        <f aca="false">IF(#REF!=0,0,IF(#REF!&gt;0,E80*#REF!*100,F80*#REF!*100))</f>
        <v>#REF!</v>
      </c>
      <c r="H80" s="30" t="n">
        <v>74.1715</v>
      </c>
      <c r="I80" s="30" t="n">
        <f aca="false">E80*(1+H80)</f>
        <v>0</v>
      </c>
      <c r="K80" s="110" t="e">
        <f aca="false">_xll.rdp.data(A80,"TR.WACCBeta")</f>
        <v>#NAME?</v>
      </c>
    </row>
    <row r="81" customFormat="false" ht="12.75" hidden="false" customHeight="false" outlineLevel="0" collapsed="false">
      <c r="A81" s="49" t="s">
        <v>235</v>
      </c>
      <c r="B81" s="110" t="e">
        <f aca="false" t="array" ref="B81:B81">_xll.rdp.data(A81,"CF_BID")</f>
        <v>#NAME?</v>
      </c>
      <c r="C81" s="110" t="e">
        <f aca="false" t="array" ref="C81:C81">_xll.rdp.data(A81,"CF_ASK")</f>
        <v>#NAME?</v>
      </c>
      <c r="D81" s="339" t="e">
        <f aca="false">(B81+C81)/2</f>
        <v>#NAME?</v>
      </c>
      <c r="E81" s="340" t="n">
        <v>0</v>
      </c>
      <c r="F81" s="340" t="n">
        <v>0</v>
      </c>
      <c r="G81" s="340" t="e">
        <f aca="false">IF(#REF!=0,0,IF(#REF!&gt;0,E81*#REF!*100,F81*#REF!*100))</f>
        <v>#REF!</v>
      </c>
      <c r="H81" s="30" t="n">
        <v>28.515</v>
      </c>
      <c r="I81" s="30" t="n">
        <f aca="false">E81*(1+H81)</f>
        <v>0</v>
      </c>
      <c r="K81" s="110" t="e">
        <f aca="false">_xll.rdp.data(A81,"TR.WACCBeta")</f>
        <v>#NAME?</v>
      </c>
    </row>
    <row r="82" customFormat="false" ht="12.75" hidden="false" customHeight="false" outlineLevel="0" collapsed="false">
      <c r="A82" s="49" t="s">
        <v>236</v>
      </c>
      <c r="B82" s="110" t="e">
        <f aca="false" t="array" ref="B82:B82">_xll.rdp.data(A82,"CF_BID")</f>
        <v>#NAME?</v>
      </c>
      <c r="C82" s="110" t="e">
        <f aca="false" t="array" ref="C82:C82">_xll.rdp.data(A82,"CF_ASK")</f>
        <v>#NAME?</v>
      </c>
      <c r="D82" s="339" t="e">
        <f aca="false">(B82+C82)/2</f>
        <v>#NAME?</v>
      </c>
      <c r="E82" s="340" t="n">
        <v>0</v>
      </c>
      <c r="F82" s="340" t="n">
        <v>0</v>
      </c>
      <c r="G82" s="340" t="e">
        <f aca="false">IF(#REF!=0,0,IF(#REF!&gt;0,E82*#REF!*100,F82*#REF!*100))</f>
        <v>#REF!</v>
      </c>
      <c r="H82" s="30" t="n">
        <v>36.335</v>
      </c>
      <c r="I82" s="30" t="n">
        <f aca="false">E82*(1+H82)</f>
        <v>0</v>
      </c>
      <c r="K82" s="110" t="e">
        <f aca="false">_xll.rdp.data(A82,"TR.WACCBeta")</f>
        <v>#NAME?</v>
      </c>
    </row>
    <row r="83" customFormat="false" ht="12.75" hidden="false" customHeight="false" outlineLevel="0" collapsed="false">
      <c r="A83" s="49" t="s">
        <v>237</v>
      </c>
      <c r="B83" s="110" t="e">
        <f aca="false" t="array" ref="B83:B83">_xll.rdp.data(A83,"CF_BID")</f>
        <v>#NAME?</v>
      </c>
      <c r="C83" s="110" t="e">
        <f aca="false" t="array" ref="C83:C83">_xll.rdp.data(A83,"CF_ASK")</f>
        <v>#NAME?</v>
      </c>
      <c r="D83" s="339" t="e">
        <f aca="false">(B83+C83)/2</f>
        <v>#NAME?</v>
      </c>
      <c r="E83" s="340" t="n">
        <v>0</v>
      </c>
      <c r="F83" s="340" t="n">
        <v>0</v>
      </c>
      <c r="G83" s="340" t="e">
        <f aca="false">IF(#REF!=0,0,IF(#REF!&gt;0,E83*#REF!*100,F83*#REF!*100))</f>
        <v>#REF!</v>
      </c>
      <c r="H83" s="30" t="n">
        <v>8.47</v>
      </c>
      <c r="I83" s="30" t="n">
        <f aca="false">E83*(1+H83)</f>
        <v>0</v>
      </c>
      <c r="K83" s="110" t="e">
        <f aca="false">_xll.rdp.data(A83,"TR.WACCBeta")</f>
        <v>#NAME?</v>
      </c>
    </row>
    <row r="84" customFormat="false" ht="12.75" hidden="false" customHeight="false" outlineLevel="0" collapsed="false">
      <c r="A84" s="49" t="s">
        <v>238</v>
      </c>
      <c r="B84" s="110" t="e">
        <f aca="false" t="array" ref="B84:B84">_xll.rdp.data(A84,"CF_BID")</f>
        <v>#NAME?</v>
      </c>
      <c r="C84" s="110" t="e">
        <f aca="false" t="array" ref="C84:C84">_xll.rdp.data(A84,"CF_ASK")</f>
        <v>#NAME?</v>
      </c>
      <c r="D84" s="339" t="e">
        <f aca="false">(B84+C84)/2</f>
        <v>#NAME?</v>
      </c>
      <c r="E84" s="340" t="n">
        <v>0</v>
      </c>
      <c r="F84" s="340" t="n">
        <v>0</v>
      </c>
      <c r="G84" s="340" t="e">
        <f aca="false">IF(#REF!=0,0,IF(#REF!&gt;0,E84*#REF!*100,F84*#REF!*100))</f>
        <v>#REF!</v>
      </c>
      <c r="H84" s="30" t="n">
        <v>2.615</v>
      </c>
      <c r="I84" s="30" t="n">
        <f aca="false">E84*(1+H84)</f>
        <v>0</v>
      </c>
      <c r="K84" s="110" t="e">
        <f aca="false">_xll.rdp.data(A84,"TR.WACCBeta")</f>
        <v>#NAME?</v>
      </c>
    </row>
    <row r="85" customFormat="false" ht="12.75" hidden="false" customHeight="false" outlineLevel="0" collapsed="false">
      <c r="A85" s="49" t="s">
        <v>239</v>
      </c>
      <c r="B85" s="110" t="e">
        <f aca="false" t="array" ref="B85:B85">_xll.rdp.data(A85,"CF_BID")</f>
        <v>#NAME?</v>
      </c>
      <c r="C85" s="110" t="e">
        <f aca="false" t="array" ref="C85:C85">_xll.rdp.data(A85,"CF_ASK")</f>
        <v>#NAME?</v>
      </c>
      <c r="D85" s="339" t="e">
        <f aca="false">(B85+C85)/2</f>
        <v>#NAME?</v>
      </c>
      <c r="E85" s="340" t="n">
        <v>0</v>
      </c>
      <c r="F85" s="340" t="n">
        <v>0</v>
      </c>
      <c r="G85" s="340" t="e">
        <f aca="false">IF(#REF!=0,0,IF(#REF!&gt;0,E85*#REF!*100,F85*#REF!*100))</f>
        <v>#REF!</v>
      </c>
      <c r="H85" s="30" t="n">
        <v>49.18</v>
      </c>
      <c r="I85" s="30" t="n">
        <f aca="false">E85*(1+H85)</f>
        <v>0</v>
      </c>
      <c r="K85" s="110" t="e">
        <f aca="false">_xll.rdp.data(A85,"TR.WACCBeta")</f>
        <v>#NAME?</v>
      </c>
    </row>
    <row r="86" customFormat="false" ht="12.75" hidden="false" customHeight="false" outlineLevel="0" collapsed="false">
      <c r="A86" s="49" t="s">
        <v>240</v>
      </c>
      <c r="B86" s="110" t="e">
        <f aca="false" t="array" ref="B86:B86">_xll.rdp.data(A86,"CF_BID")</f>
        <v>#NAME?</v>
      </c>
      <c r="C86" s="110" t="e">
        <f aca="false" t="array" ref="C86:C86">_xll.rdp.data(A86,"CF_ASK")</f>
        <v>#NAME?</v>
      </c>
      <c r="D86" s="339" t="e">
        <f aca="false">(B86+C86)/2</f>
        <v>#NAME?</v>
      </c>
      <c r="E86" s="340" t="n">
        <v>0</v>
      </c>
      <c r="F86" s="340" t="n">
        <v>0</v>
      </c>
      <c r="G86" s="340" t="e">
        <f aca="false">IF(#REF!=0,0,IF(#REF!&gt;0,E86*#REF!*100,F86*#REF!*100))</f>
        <v>#REF!</v>
      </c>
      <c r="H86" s="30" t="n">
        <v>41.73</v>
      </c>
      <c r="I86" s="30" t="n">
        <f aca="false">E86*(1+H86)</f>
        <v>0</v>
      </c>
      <c r="K86" s="110" t="e">
        <f aca="false">_xll.rdp.data(A86,"TR.WACCBeta")</f>
        <v>#NAME?</v>
      </c>
    </row>
    <row r="87" customFormat="false" ht="12.75" hidden="false" customHeight="false" outlineLevel="0" collapsed="false">
      <c r="A87" s="49" t="s">
        <v>241</v>
      </c>
      <c r="B87" s="110" t="e">
        <f aca="false" t="array" ref="B87:B87">_xll.rdp.data(A87,"CF_BID")</f>
        <v>#NAME?</v>
      </c>
      <c r="C87" s="110" t="e">
        <f aca="false" t="array" ref="C87:C87">_xll.rdp.data(A87,"CF_ASK")</f>
        <v>#NAME?</v>
      </c>
      <c r="D87" s="339" t="e">
        <f aca="false">(B87+C87)/2</f>
        <v>#NAME?</v>
      </c>
      <c r="E87" s="340" t="n">
        <v>0</v>
      </c>
      <c r="F87" s="340" t="n">
        <v>0</v>
      </c>
      <c r="G87" s="340" t="e">
        <f aca="false">IF(#REF!=0,0,IF(#REF!&gt;0,E87*#REF!*100,F87*#REF!*100))</f>
        <v>#REF!</v>
      </c>
      <c r="H87" s="30" t="n">
        <v>17.745</v>
      </c>
      <c r="I87" s="30" t="n">
        <f aca="false">E87*(1+H87)</f>
        <v>0</v>
      </c>
      <c r="K87" s="110" t="e">
        <f aca="false">_xll.rdp.data(A87,"TR.WACCBeta")</f>
        <v>#NAME?</v>
      </c>
    </row>
    <row r="88" customFormat="false" ht="12.75" hidden="false" customHeight="false" outlineLevel="0" collapsed="false">
      <c r="A88" s="49"/>
      <c r="B88" s="110" t="e">
        <f aca="false" t="array" ref="B88:B88">_xll.rdp.data(A88,"CF_BID")</f>
        <v>#NAME?</v>
      </c>
      <c r="C88" s="110" t="e">
        <f aca="false" t="array" ref="C88:C88">_xll.rdp.data(A88,"CF_ASK")</f>
        <v>#NAME?</v>
      </c>
      <c r="D88" s="339" t="e">
        <f aca="false">(B88+C88)/2</f>
        <v>#NAME?</v>
      </c>
      <c r="E88" s="340" t="n">
        <v>0</v>
      </c>
      <c r="F88" s="340" t="n">
        <v>0</v>
      </c>
      <c r="G88" s="340" t="e">
        <f aca="false">IF(#REF!=0,0,IF(#REF!&gt;0,E88*#REF!*100,F88*#REF!*100))</f>
        <v>#REF!</v>
      </c>
      <c r="H88" s="30" t="e">
        <f aca="false">#VALUE!</f>
        <v>#VALUE!</v>
      </c>
      <c r="I88" s="30" t="e">
        <f aca="false">E88*(1+H88)</f>
        <v>#VALUE!</v>
      </c>
      <c r="K88" s="110" t="e">
        <f aca="false">_xll.rdp.data(A88,"TR.WACCBeta")</f>
        <v>#NAME?</v>
      </c>
    </row>
    <row r="89" customFormat="false" ht="12.75" hidden="false" customHeight="false" outlineLevel="0" collapsed="false">
      <c r="A89" s="49" t="s">
        <v>242</v>
      </c>
      <c r="B89" s="110" t="e">
        <f aca="false" t="array" ref="B89:B89">_xll.rdp.data(A89,"CF_BID")</f>
        <v>#NAME?</v>
      </c>
      <c r="C89" s="110" t="e">
        <f aca="false" t="array" ref="C89:C89">_xll.rdp.data(A89,"CF_ASK")</f>
        <v>#NAME?</v>
      </c>
      <c r="D89" s="339" t="e">
        <f aca="false">(B89+C89)/2</f>
        <v>#NAME?</v>
      </c>
      <c r="E89" s="340" t="n">
        <v>0</v>
      </c>
      <c r="F89" s="340" t="n">
        <v>0</v>
      </c>
      <c r="G89" s="340" t="e">
        <f aca="false">IF(#REF!=0,0,IF(#REF!&gt;0,E89*#REF!*100,F89*#REF!*100))</f>
        <v>#REF!</v>
      </c>
      <c r="H89" s="30" t="n">
        <v>10.065</v>
      </c>
      <c r="I89" s="30" t="n">
        <f aca="false">E89*(1+H89)</f>
        <v>0</v>
      </c>
      <c r="K89" s="110" t="e">
        <f aca="false">_xll.rdp.data(A89,"TR.WACCBeta")</f>
        <v>#NAME?</v>
      </c>
    </row>
    <row r="90" customFormat="false" ht="12.75" hidden="false" customHeight="false" outlineLevel="0" collapsed="false">
      <c r="A90" s="49" t="s">
        <v>243</v>
      </c>
      <c r="B90" s="110" t="e">
        <f aca="false" t="array" ref="B90:B90">_xll.rdp.data(A90,"CF_BID")</f>
        <v>#NAME?</v>
      </c>
      <c r="C90" s="110" t="e">
        <f aca="false" t="array" ref="C90:C90">_xll.rdp.data(A90,"CF_ASK")</f>
        <v>#NAME?</v>
      </c>
      <c r="D90" s="339" t="e">
        <f aca="false">(B90+C90)/2</f>
        <v>#NAME?</v>
      </c>
      <c r="E90" s="340" t="n">
        <v>0</v>
      </c>
      <c r="F90" s="340" t="n">
        <v>0</v>
      </c>
      <c r="G90" s="340" t="e">
        <f aca="false">IF(#REF!=0,0,IF(#REF!&gt;0,E90*#REF!*100,F90*#REF!*100))</f>
        <v>#REF!</v>
      </c>
      <c r="H90" s="30" t="n">
        <v>43.355</v>
      </c>
      <c r="I90" s="30" t="n">
        <f aca="false">E90*(1+H90)</f>
        <v>0</v>
      </c>
      <c r="K90" s="110" t="e">
        <f aca="false">_xll.rdp.data(A90,"TR.WACCBeta")</f>
        <v>#NAME?</v>
      </c>
    </row>
    <row r="91" customFormat="false" ht="12.75" hidden="false" customHeight="false" outlineLevel="0" collapsed="false">
      <c r="A91" s="49" t="s">
        <v>244</v>
      </c>
      <c r="B91" s="110" t="e">
        <f aca="false" t="array" ref="B91:B91">_xll.rdp.data(A91,"CF_BID")</f>
        <v>#NAME?</v>
      </c>
      <c r="C91" s="110" t="e">
        <f aca="false" t="array" ref="C91:C91">_xll.rdp.data(A91,"CF_ASK")</f>
        <v>#NAME?</v>
      </c>
      <c r="D91" s="339" t="e">
        <f aca="false">(B91+C91)/2</f>
        <v>#NAME?</v>
      </c>
      <c r="E91" s="340" t="n">
        <v>0</v>
      </c>
      <c r="F91" s="340" t="n">
        <v>0</v>
      </c>
      <c r="G91" s="340" t="e">
        <f aca="false">IF(#REF!=0,0,IF(#REF!&gt;0,E91*#REF!*100,F91*#REF!*100))</f>
        <v>#REF!</v>
      </c>
      <c r="H91" s="30" t="e">
        <f aca="false">#VALUE!</f>
        <v>#VALUE!</v>
      </c>
      <c r="I91" s="30" t="e">
        <f aca="false">E91*(1+H91)</f>
        <v>#VALUE!</v>
      </c>
      <c r="K91" s="110" t="e">
        <f aca="false">_xll.rdp.data(A91,"TR.WACCBeta")</f>
        <v>#NAME?</v>
      </c>
    </row>
    <row r="92" customFormat="false" ht="12.75" hidden="false" customHeight="false" outlineLevel="0" collapsed="false">
      <c r="A92" s="49"/>
      <c r="B92" s="110" t="e">
        <f aca="false" t="array" ref="B92:B92">_xll.rdp.data(A92,"CF_BID")</f>
        <v>#NAME?</v>
      </c>
      <c r="C92" s="110" t="e">
        <f aca="false" t="array" ref="C92:C92">_xll.rdp.data(A92,"CF_ASK")</f>
        <v>#NAME?</v>
      </c>
      <c r="D92" s="339" t="e">
        <f aca="false">(B92+C92)/2</f>
        <v>#NAME?</v>
      </c>
      <c r="E92" s="340" t="n">
        <v>0</v>
      </c>
      <c r="F92" s="340" t="n">
        <v>0</v>
      </c>
      <c r="G92" s="340" t="e">
        <f aca="false">IF(#REF!=0,0,IF(#REF!&gt;0,E92*#REF!*100,F92*#REF!*100))</f>
        <v>#REF!</v>
      </c>
      <c r="H92" s="30" t="e">
        <f aca="false">#VALUE!</f>
        <v>#VALUE!</v>
      </c>
      <c r="I92" s="30" t="e">
        <f aca="false">E92*(1+H92)</f>
        <v>#VALUE!</v>
      </c>
      <c r="K92" s="110" t="e">
        <f aca="false">_xll.rdp.data(A92,"TR.WACCBeta")</f>
        <v>#NAME?</v>
      </c>
    </row>
    <row r="93" customFormat="false" ht="12.75" hidden="false" customHeight="false" outlineLevel="0" collapsed="false">
      <c r="A93" s="49" t="s">
        <v>245</v>
      </c>
      <c r="B93" s="110" t="e">
        <f aca="false" t="array" ref="B93:B93">_xll.rdp.data(A93,"CF_BID")</f>
        <v>#NAME?</v>
      </c>
      <c r="C93" s="110" t="e">
        <f aca="false" t="array" ref="C93:C93">_xll.rdp.data(A93,"CF_ASK")</f>
        <v>#NAME?</v>
      </c>
      <c r="D93" s="339" t="e">
        <f aca="false">(B93+C93)/2</f>
        <v>#NAME?</v>
      </c>
      <c r="E93" s="340" t="n">
        <v>0</v>
      </c>
      <c r="F93" s="340" t="n">
        <v>0</v>
      </c>
      <c r="G93" s="340" t="e">
        <f aca="false">IF(#REF!=0,0,IF(#REF!&gt;0,E93*#REF!*100,F93*#REF!*100))</f>
        <v>#REF!</v>
      </c>
      <c r="H93" s="30" t="n">
        <v>173.28</v>
      </c>
      <c r="I93" s="30" t="n">
        <f aca="false">E93*(1+H93)</f>
        <v>0</v>
      </c>
      <c r="K93" s="110" t="e">
        <f aca="false">_xll.rdp.data(A93,"TR.WACCBeta")</f>
        <v>#NAME?</v>
      </c>
    </row>
    <row r="94" customFormat="false" ht="12.75" hidden="false" customHeight="false" outlineLevel="0" collapsed="false">
      <c r="A94" s="49" t="s">
        <v>246</v>
      </c>
      <c r="B94" s="110" t="e">
        <f aca="false" t="array" ref="B94:B94">_xll.rdp.data(A94,"CF_BID")</f>
        <v>#NAME?</v>
      </c>
      <c r="C94" s="110" t="e">
        <f aca="false" t="array" ref="C94:C94">_xll.rdp.data(A94,"CF_ASK")</f>
        <v>#NAME?</v>
      </c>
      <c r="D94" s="339" t="e">
        <f aca="false">(B94+C94)/2</f>
        <v>#NAME?</v>
      </c>
      <c r="E94" s="340" t="n">
        <v>0</v>
      </c>
      <c r="F94" s="340" t="n">
        <v>0</v>
      </c>
      <c r="G94" s="340" t="e">
        <f aca="false">IF(#REF!=0,0,IF(#REF!&gt;0,E94*#REF!*100,F94*#REF!*100))</f>
        <v>#REF!</v>
      </c>
      <c r="H94" s="30" t="n">
        <v>222.325</v>
      </c>
      <c r="I94" s="30" t="n">
        <f aca="false">E94*(1+H94)</f>
        <v>0</v>
      </c>
      <c r="K94" s="110" t="e">
        <f aca="false">_xll.rdp.data(A94,"TR.WACCBeta")</f>
        <v>#NAME?</v>
      </c>
    </row>
    <row r="95" customFormat="false" ht="12.75" hidden="false" customHeight="false" outlineLevel="0" collapsed="false">
      <c r="A95" s="49"/>
      <c r="B95" s="110" t="e">
        <f aca="false" t="array" ref="B95:B95">_xll.rdp.data(A95,"CF_BID")</f>
        <v>#NAME?</v>
      </c>
      <c r="C95" s="110" t="e">
        <f aca="false" t="array" ref="C95:C95">_xll.rdp.data(A95,"CF_ASK")</f>
        <v>#NAME?</v>
      </c>
      <c r="D95" s="339" t="e">
        <f aca="false">(B95+C95)/2</f>
        <v>#NAME?</v>
      </c>
      <c r="E95" s="340" t="n">
        <v>0</v>
      </c>
      <c r="F95" s="340" t="n">
        <v>0</v>
      </c>
      <c r="G95" s="340" t="e">
        <f aca="false">IF(#REF!=0,0,IF(#REF!&gt;0,E95*#REF!*100,F95*#REF!*100))</f>
        <v>#REF!</v>
      </c>
      <c r="H95" s="30" t="e">
        <f aca="false">#VALUE!</f>
        <v>#VALUE!</v>
      </c>
      <c r="I95" s="30" t="e">
        <f aca="false">E95*(1+H95)</f>
        <v>#VALUE!</v>
      </c>
      <c r="K95" s="110" t="e">
        <f aca="false">_xll.rdp.data(A95,"TR.WACCBeta")</f>
        <v>#NAME?</v>
      </c>
    </row>
    <row r="96" customFormat="false" ht="12.75" hidden="false" customHeight="false" outlineLevel="0" collapsed="false">
      <c r="A96" s="49" t="s">
        <v>247</v>
      </c>
      <c r="B96" s="110" t="e">
        <f aca="false" t="array" ref="B96:B96">_xll.rdp.data(A96,"CF_BID")</f>
        <v>#NAME?</v>
      </c>
      <c r="C96" s="110" t="e">
        <f aca="false" t="array" ref="C96:C96">_xll.rdp.data(A96,"CF_ASK")</f>
        <v>#NAME?</v>
      </c>
      <c r="D96" s="339" t="e">
        <f aca="false">(B96+C96)/2</f>
        <v>#NAME?</v>
      </c>
      <c r="E96" s="340" t="n">
        <v>0</v>
      </c>
      <c r="F96" s="340" t="n">
        <v>0</v>
      </c>
      <c r="G96" s="340" t="e">
        <f aca="false">IF(#REF!=0,0,IF(#REF!&gt;0,E96*#REF!*100,F96*#REF!*100))</f>
        <v>#REF!</v>
      </c>
      <c r="H96" s="30" t="n">
        <v>8.865</v>
      </c>
      <c r="I96" s="30" t="n">
        <f aca="false">E96*(1+H96)</f>
        <v>0</v>
      </c>
      <c r="K96" s="110" t="e">
        <f aca="false">_xll.rdp.data(A96,"TR.WACCBeta")</f>
        <v>#NAME?</v>
      </c>
    </row>
    <row r="97" customFormat="false" ht="12.75" hidden="false" customHeight="false" outlineLevel="0" collapsed="false">
      <c r="A97" s="49" t="s">
        <v>248</v>
      </c>
      <c r="B97" s="110" t="e">
        <f aca="false" t="array" ref="B97:B97">_xll.rdp.data(A97,"CF_BID")</f>
        <v>#NAME?</v>
      </c>
      <c r="C97" s="110" t="e">
        <f aca="false" t="array" ref="C97:C97">_xll.rdp.data(A97,"CF_ASK")</f>
        <v>#NAME?</v>
      </c>
      <c r="D97" s="339" t="e">
        <f aca="false">(B97+C97)/2</f>
        <v>#NAME?</v>
      </c>
      <c r="E97" s="340" t="n">
        <v>0</v>
      </c>
      <c r="F97" s="340" t="n">
        <v>0</v>
      </c>
      <c r="G97" s="340" t="e">
        <f aca="false">IF(#REF!=0,0,IF(#REF!&gt;0,E97*#REF!*100,F97*#REF!*100))</f>
        <v>#REF!</v>
      </c>
      <c r="H97" s="30" t="n">
        <v>16.335</v>
      </c>
      <c r="I97" s="30" t="n">
        <f aca="false">E97*(1+H97)</f>
        <v>0</v>
      </c>
      <c r="K97" s="110" t="e">
        <f aca="false">_xll.rdp.data(A97,"TR.WACCBeta")</f>
        <v>#NAME?</v>
      </c>
    </row>
    <row r="98" customFormat="false" ht="12.75" hidden="false" customHeight="false" outlineLevel="0" collapsed="false">
      <c r="A98" s="49" t="s">
        <v>249</v>
      </c>
      <c r="B98" s="110" t="e">
        <f aca="false" t="array" ref="B98:B98">_xll.rdp.data(A98,"CF_BID")</f>
        <v>#NAME?</v>
      </c>
      <c r="C98" s="110" t="e">
        <f aca="false" t="array" ref="C98:C98">_xll.rdp.data(A98,"CF_ASK")</f>
        <v>#NAME?</v>
      </c>
      <c r="D98" s="339" t="e">
        <f aca="false">(B98+C98)/2</f>
        <v>#NAME?</v>
      </c>
      <c r="E98" s="340" t="n">
        <v>0</v>
      </c>
      <c r="F98" s="340" t="n">
        <v>0</v>
      </c>
      <c r="G98" s="340" t="e">
        <f aca="false">IF(#REF!=0,0,IF(#REF!&gt;0,E98*#REF!*100,F98*#REF!*100))</f>
        <v>#REF!</v>
      </c>
      <c r="H98" s="30" t="n">
        <v>3.085</v>
      </c>
      <c r="I98" s="30" t="n">
        <f aca="false">E98*(1+H98)</f>
        <v>0</v>
      </c>
      <c r="K98" s="110" t="e">
        <f aca="false">_xll.rdp.data(A98,"TR.WACCBeta")</f>
        <v>#NAME?</v>
      </c>
    </row>
    <row r="99" customFormat="false" ht="12.75" hidden="false" customHeight="false" outlineLevel="0" collapsed="false">
      <c r="A99" s="49" t="s">
        <v>250</v>
      </c>
      <c r="B99" s="110" t="e">
        <f aca="false" t="array" ref="B99:B99">_xll.rdp.data(A99,"CF_BID")</f>
        <v>#NAME?</v>
      </c>
      <c r="C99" s="110" t="e">
        <f aca="false" t="array" ref="C99:C99">_xll.rdp.data(A99,"CF_ASK")</f>
        <v>#NAME?</v>
      </c>
      <c r="D99" s="339" t="e">
        <f aca="false">(B99+C99)/2</f>
        <v>#NAME?</v>
      </c>
      <c r="E99" s="340" t="n">
        <v>0</v>
      </c>
      <c r="F99" s="340" t="n">
        <v>0</v>
      </c>
      <c r="G99" s="340" t="e">
        <f aca="false">IF(#REF!=0,0,IF(#REF!&gt;0,E99*#REF!*100,F99*#REF!*100))</f>
        <v>#REF!</v>
      </c>
      <c r="H99" s="30" t="n">
        <v>35.835</v>
      </c>
      <c r="I99" s="30" t="n">
        <f aca="false">E99*(1+H99)</f>
        <v>0</v>
      </c>
      <c r="K99" s="110" t="e">
        <f aca="false">_xll.rdp.data(A99,"TR.WACCBeta")</f>
        <v>#NAME?</v>
      </c>
    </row>
    <row r="100" customFormat="false" ht="12.75" hidden="false" customHeight="false" outlineLevel="0" collapsed="false">
      <c r="A100" s="49" t="s">
        <v>251</v>
      </c>
      <c r="B100" s="110" t="e">
        <f aca="false" t="array" ref="B100:B100">_xll.rdp.data(A100,"CF_BID")</f>
        <v>#NAME?</v>
      </c>
      <c r="C100" s="110" t="e">
        <f aca="false" t="array" ref="C100:C100">_xll.rdp.data(A100,"CF_ASK")</f>
        <v>#NAME?</v>
      </c>
      <c r="D100" s="339" t="e">
        <f aca="false">(B100+C100)/2</f>
        <v>#NAME?</v>
      </c>
      <c r="E100" s="340" t="n">
        <v>0</v>
      </c>
      <c r="F100" s="340" t="n">
        <v>0</v>
      </c>
      <c r="G100" s="340" t="e">
        <f aca="false">IF(#REF!=0,0,IF(#REF!&gt;0,E100*#REF!*100,F100*#REF!*100))</f>
        <v>#REF!</v>
      </c>
      <c r="H100" s="30" t="n">
        <v>3.775</v>
      </c>
      <c r="I100" s="30" t="n">
        <f aca="false">E100*(1+H100)</f>
        <v>0</v>
      </c>
      <c r="K100" s="110" t="e">
        <f aca="false">_xll.rdp.data(A100,"TR.WACCBeta")</f>
        <v>#NAME?</v>
      </c>
    </row>
    <row r="101" customFormat="false" ht="12.75" hidden="false" customHeight="false" outlineLevel="0" collapsed="false">
      <c r="A101" s="49" t="s">
        <v>252</v>
      </c>
      <c r="B101" s="110" t="e">
        <f aca="false" t="array" ref="B101:B101">_xll.rdp.data(A101,"CF_BID")</f>
        <v>#NAME?</v>
      </c>
      <c r="C101" s="110" t="e">
        <f aca="false" t="array" ref="C101:C101">_xll.rdp.data(A101,"CF_ASK")</f>
        <v>#NAME?</v>
      </c>
      <c r="D101" s="339" t="e">
        <f aca="false">(B101+C101)/2</f>
        <v>#NAME?</v>
      </c>
      <c r="E101" s="340" t="n">
        <v>0</v>
      </c>
      <c r="F101" s="340" t="n">
        <v>0</v>
      </c>
      <c r="G101" s="340" t="e">
        <f aca="false">IF(#REF!=0,0,IF(#REF!&gt;0,E101*#REF!*100,F101*#REF!*100))</f>
        <v>#REF!</v>
      </c>
      <c r="H101" s="30" t="n">
        <v>13.88</v>
      </c>
      <c r="I101" s="30" t="n">
        <f aca="false">E101*(1+H101)</f>
        <v>0</v>
      </c>
      <c r="K101" s="110" t="e">
        <f aca="false">_xll.rdp.data(A101,"TR.WACCBeta")</f>
        <v>#NAME?</v>
      </c>
    </row>
    <row r="102" customFormat="false" ht="12.75" hidden="false" customHeight="false" outlineLevel="0" collapsed="false">
      <c r="A102" s="49" t="s">
        <v>253</v>
      </c>
      <c r="B102" s="110" t="e">
        <f aca="false" t="array" ref="B102:B102">_xll.rdp.data(A102,"CF_BID")</f>
        <v>#NAME?</v>
      </c>
      <c r="C102" s="110" t="e">
        <f aca="false" t="array" ref="C102:C102">_xll.rdp.data(A102,"CF_ASK")</f>
        <v>#NAME?</v>
      </c>
      <c r="D102" s="339" t="e">
        <f aca="false">(B102+C102)/2</f>
        <v>#NAME?</v>
      </c>
      <c r="E102" s="340" t="n">
        <v>0</v>
      </c>
      <c r="F102" s="340" t="n">
        <v>0</v>
      </c>
      <c r="G102" s="340" t="e">
        <f aca="false">IF(#REF!=0,0,IF(#REF!&gt;0,E102*#REF!*100,F102*#REF!*100))</f>
        <v>#REF!</v>
      </c>
      <c r="H102" s="30" t="n">
        <v>495.075</v>
      </c>
      <c r="I102" s="30" t="n">
        <f aca="false">E102*(1+H102)</f>
        <v>0</v>
      </c>
      <c r="K102" s="110" t="e">
        <f aca="false">_xll.rdp.data(A102,"TR.WACCBeta")</f>
        <v>#NAME?</v>
      </c>
    </row>
    <row r="103" customFormat="false" ht="12.75" hidden="false" customHeight="false" outlineLevel="0" collapsed="false">
      <c r="A103" s="49" t="s">
        <v>254</v>
      </c>
      <c r="B103" s="110" t="e">
        <f aca="false" t="array" ref="B103:B103">_xll.rdp.data(A103,"CF_BID")</f>
        <v>#NAME?</v>
      </c>
      <c r="C103" s="110" t="e">
        <f aca="false" t="array" ref="C103:C103">_xll.rdp.data(A103,"CF_ASK")</f>
        <v>#NAME?</v>
      </c>
      <c r="D103" s="339" t="e">
        <f aca="false">(B103+C103)/2</f>
        <v>#NAME?</v>
      </c>
      <c r="E103" s="340" t="n">
        <v>0</v>
      </c>
      <c r="F103" s="340" t="n">
        <v>0</v>
      </c>
      <c r="G103" s="340" t="e">
        <f aca="false">IF(#REF!=0,0,IF(#REF!&gt;0,E103*#REF!*100,F103*#REF!*100))</f>
        <v>#REF!</v>
      </c>
      <c r="H103" s="30" t="n">
        <v>99.815</v>
      </c>
      <c r="I103" s="30" t="n">
        <f aca="false">E103*(1+H103)</f>
        <v>0</v>
      </c>
      <c r="K103" s="110" t="e">
        <f aca="false">_xll.rdp.data(A103,"TR.WACCBeta")</f>
        <v>#NAME?</v>
      </c>
    </row>
    <row r="104" customFormat="false" ht="12.75" hidden="false" customHeight="false" outlineLevel="0" collapsed="false">
      <c r="A104" s="49" t="s">
        <v>255</v>
      </c>
      <c r="B104" s="110" t="e">
        <f aca="false" t="array" ref="B104:B104">_xll.rdp.data(A104,"CF_BID")</f>
        <v>#NAME?</v>
      </c>
      <c r="C104" s="110" t="e">
        <f aca="false" t="array" ref="C104:C104">_xll.rdp.data(A104,"CF_ASK")</f>
        <v>#NAME?</v>
      </c>
      <c r="D104" s="339" t="e">
        <f aca="false">(B104+C104)/2</f>
        <v>#NAME?</v>
      </c>
      <c r="E104" s="340" t="n">
        <v>0</v>
      </c>
      <c r="F104" s="340" t="n">
        <v>0</v>
      </c>
      <c r="G104" s="340" t="e">
        <f aca="false">IF(#REF!=0,0,IF(#REF!&gt;0,E104*#REF!*100,F104*#REF!*100))</f>
        <v>#REF!</v>
      </c>
      <c r="H104" s="30" t="n">
        <v>134.49</v>
      </c>
      <c r="I104" s="30" t="n">
        <f aca="false">E104*(1+H104)</f>
        <v>0</v>
      </c>
      <c r="K104" s="110" t="e">
        <f aca="false">_xll.rdp.data(A104,"TR.WACCBeta")</f>
        <v>#NAME?</v>
      </c>
    </row>
    <row r="105" customFormat="false" ht="12.75" hidden="false" customHeight="false" outlineLevel="0" collapsed="false">
      <c r="A105" s="49"/>
      <c r="B105" s="110" t="e">
        <f aca="false" t="array" ref="B105:B105">_xll.rdp.data(A105,"CF_BID")</f>
        <v>#NAME?</v>
      </c>
      <c r="C105" s="110" t="e">
        <f aca="false" t="array" ref="C105:C105">_xll.rdp.data(A105,"CF_ASK")</f>
        <v>#NAME?</v>
      </c>
      <c r="D105" s="339" t="e">
        <f aca="false">(B105+C105)/2</f>
        <v>#NAME?</v>
      </c>
      <c r="E105" s="340" t="n">
        <v>0</v>
      </c>
      <c r="F105" s="340" t="n">
        <v>0</v>
      </c>
      <c r="G105" s="340" t="e">
        <f aca="false">IF(#REF!=0,0,IF(#REF!&gt;0,E105*#REF!*100,F105*#REF!*100))</f>
        <v>#REF!</v>
      </c>
      <c r="H105" s="30" t="e">
        <f aca="false">#VALUE!</f>
        <v>#VALUE!</v>
      </c>
      <c r="I105" s="30" t="e">
        <f aca="false">E105*(1+H105)</f>
        <v>#VALUE!</v>
      </c>
      <c r="K105" s="110" t="e">
        <f aca="false">_xll.rdp.data(A105,"TR.WACCBeta")</f>
        <v>#NAME?</v>
      </c>
    </row>
    <row r="106" customFormat="false" ht="12.75" hidden="false" customHeight="false" outlineLevel="0" collapsed="false">
      <c r="A106" s="49" t="s">
        <v>256</v>
      </c>
      <c r="B106" s="110" t="e">
        <f aca="false" t="array" ref="B106:B106">_xll.rdp.data(A106,"CF_BID")</f>
        <v>#NAME?</v>
      </c>
      <c r="C106" s="110" t="e">
        <f aca="false" t="array" ref="C106:C106">_xll.rdp.data(A106,"CF_ASK")</f>
        <v>#NAME?</v>
      </c>
      <c r="D106" s="339" t="e">
        <f aca="false">(B106+C106)/2</f>
        <v>#NAME?</v>
      </c>
      <c r="E106" s="340" t="n">
        <v>0</v>
      </c>
      <c r="F106" s="340" t="n">
        <v>0</v>
      </c>
      <c r="G106" s="340" t="e">
        <f aca="false">IF(#REF!=0,0,IF(#REF!&gt;0,E106*#REF!*100,F106*#REF!*100))</f>
        <v>#REF!</v>
      </c>
      <c r="H106" s="30" t="n">
        <v>8.275</v>
      </c>
      <c r="I106" s="30" t="n">
        <f aca="false">E106*(1+H106)</f>
        <v>0</v>
      </c>
      <c r="K106" s="110" t="e">
        <f aca="false">_xll.rdp.data(A106,"TR.WACCBeta")</f>
        <v>#NAME?</v>
      </c>
    </row>
    <row r="107" customFormat="false" ht="12.75" hidden="false" customHeight="false" outlineLevel="0" collapsed="false">
      <c r="A107" s="49" t="s">
        <v>257</v>
      </c>
      <c r="B107" s="110" t="e">
        <f aca="false" t="array" ref="B107:B107">_xll.rdp.data(A107,"CF_BID")</f>
        <v>#NAME?</v>
      </c>
      <c r="C107" s="110" t="e">
        <f aca="false" t="array" ref="C107:C107">_xll.rdp.data(A107,"CF_ASK")</f>
        <v>#NAME?</v>
      </c>
      <c r="D107" s="339" t="e">
        <f aca="false">(B107+C107)/2</f>
        <v>#NAME?</v>
      </c>
      <c r="E107" s="340" t="n">
        <v>0</v>
      </c>
      <c r="F107" s="340" t="n">
        <v>0</v>
      </c>
      <c r="G107" s="340" t="e">
        <f aca="false">IF(#REF!=0,0,IF(#REF!&gt;0,E107*#REF!*100,F107*#REF!*100))</f>
        <v>#REF!</v>
      </c>
      <c r="H107" s="30" t="n">
        <v>363.305</v>
      </c>
      <c r="I107" s="30" t="n">
        <f aca="false">E107*(1+H107)</f>
        <v>0</v>
      </c>
      <c r="K107" s="110" t="e">
        <f aca="false">_xll.rdp.data(A107,"TR.WACCBeta")</f>
        <v>#NAME?</v>
      </c>
    </row>
    <row r="108" customFormat="false" ht="12.75" hidden="false" customHeight="false" outlineLevel="0" collapsed="false">
      <c r="A108" s="49" t="s">
        <v>258</v>
      </c>
      <c r="B108" s="110" t="e">
        <f aca="false" t="array" ref="B108:B108">_xll.rdp.data(A108,"CF_BID")</f>
        <v>#NAME?</v>
      </c>
      <c r="C108" s="110" t="e">
        <f aca="false" t="array" ref="C108:C108">_xll.rdp.data(A108,"CF_ASK")</f>
        <v>#NAME?</v>
      </c>
      <c r="D108" s="339" t="e">
        <f aca="false">(B108+C108)/2</f>
        <v>#NAME?</v>
      </c>
      <c r="E108" s="340" t="n">
        <v>0</v>
      </c>
      <c r="F108" s="340" t="n">
        <v>0</v>
      </c>
      <c r="G108" s="340" t="e">
        <f aca="false">IF(#REF!=0,0,IF(#REF!&gt;0,E108*#REF!*100,F108*#REF!*100))</f>
        <v>#REF!</v>
      </c>
      <c r="H108" s="30" t="n">
        <v>65.205</v>
      </c>
      <c r="I108" s="30" t="n">
        <f aca="false">E108*(1+H108)</f>
        <v>0</v>
      </c>
      <c r="K108" s="110" t="e">
        <f aca="false">_xll.rdp.data(A108,"TR.WACCBeta")</f>
        <v>#NAME?</v>
      </c>
    </row>
    <row r="109" customFormat="false" ht="12.75" hidden="false" customHeight="false" outlineLevel="0" collapsed="false">
      <c r="A109" s="49" t="s">
        <v>259</v>
      </c>
      <c r="B109" s="110" t="e">
        <f aca="false" t="array" ref="B109:B109">_xll.rdp.data(A109,"CF_BID")</f>
        <v>#NAME?</v>
      </c>
      <c r="C109" s="110" t="e">
        <f aca="false" t="array" ref="C109:C109">_xll.rdp.data(A109,"CF_ASK")</f>
        <v>#NAME?</v>
      </c>
      <c r="D109" s="339" t="e">
        <f aca="false">(B109+C109)/2</f>
        <v>#NAME?</v>
      </c>
      <c r="E109" s="340" t="n">
        <v>0</v>
      </c>
      <c r="F109" s="340" t="n">
        <v>0</v>
      </c>
      <c r="G109" s="340" t="e">
        <f aca="false">IF(#REF!=0,0,IF(#REF!&gt;0,E109*#REF!*100,F109*#REF!*100))</f>
        <v>#REF!</v>
      </c>
      <c r="H109" s="30" t="n">
        <v>65.05</v>
      </c>
      <c r="I109" s="30" t="n">
        <f aca="false">E109*(1+H109)</f>
        <v>0</v>
      </c>
      <c r="K109" s="110" t="e">
        <f aca="false">_xll.rdp.data(A109,"TR.WACCBeta")</f>
        <v>#NAME?</v>
      </c>
    </row>
    <row r="110" customFormat="false" ht="12.75" hidden="false" customHeight="false" outlineLevel="0" collapsed="false">
      <c r="A110" s="30"/>
      <c r="B110" s="110" t="e">
        <f aca="false" t="array" ref="B110:B110">_xll.rdp.data(A110,"CF_BID")</f>
        <v>#NAME?</v>
      </c>
      <c r="C110" s="110" t="e">
        <f aca="false" t="array" ref="C110:C110">_xll.rdp.data(A110,"CF_ASK")</f>
        <v>#NAME?</v>
      </c>
      <c r="D110" s="339" t="e">
        <f aca="false">(B110+C110)/2</f>
        <v>#NAME?</v>
      </c>
      <c r="E110" s="340" t="n">
        <v>0</v>
      </c>
      <c r="F110" s="340" t="n">
        <v>0</v>
      </c>
      <c r="G110" s="340" t="e">
        <f aca="false">IF(#REF!=0,0,IF(#REF!&gt;0,E110*#REF!*100,F110*#REF!*100))</f>
        <v>#REF!</v>
      </c>
      <c r="H110" s="30" t="e">
        <f aca="false">#VALUE!</f>
        <v>#VALUE!</v>
      </c>
      <c r="I110" s="30" t="e">
        <f aca="false">E110*(1+H110)</f>
        <v>#VALUE!</v>
      </c>
      <c r="K110" s="110" t="e">
        <f aca="false">_xll.rdp.data(A110,"TR.WACCBeta")</f>
        <v>#NAME?</v>
      </c>
    </row>
    <row r="111" customFormat="false" ht="12.75" hidden="false" customHeight="false" outlineLevel="0" collapsed="false">
      <c r="A111" s="49" t="s">
        <v>260</v>
      </c>
      <c r="B111" s="110" t="e">
        <f aca="false" t="array" ref="B111:B111">_xll.rdp.data(A111,"CF_BID")</f>
        <v>#NAME?</v>
      </c>
      <c r="C111" s="110" t="e">
        <f aca="false" t="array" ref="C111:C111">_xll.rdp.data(A111,"CF_ASK")</f>
        <v>#NAME?</v>
      </c>
      <c r="D111" s="339" t="e">
        <f aca="false">(B111+C111)/2</f>
        <v>#NAME?</v>
      </c>
      <c r="E111" s="340" t="n">
        <v>0</v>
      </c>
      <c r="F111" s="340" t="n">
        <v>0</v>
      </c>
      <c r="G111" s="340" t="e">
        <f aca="false">IF(#REF!=0,0,IF(#REF!&gt;0,E111*#REF!*100,F111*#REF!*100))</f>
        <v>#REF!</v>
      </c>
      <c r="H111" s="30" t="n">
        <v>99.75</v>
      </c>
      <c r="I111" s="30" t="n">
        <f aca="false">E111*(1+H111)</f>
        <v>0</v>
      </c>
      <c r="K111" s="110" t="e">
        <f aca="false">_xll.rdp.data(A111,"TR.WACCBeta")</f>
        <v>#NAME?</v>
      </c>
    </row>
    <row r="112" customFormat="false" ht="12.75" hidden="false" customHeight="false" outlineLevel="0" collapsed="false">
      <c r="A112" s="49" t="s">
        <v>261</v>
      </c>
      <c r="B112" s="110" t="e">
        <f aca="false" t="array" ref="B112:B112">_xll.rdp.data(A112,"CF_BID")</f>
        <v>#NAME?</v>
      </c>
      <c r="C112" s="110" t="e">
        <f aca="false" t="array" ref="C112:C112">_xll.rdp.data(A112,"CF_ASK")</f>
        <v>#NAME?</v>
      </c>
      <c r="D112" s="339" t="e">
        <f aca="false">(B112+C112)/2</f>
        <v>#NAME?</v>
      </c>
      <c r="E112" s="340" t="n">
        <v>0</v>
      </c>
      <c r="F112" s="340" t="n">
        <v>0</v>
      </c>
      <c r="G112" s="340" t="e">
        <f aca="false">IF(#REF!=0,0,IF(#REF!&gt;0,E112*#REF!*100,F112*#REF!*100))</f>
        <v>#REF!</v>
      </c>
      <c r="H112" s="30" t="n">
        <v>17.94</v>
      </c>
      <c r="I112" s="30" t="n">
        <f aca="false">E112*(1+H112)</f>
        <v>0</v>
      </c>
      <c r="K112" s="110" t="e">
        <f aca="false">_xll.rdp.data(A112,"TR.WACCBeta")</f>
        <v>#NAME?</v>
      </c>
    </row>
    <row r="113" customFormat="false" ht="12.75" hidden="false" customHeight="false" outlineLevel="0" collapsed="false">
      <c r="A113" s="49"/>
      <c r="B113" s="110" t="e">
        <f aca="false" t="array" ref="B113:B113">_xll.rdp.data(A113,"CF_BID")</f>
        <v>#NAME?</v>
      </c>
      <c r="C113" s="110" t="e">
        <f aca="false" t="array" ref="C113:C113">_xll.rdp.data(A113,"CF_ASK")</f>
        <v>#NAME?</v>
      </c>
      <c r="D113" s="339" t="e">
        <f aca="false">(B113+C113)/2</f>
        <v>#NAME?</v>
      </c>
      <c r="E113" s="340" t="n">
        <v>0</v>
      </c>
      <c r="F113" s="340" t="n">
        <v>0</v>
      </c>
      <c r="G113" s="340" t="e">
        <f aca="false">IF(#REF!=0,0,IF(#REF!&gt;0,E113*#REF!*100,F113*#REF!*100))</f>
        <v>#REF!</v>
      </c>
      <c r="H113" s="30" t="e">
        <f aca="false">#VALUE!</f>
        <v>#VALUE!</v>
      </c>
      <c r="I113" s="30" t="e">
        <f aca="false">E113*(1+H113)</f>
        <v>#VALUE!</v>
      </c>
      <c r="K113" s="110" t="e">
        <f aca="false">_xll.rdp.data(A113,"TR.WACCBeta")</f>
        <v>#NAME?</v>
      </c>
    </row>
    <row r="114" customFormat="false" ht="12.75" hidden="false" customHeight="false" outlineLevel="0" collapsed="false">
      <c r="A114" s="49" t="s">
        <v>262</v>
      </c>
      <c r="B114" s="110" t="e">
        <f aca="false" t="array" ref="B114:B114">_xll.rdp.data(A114,"CF_BID")</f>
        <v>#NAME?</v>
      </c>
      <c r="C114" s="110" t="e">
        <f aca="false" t="array" ref="C114:C114">_xll.rdp.data(A114,"CF_ASK")</f>
        <v>#NAME?</v>
      </c>
      <c r="D114" s="339" t="e">
        <f aca="false">(B114+C114)/2</f>
        <v>#NAME?</v>
      </c>
      <c r="E114" s="340" t="n">
        <v>0</v>
      </c>
      <c r="F114" s="340" t="n">
        <v>0</v>
      </c>
      <c r="G114" s="340" t="e">
        <f aca="false">IF(#REF!=0,0,IF(#REF!&gt;0,E114*#REF!*100,F114*#REF!*100))</f>
        <v>#REF!</v>
      </c>
      <c r="H114" s="30" t="n">
        <v>1002.635</v>
      </c>
      <c r="I114" s="30" t="n">
        <f aca="false">E114*(1+H114)</f>
        <v>0</v>
      </c>
      <c r="K114" s="110" t="e">
        <f aca="false">_xll.rdp.data(A114,"TR.WACCBeta")</f>
        <v>#NAME?</v>
      </c>
    </row>
    <row r="115" customFormat="false" ht="12.75" hidden="false" customHeight="false" outlineLevel="0" collapsed="false">
      <c r="A115" s="49" t="s">
        <v>263</v>
      </c>
      <c r="B115" s="110" t="e">
        <f aca="false" t="array" ref="B115:B115">_xll.rdp.data(A115,"CF_BID")</f>
        <v>#NAME?</v>
      </c>
      <c r="C115" s="110" t="e">
        <f aca="false" t="array" ref="C115:C115">_xll.rdp.data(A115,"CF_ASK")</f>
        <v>#NAME?</v>
      </c>
      <c r="D115" s="339" t="e">
        <f aca="false">(B115+C115)/2</f>
        <v>#NAME?</v>
      </c>
      <c r="E115" s="340" t="n">
        <v>0</v>
      </c>
      <c r="F115" s="340" t="n">
        <v>0</v>
      </c>
      <c r="G115" s="340" t="e">
        <f aca="false">IF(#REF!=0,0,IF(#REF!&gt;0,E115*#REF!*100,F115*#REF!*100))</f>
        <v>#REF!</v>
      </c>
      <c r="H115" s="30" t="n">
        <v>62.415</v>
      </c>
      <c r="I115" s="30" t="n">
        <f aca="false">E115*(1+H115)</f>
        <v>0</v>
      </c>
      <c r="K115" s="110" t="e">
        <f aca="false">_xll.rdp.data(A115,"TR.WACCBeta")</f>
        <v>#NAME?</v>
      </c>
    </row>
    <row r="116" customFormat="false" ht="12.75" hidden="false" customHeight="false" outlineLevel="0" collapsed="false">
      <c r="A116" s="49" t="s">
        <v>264</v>
      </c>
      <c r="B116" s="110" t="e">
        <f aca="false" t="array" ref="B116:B116">_xll.rdp.data(A116,"CF_BID")</f>
        <v>#NAME?</v>
      </c>
      <c r="C116" s="110" t="e">
        <f aca="false" t="array" ref="C116:C116">_xll.rdp.data(A116,"CF_ASK")</f>
        <v>#NAME?</v>
      </c>
      <c r="D116" s="339" t="e">
        <f aca="false">(B116+C116)/2</f>
        <v>#NAME?</v>
      </c>
      <c r="E116" s="340" t="n">
        <v>0</v>
      </c>
      <c r="F116" s="340" t="n">
        <v>0</v>
      </c>
      <c r="G116" s="340" t="e">
        <f aca="false">IF(#REF!=0,0,IF(#REF!&gt;0,E116*#REF!*100,F116*#REF!*100))</f>
        <v>#REF!</v>
      </c>
      <c r="H116" s="30" t="n">
        <v>117.245</v>
      </c>
      <c r="I116" s="30" t="n">
        <f aca="false">E116*(1+H116)</f>
        <v>0</v>
      </c>
      <c r="K116" s="110" t="e">
        <f aca="false">_xll.rdp.data(A116,"TR.WACCBeta")</f>
        <v>#NAME?</v>
      </c>
    </row>
    <row r="117" customFormat="false" ht="12.75" hidden="false" customHeight="false" outlineLevel="0" collapsed="false">
      <c r="A117" s="0" t="s">
        <v>265</v>
      </c>
      <c r="B117" s="0" t="e">
        <f aca="false" t="array" ref="B117:B117">_xll.rdp.data(A117,"CF_BID")</f>
        <v>#NAME?</v>
      </c>
      <c r="C117" s="0" t="e">
        <f aca="false" t="array" ref="C117:C117">_xll.rdp.data(A117,"CF_ASK")</f>
        <v>#NAME?</v>
      </c>
      <c r="D117" s="339" t="e">
        <f aca="false">(B117+C117)/2</f>
        <v>#NAME?</v>
      </c>
      <c r="E117" s="340" t="n">
        <v>0</v>
      </c>
      <c r="F117" s="340" t="n">
        <v>0</v>
      </c>
      <c r="G117" s="340" t="e">
        <f aca="false">IF(#REF!=0,0,IF(#REF!&gt;0,E117*#REF!*100,F117*#REF!*100))</f>
        <v>#REF!</v>
      </c>
      <c r="H117" s="30" t="n">
        <v>1.695</v>
      </c>
      <c r="I117" s="30" t="n">
        <f aca="false">E117*(1+H117)</f>
        <v>0</v>
      </c>
      <c r="K117" s="110" t="e">
        <f aca="false">_xll.rdp.data(A117,"TR.WACCBeta")</f>
        <v>#NAME?</v>
      </c>
    </row>
    <row r="118" customFormat="false" ht="12.75" hidden="false" customHeight="false" outlineLevel="0" collapsed="false">
      <c r="A118" s="49" t="s">
        <v>266</v>
      </c>
      <c r="B118" s="110" t="e">
        <f aca="false" t="array" ref="B118:B118">_xll.rdp.data(A118,"CF_BID")</f>
        <v>#NAME?</v>
      </c>
      <c r="C118" s="110" t="e">
        <f aca="false" t="array" ref="C118:C118">_xll.rdp.data(A118,"CF_ASK")</f>
        <v>#NAME?</v>
      </c>
      <c r="D118" s="339" t="e">
        <f aca="false">(B118+C118)/2</f>
        <v>#NAME?</v>
      </c>
      <c r="E118" s="340" t="n">
        <v>0</v>
      </c>
      <c r="F118" s="340" t="n">
        <v>0</v>
      </c>
      <c r="G118" s="340" t="e">
        <f aca="false">IF(#REF!=0,0,IF(#REF!&gt;0,E118*#REF!*100,F118*#REF!*100))</f>
        <v>#REF!</v>
      </c>
      <c r="H118" s="30" t="n">
        <v>120.67</v>
      </c>
      <c r="I118" s="30" t="n">
        <f aca="false">E118*(1+H118)</f>
        <v>0</v>
      </c>
      <c r="K118" s="110" t="e">
        <f aca="false">_xll.rdp.data(A118,"TR.WACCBeta")</f>
        <v>#NAME?</v>
      </c>
    </row>
    <row r="119" customFormat="false" ht="12.75" hidden="false" customHeight="false" outlineLevel="0" collapsed="false">
      <c r="A119" s="0" t="s">
        <v>267</v>
      </c>
      <c r="B119" s="0" t="e">
        <f aca="false" t="array" ref="B119:B119">_xll.rdp.data(A119,"CF_BID")</f>
        <v>#NAME?</v>
      </c>
      <c r="C119" s="0" t="e">
        <f aca="false" t="array" ref="C119:C119">_xll.rdp.data(A119,"CF_ASK")</f>
        <v>#NAME?</v>
      </c>
      <c r="D119" s="339" t="e">
        <f aca="false">(B119+C119)/2</f>
        <v>#NAME?</v>
      </c>
      <c r="E119" s="340" t="n">
        <v>0</v>
      </c>
      <c r="F119" s="340" t="n">
        <v>0</v>
      </c>
      <c r="G119" s="340" t="e">
        <f aca="false">IF(#REF!=0,0,IF(#REF!&gt;0,E119*#REF!*100,F119*#REF!*100))</f>
        <v>#REF!</v>
      </c>
      <c r="H119" s="30" t="n">
        <v>13.505</v>
      </c>
      <c r="I119" s="30" t="n">
        <f aca="false">E119*(1+H119)</f>
        <v>0</v>
      </c>
      <c r="K119" s="110" t="e">
        <f aca="false">_xll.rdp.data(A119,"TR.WACCBeta")</f>
        <v>#NAME?</v>
      </c>
    </row>
    <row r="120" customFormat="false" ht="12.75" hidden="false" customHeight="false" outlineLevel="0" collapsed="false">
      <c r="A120" s="49" t="s">
        <v>268</v>
      </c>
      <c r="B120" s="110" t="e">
        <f aca="false" t="array" ref="B120:B120">_xll.rdp.data(A120,"CF_BID")</f>
        <v>#NAME?</v>
      </c>
      <c r="C120" s="110" t="e">
        <f aca="false" t="array" ref="C120:C120">_xll.rdp.data(A120,"CF_ASK")</f>
        <v>#NAME?</v>
      </c>
      <c r="D120" s="339" t="e">
        <f aca="false">(B120+C120)/2</f>
        <v>#NAME?</v>
      </c>
      <c r="E120" s="340" t="n">
        <v>0</v>
      </c>
      <c r="F120" s="340" t="n">
        <v>0</v>
      </c>
      <c r="G120" s="340" t="e">
        <f aca="false">IF(#REF!=0,0,IF(#REF!&gt;0,E120*#REF!*100,F120*#REF!*100))</f>
        <v>#REF!</v>
      </c>
      <c r="H120" s="30" t="n">
        <v>501.43</v>
      </c>
      <c r="I120" s="30" t="n">
        <f aca="false">E120*(1+H120)</f>
        <v>0</v>
      </c>
      <c r="K120" s="110" t="e">
        <f aca="false">_xll.rdp.data(A120,"TR.WACCBeta")</f>
        <v>#NAME?</v>
      </c>
    </row>
    <row r="121" customFormat="false" ht="12.75" hidden="false" customHeight="false" outlineLevel="0" collapsed="false">
      <c r="A121" s="49" t="s">
        <v>269</v>
      </c>
      <c r="B121" s="110" t="e">
        <f aca="false" t="array" ref="B121:B121">_xll.rdp.data(A121,"CF_BID")</f>
        <v>#NAME?</v>
      </c>
      <c r="C121" s="110" t="e">
        <f aca="false" t="array" ref="C121:C121">_xll.rdp.data(A121,"CF_ASK")</f>
        <v>#NAME?</v>
      </c>
      <c r="D121" s="339" t="e">
        <f aca="false">(B121+C121)/2</f>
        <v>#NAME?</v>
      </c>
      <c r="E121" s="340" t="n">
        <v>0</v>
      </c>
      <c r="F121" s="340" t="n">
        <v>0</v>
      </c>
      <c r="G121" s="340" t="e">
        <f aca="false">IF(#REF!=0,0,IF(#REF!&gt;0,E121*#REF!*100,F121*#REF!*100))</f>
        <v>#REF!</v>
      </c>
      <c r="H121" s="30" t="n">
        <v>306.36</v>
      </c>
      <c r="I121" s="30" t="n">
        <f aca="false">E121*(1+H121)</f>
        <v>0</v>
      </c>
      <c r="K121" s="110" t="e">
        <f aca="false">_xll.rdp.data(A121,"TR.WACCBeta")</f>
        <v>#NAME?</v>
      </c>
    </row>
    <row r="122" customFormat="false" ht="12.75" hidden="false" customHeight="false" outlineLevel="0" collapsed="false">
      <c r="A122" s="49" t="s">
        <v>270</v>
      </c>
      <c r="B122" s="110" t="e">
        <f aca="false" t="array" ref="B122:B122">_xll.rdp.data(A122,"CF_BID")</f>
        <v>#NAME?</v>
      </c>
      <c r="C122" s="110" t="e">
        <f aca="false" t="array" ref="C122:C122">_xll.rdp.data(A122,"CF_ASK")</f>
        <v>#NAME?</v>
      </c>
      <c r="D122" s="339" t="e">
        <f aca="false">(B122+C122)/2</f>
        <v>#NAME?</v>
      </c>
      <c r="E122" s="340" t="n">
        <v>0</v>
      </c>
      <c r="F122" s="340" t="n">
        <v>0</v>
      </c>
      <c r="G122" s="340" t="e">
        <f aca="false">IF(#REF!=0,0,IF(#REF!&gt;0,E122*#REF!*100,F122*#REF!*100))</f>
        <v>#REF!</v>
      </c>
      <c r="H122" s="30" t="n">
        <v>70.985</v>
      </c>
      <c r="I122" s="30" t="n">
        <f aca="false">E122*(1+H122)</f>
        <v>0</v>
      </c>
      <c r="K122" s="110" t="e">
        <f aca="false">_xll.rdp.data(A122,"TR.WACCBeta")</f>
        <v>#NAME?</v>
      </c>
    </row>
    <row r="123" customFormat="false" ht="12.75" hidden="false" customHeight="false" outlineLevel="0" collapsed="false">
      <c r="A123" s="49" t="s">
        <v>271</v>
      </c>
      <c r="B123" s="110" t="e">
        <f aca="false" t="array" ref="B123:B123">_xll.rdp.data(A123,"CF_BID")</f>
        <v>#NAME?</v>
      </c>
      <c r="C123" s="110" t="e">
        <f aca="false" t="array" ref="C123:C123">_xll.rdp.data(A123,"CF_ASK")</f>
        <v>#NAME?</v>
      </c>
      <c r="D123" s="339" t="e">
        <f aca="false">(B123+C123)/2</f>
        <v>#NAME?</v>
      </c>
      <c r="E123" s="340" t="n">
        <v>0</v>
      </c>
      <c r="F123" s="340" t="n">
        <v>0</v>
      </c>
      <c r="G123" s="340" t="e">
        <f aca="false">IF(#REF!=0,0,IF(#REF!&gt;0,E123*#REF!*100,F123*#REF!*100))</f>
        <v>#REF!</v>
      </c>
      <c r="H123" s="30" t="n">
        <v>27.545</v>
      </c>
      <c r="I123" s="30" t="n">
        <f aca="false">E123*(1+H123)</f>
        <v>0</v>
      </c>
      <c r="K123" s="110" t="e">
        <f aca="false">_xll.rdp.data(A123,"TR.WACCBeta")</f>
        <v>#NAME?</v>
      </c>
    </row>
    <row r="124" customFormat="false" ht="12.75" hidden="false" customHeight="false" outlineLevel="0" collapsed="false">
      <c r="A124" s="49" t="s">
        <v>272</v>
      </c>
      <c r="B124" s="110" t="e">
        <f aca="false" t="array" ref="B124:B124">_xll.rdp.data(A124,"CF_BID")</f>
        <v>#NAME?</v>
      </c>
      <c r="C124" s="110" t="e">
        <f aca="false" t="array" ref="C124:C124">_xll.rdp.data(A124,"CF_ASK")</f>
        <v>#NAME?</v>
      </c>
      <c r="D124" s="339" t="e">
        <f aca="false">(B124+C124)/2</f>
        <v>#NAME?</v>
      </c>
      <c r="E124" s="340" t="n">
        <v>0</v>
      </c>
      <c r="F124" s="340" t="n">
        <v>0</v>
      </c>
      <c r="G124" s="340" t="e">
        <f aca="false">IF(#REF!=0,0,IF(#REF!&gt;0,E124*#REF!*100,F124*#REF!*100))</f>
        <v>#REF!</v>
      </c>
      <c r="H124" s="30" t="n">
        <v>99.385</v>
      </c>
      <c r="I124" s="30" t="n">
        <f aca="false">E124*(1+H124)</f>
        <v>0</v>
      </c>
      <c r="K124" s="110" t="e">
        <f aca="false">_xll.rdp.data(A124,"TR.WACCBeta")</f>
        <v>#NAME?</v>
      </c>
    </row>
    <row r="125" customFormat="false" ht="12.75" hidden="false" customHeight="false" outlineLevel="0" collapsed="false">
      <c r="A125" s="49" t="s">
        <v>273</v>
      </c>
      <c r="B125" s="110" t="e">
        <f aca="false" t="array" ref="B125:B125">_xll.rdp.data(A125,"CF_BID")</f>
        <v>#NAME?</v>
      </c>
      <c r="C125" s="110" t="e">
        <f aca="false" t="array" ref="C125:C125">_xll.rdp.data(A125,"CF_ASK")</f>
        <v>#NAME?</v>
      </c>
      <c r="D125" s="339" t="e">
        <f aca="false">(B125+C125)/2</f>
        <v>#NAME?</v>
      </c>
      <c r="E125" s="340" t="n">
        <v>0</v>
      </c>
      <c r="F125" s="340" t="n">
        <v>0</v>
      </c>
      <c r="G125" s="340" t="e">
        <f aca="false">IF(#REF!=0,0,IF(#REF!&gt;0,E125*#REF!*100,F125*#REF!*100))</f>
        <v>#REF!</v>
      </c>
      <c r="H125" s="30" t="n">
        <v>24.015</v>
      </c>
      <c r="I125" s="30" t="n">
        <f aca="false">E125*(1+H125)</f>
        <v>0</v>
      </c>
      <c r="K125" s="110" t="e">
        <f aca="false">_xll.rdp.data(A125,"TR.WACCBeta")</f>
        <v>#NAME?</v>
      </c>
    </row>
    <row r="126" customFormat="false" ht="12.75" hidden="false" customHeight="false" outlineLevel="0" collapsed="false">
      <c r="A126" s="49" t="s">
        <v>274</v>
      </c>
      <c r="B126" s="110" t="e">
        <f aca="false" t="array" ref="B126:B126">_xll.rdp.data(A126,"CF_BID")</f>
        <v>#NAME?</v>
      </c>
      <c r="C126" s="110" t="e">
        <f aca="false" t="array" ref="C126:C126">_xll.rdp.data(A126,"CF_ASK")</f>
        <v>#NAME?</v>
      </c>
      <c r="D126" s="339" t="e">
        <f aca="false">(B126+C126)/2</f>
        <v>#NAME?</v>
      </c>
      <c r="E126" s="340" t="n">
        <v>0</v>
      </c>
      <c r="F126" s="340" t="n">
        <v>0</v>
      </c>
      <c r="G126" s="340" t="e">
        <f aca="false">IF(#REF!=0,0,IF(#REF!&gt;0,E126*#REF!*100,F126*#REF!*100))</f>
        <v>#REF!</v>
      </c>
      <c r="H126" s="30" t="n">
        <v>33.3</v>
      </c>
      <c r="I126" s="30" t="n">
        <f aca="false">E126*(1+H126)</f>
        <v>0</v>
      </c>
      <c r="K126" s="110" t="e">
        <f aca="false">_xll.rdp.data(A126,"TR.WACCBeta")</f>
        <v>#NAME?</v>
      </c>
    </row>
    <row r="127" customFormat="false" ht="12.75" hidden="false" customHeight="false" outlineLevel="0" collapsed="false">
      <c r="A127" s="49" t="s">
        <v>275</v>
      </c>
      <c r="B127" s="110" t="e">
        <f aca="false" t="array" ref="B127:B127">_xll.rdp.data(A127,"CF_BID")</f>
        <v>#NAME?</v>
      </c>
      <c r="C127" s="110" t="e">
        <f aca="false" t="array" ref="C127:C127">_xll.rdp.data(A127,"CF_ASK")</f>
        <v>#NAME?</v>
      </c>
      <c r="D127" s="339" t="e">
        <f aca="false">(B127+C127)/2</f>
        <v>#NAME?</v>
      </c>
      <c r="E127" s="340" t="n">
        <v>0</v>
      </c>
      <c r="F127" s="340" t="n">
        <v>0</v>
      </c>
      <c r="G127" s="340" t="e">
        <f aca="false">IF(#REF!=0,0,IF(#REF!&gt;0,E127*#REF!*100,F127*#REF!*100))</f>
        <v>#REF!</v>
      </c>
      <c r="H127" s="30" t="n">
        <v>55.37</v>
      </c>
      <c r="I127" s="30" t="n">
        <f aca="false">E127*(1+H127)</f>
        <v>0</v>
      </c>
      <c r="K127" s="110" t="e">
        <f aca="false">_xll.rdp.data(A127,"TR.WACCBeta")</f>
        <v>#NAME?</v>
      </c>
    </row>
    <row r="128" customFormat="false" ht="12.75" hidden="false" customHeight="false" outlineLevel="0" collapsed="false">
      <c r="A128" s="49" t="s">
        <v>276</v>
      </c>
      <c r="B128" s="110" t="e">
        <f aca="false" t="array" ref="B128:B128">_xll.rdp.data(A128,"CF_BID")</f>
        <v>#NAME?</v>
      </c>
      <c r="C128" s="110" t="e">
        <f aca="false" t="array" ref="C128:C128">_xll.rdp.data(A128,"CF_ASK")</f>
        <v>#NAME?</v>
      </c>
      <c r="D128" s="339" t="e">
        <f aca="false">(B128+C128)/2</f>
        <v>#NAME?</v>
      </c>
      <c r="E128" s="340" t="n">
        <v>0</v>
      </c>
      <c r="F128" s="340" t="n">
        <v>0</v>
      </c>
      <c r="G128" s="340" t="e">
        <f aca="false">IF(#REF!=0,0,IF(#REF!&gt;0,E128*#REF!*100,F128*#REF!*100))</f>
        <v>#REF!</v>
      </c>
      <c r="H128" s="30" t="n">
        <v>71.095</v>
      </c>
      <c r="I128" s="30" t="n">
        <f aca="false">E128*(1+H128)</f>
        <v>0</v>
      </c>
      <c r="K128" s="110" t="e">
        <f aca="false">_xll.rdp.data(A128,"TR.WACCBeta")</f>
        <v>#NAME?</v>
      </c>
    </row>
    <row r="129" customFormat="false" ht="12.75" hidden="false" customHeight="false" outlineLevel="0" collapsed="false">
      <c r="A129" s="49" t="s">
        <v>277</v>
      </c>
      <c r="B129" s="110" t="e">
        <f aca="false" t="array" ref="B129:B129">_xll.rdp.data(A129,"CF_BID")</f>
        <v>#NAME?</v>
      </c>
      <c r="C129" s="110" t="e">
        <f aca="false" t="array" ref="C129:C129">_xll.rdp.data(A129,"CF_ASK")</f>
        <v>#NAME?</v>
      </c>
      <c r="D129" s="339" t="e">
        <f aca="false">(B129+C129)/2</f>
        <v>#NAME?</v>
      </c>
      <c r="E129" s="340" t="n">
        <v>0</v>
      </c>
      <c r="F129" s="340" t="n">
        <v>0</v>
      </c>
      <c r="G129" s="340" t="e">
        <f aca="false">IF(#REF!=0,0,IF(#REF!&gt;0,E129*#REF!*100,F129*#REF!*100))</f>
        <v>#REF!</v>
      </c>
      <c r="H129" s="30" t="n">
        <v>6.415</v>
      </c>
      <c r="I129" s="30" t="n">
        <f aca="false">E129*(1+H129)</f>
        <v>0</v>
      </c>
      <c r="K129" s="110" t="e">
        <f aca="false">_xll.rdp.data(A129,"TR.WACCBeta")</f>
        <v>#NAME?</v>
      </c>
    </row>
    <row r="130" customFormat="false" ht="12.75" hidden="false" customHeight="false" outlineLevel="0" collapsed="false">
      <c r="A130" s="49" t="s">
        <v>278</v>
      </c>
      <c r="B130" s="110" t="e">
        <f aca="false" t="array" ref="B130:B130">_xll.rdp.data(A130,"CF_BID")</f>
        <v>#NAME?</v>
      </c>
      <c r="C130" s="110" t="e">
        <f aca="false" t="array" ref="C130:C130">_xll.rdp.data(A130,"CF_ASK")</f>
        <v>#NAME?</v>
      </c>
      <c r="D130" s="339" t="e">
        <f aca="false">(B130+C130)/2</f>
        <v>#NAME?</v>
      </c>
      <c r="E130" s="340" t="n">
        <v>0</v>
      </c>
      <c r="F130" s="340" t="n">
        <v>0</v>
      </c>
      <c r="G130" s="340" t="e">
        <f aca="false">IF(#REF!=0,0,IF(#REF!&gt;0,E130*#REF!*100,F130*#REF!*100))</f>
        <v>#REF!</v>
      </c>
      <c r="H130" s="30" t="n">
        <v>132.46</v>
      </c>
      <c r="I130" s="30" t="n">
        <f aca="false">E130*(1+H130)</f>
        <v>0</v>
      </c>
      <c r="K130" s="110" t="e">
        <f aca="false">_xll.rdp.data(A130,"TR.WACCBeta")</f>
        <v>#NAME?</v>
      </c>
    </row>
    <row r="131" customFormat="false" ht="12.75" hidden="false" customHeight="false" outlineLevel="0" collapsed="false">
      <c r="A131" s="49"/>
      <c r="B131" s="110" t="e">
        <f aca="false" t="array" ref="B131:B131">_xll.rdp.data(A131,"CF_BID")</f>
        <v>#NAME?</v>
      </c>
      <c r="C131" s="110" t="e">
        <f aca="false" t="array" ref="C131:C131">_xll.rdp.data(A131,"CF_ASK")</f>
        <v>#NAME?</v>
      </c>
      <c r="D131" s="339" t="e">
        <f aca="false">(B131+C131)/2</f>
        <v>#NAME?</v>
      </c>
      <c r="E131" s="340" t="n">
        <v>0</v>
      </c>
      <c r="F131" s="340" t="n">
        <v>0</v>
      </c>
      <c r="G131" s="340" t="e">
        <f aca="false">IF(#REF!=0,0,IF(#REF!&gt;0,E131*#REF!*100,F131*#REF!*100))</f>
        <v>#REF!</v>
      </c>
      <c r="H131" s="30" t="e">
        <f aca="false">#VALUE!</f>
        <v>#VALUE!</v>
      </c>
      <c r="I131" s="30" t="e">
        <f aca="false">E131*(1+H131)</f>
        <v>#VALUE!</v>
      </c>
      <c r="K131" s="110" t="e">
        <f aca="false">_xll.rdp.data(A131,"TR.WACCBeta")</f>
        <v>#NAME?</v>
      </c>
    </row>
    <row r="132" customFormat="false" ht="12.75" hidden="false" customHeight="false" outlineLevel="0" collapsed="false">
      <c r="A132" s="49" t="s">
        <v>279</v>
      </c>
      <c r="B132" s="110" t="e">
        <f aca="false" t="array" ref="B132:B132">_xll.rdp.data(A132,"CF_BID")</f>
        <v>#NAME?</v>
      </c>
      <c r="C132" s="110" t="e">
        <f aca="false" t="array" ref="C132:C132">_xll.rdp.data(A132,"CF_ASK")</f>
        <v>#NAME?</v>
      </c>
      <c r="D132" s="339" t="e">
        <f aca="false">(B132+C132)/2</f>
        <v>#NAME?</v>
      </c>
      <c r="E132" s="340" t="n">
        <v>0</v>
      </c>
      <c r="F132" s="340" t="n">
        <v>0</v>
      </c>
      <c r="G132" s="340" t="e">
        <f aca="false">IF(#REF!=0,0,IF(#REF!&gt;0,E132*#REF!*100,F132*#REF!*100))</f>
        <v>#REF!</v>
      </c>
      <c r="H132" s="30" t="n">
        <v>202.73</v>
      </c>
      <c r="I132" s="30" t="n">
        <f aca="false">E132*(1+H132)</f>
        <v>0</v>
      </c>
      <c r="K132" s="110" t="e">
        <f aca="false">_xll.rdp.data(A132,"TR.WACCBeta")</f>
        <v>#NAME?</v>
      </c>
    </row>
    <row r="133" customFormat="false" ht="12.75" hidden="false" customHeight="false" outlineLevel="0" collapsed="false">
      <c r="A133" s="49" t="s">
        <v>280</v>
      </c>
      <c r="B133" s="110" t="e">
        <f aca="false" t="array" ref="B133:B133">_xll.rdp.data(A133,"CF_BID")</f>
        <v>#NAME?</v>
      </c>
      <c r="C133" s="110" t="e">
        <f aca="false" t="array" ref="C133:C133">_xll.rdp.data(A133,"CF_ASK")</f>
        <v>#NAME?</v>
      </c>
      <c r="D133" s="339" t="e">
        <f aca="false">(B133+C133)/2</f>
        <v>#NAME?</v>
      </c>
      <c r="E133" s="340" t="n">
        <v>0</v>
      </c>
      <c r="F133" s="340" t="n">
        <v>0</v>
      </c>
      <c r="G133" s="340" t="e">
        <f aca="false">IF(#REF!=0,0,IF(#REF!&gt;0,E133*#REF!*100,F133*#REF!*100))</f>
        <v>#REF!</v>
      </c>
      <c r="H133" s="30" t="n">
        <v>188.33</v>
      </c>
      <c r="I133" s="30" t="n">
        <f aca="false">E133*(1+H133)</f>
        <v>0</v>
      </c>
      <c r="K133" s="110" t="e">
        <f aca="false">_xll.rdp.data(A133,"TR.WACCBeta")</f>
        <v>#NAME?</v>
      </c>
    </row>
    <row r="134" customFormat="false" ht="12.75" hidden="false" customHeight="false" outlineLevel="0" collapsed="false">
      <c r="A134" s="49" t="s">
        <v>281</v>
      </c>
      <c r="B134" s="110" t="e">
        <f aca="false" t="array" ref="B134:B134">_xll.rdp.data(A134,"CF_BID")</f>
        <v>#NAME?</v>
      </c>
      <c r="C134" s="110" t="e">
        <f aca="false" t="array" ref="C134:C134">_xll.rdp.data(A134,"CF_ASK")</f>
        <v>#NAME?</v>
      </c>
      <c r="D134" s="339" t="e">
        <f aca="false">(B134+C134)/2</f>
        <v>#NAME?</v>
      </c>
      <c r="E134" s="340" t="n">
        <v>0</v>
      </c>
      <c r="F134" s="340" t="n">
        <v>0</v>
      </c>
      <c r="G134" s="340" t="e">
        <f aca="false">IF(#REF!=0,0,IF(#REF!&gt;0,E134*#REF!*100,F134*#REF!*100))</f>
        <v>#REF!</v>
      </c>
      <c r="H134" s="30" t="n">
        <v>199.61</v>
      </c>
      <c r="I134" s="30" t="n">
        <f aca="false">E134*(1+H134)</f>
        <v>0</v>
      </c>
      <c r="K134" s="110" t="e">
        <f aca="false">_xll.rdp.data(A134,"TR.WACCBeta")</f>
        <v>#NAME?</v>
      </c>
    </row>
    <row r="135" customFormat="false" ht="12.75" hidden="false" customHeight="false" outlineLevel="0" collapsed="false">
      <c r="A135" s="49"/>
      <c r="B135" s="110" t="e">
        <f aca="false" t="array" ref="B135:B135">_xll.rdp.data(A135,"CF_BID")</f>
        <v>#NAME?</v>
      </c>
      <c r="C135" s="110" t="e">
        <f aca="false" t="array" ref="C135:C135">_xll.rdp.data(A135,"CF_ASK")</f>
        <v>#NAME?</v>
      </c>
      <c r="D135" s="339" t="e">
        <f aca="false">(B135+C135)/2</f>
        <v>#NAME?</v>
      </c>
      <c r="E135" s="340" t="n">
        <v>0</v>
      </c>
      <c r="F135" s="340" t="n">
        <v>0</v>
      </c>
      <c r="G135" s="340" t="e">
        <f aca="false">IF(#REF!=0,0,IF(#REF!&gt;0,E135*#REF!*100,F135*#REF!*100))</f>
        <v>#REF!</v>
      </c>
      <c r="H135" s="30" t="e">
        <f aca="false">#VALUE!</f>
        <v>#VALUE!</v>
      </c>
      <c r="I135" s="30" t="e">
        <f aca="false">E135*(1+H135)</f>
        <v>#VALUE!</v>
      </c>
      <c r="K135" s="110" t="e">
        <f aca="false">_xll.rdp.data(A135,"TR.WACCBeta")</f>
        <v>#NAME?</v>
      </c>
    </row>
    <row r="136" customFormat="false" ht="12.75" hidden="false" customHeight="false" outlineLevel="0" collapsed="false">
      <c r="A136" s="49"/>
      <c r="B136" s="110" t="e">
        <f aca="false" t="array" ref="B136:B136">_xll.rdp.data(A136,"CF_BID")</f>
        <v>#NAME?</v>
      </c>
      <c r="C136" s="110" t="e">
        <f aca="false" t="array" ref="C136:C136">_xll.rdp.data(A136,"CF_ASK")</f>
        <v>#NAME?</v>
      </c>
      <c r="D136" s="339" t="e">
        <f aca="false">(B136+C136)/2</f>
        <v>#NAME?</v>
      </c>
      <c r="E136" s="340" t="n">
        <v>0</v>
      </c>
      <c r="F136" s="340" t="n">
        <v>0</v>
      </c>
      <c r="G136" s="340" t="e">
        <f aca="false">IF(#REF!=0,0,IF(#REF!&gt;0,E136*#REF!*100,F136*#REF!*100))</f>
        <v>#REF!</v>
      </c>
      <c r="H136" s="30" t="e">
        <f aca="false">#VALUE!</f>
        <v>#VALUE!</v>
      </c>
      <c r="I136" s="30" t="e">
        <f aca="false">E136*(1+H136)</f>
        <v>#VALUE!</v>
      </c>
      <c r="K136" s="110" t="e">
        <f aca="false">_xll.rdp.data(A136,"TR.WACCBeta")</f>
        <v>#NAME?</v>
      </c>
    </row>
    <row r="137" customFormat="false" ht="12.75" hidden="false" customHeight="false" outlineLevel="0" collapsed="false">
      <c r="A137" s="49"/>
      <c r="B137" s="110" t="e">
        <f aca="false" t="array" ref="B137:B137">_xll.rdp.data(A137,"CF_BID")</f>
        <v>#NAME?</v>
      </c>
      <c r="C137" s="110" t="e">
        <f aca="false" t="array" ref="C137:C137">_xll.rdp.data(A137,"CF_ASK")</f>
        <v>#NAME?</v>
      </c>
      <c r="D137" s="339" t="e">
        <f aca="false">(B137+C137)/2</f>
        <v>#NAME?</v>
      </c>
      <c r="E137" s="340" t="n">
        <v>0</v>
      </c>
      <c r="F137" s="340" t="n">
        <v>0</v>
      </c>
      <c r="G137" s="340" t="e">
        <f aca="false">IF(#REF!=0,0,IF(#REF!&gt;0,E137*#REF!*100,F137*#REF!*100))</f>
        <v>#REF!</v>
      </c>
      <c r="H137" s="30" t="e">
        <f aca="false">#VALUE!</f>
        <v>#VALUE!</v>
      </c>
      <c r="I137" s="30" t="e">
        <f aca="false">E137*(1+H137)</f>
        <v>#VALUE!</v>
      </c>
      <c r="K137" s="110" t="e">
        <f aca="false">_xll.rdp.data(A137,"TR.WACCBeta")</f>
        <v>#NAME?</v>
      </c>
    </row>
    <row r="138" customFormat="false" ht="12.75" hidden="false" customHeight="false" outlineLevel="0" collapsed="false">
      <c r="A138" s="49" t="s">
        <v>282</v>
      </c>
      <c r="B138" s="110" t="e">
        <f aca="false" t="array" ref="B138:B138">_xll.rdp.data(A138,"CF_BID")</f>
        <v>#NAME?</v>
      </c>
      <c r="C138" s="110" t="e">
        <f aca="false" t="array" ref="C138:C138">_xll.rdp.data(A138,"CF_ASK")</f>
        <v>#NAME?</v>
      </c>
      <c r="D138" s="339" t="e">
        <f aca="false">(B138+C138)/2</f>
        <v>#NAME?</v>
      </c>
      <c r="E138" s="340" t="n">
        <v>0</v>
      </c>
      <c r="F138" s="340" t="n">
        <v>0</v>
      </c>
      <c r="G138" s="340" t="e">
        <f aca="false">IF(#REF!=0,0,IF(#REF!&gt;0,E138*#REF!*100,F138*#REF!*100))</f>
        <v>#REF!</v>
      </c>
      <c r="H138" s="30" t="n">
        <v>81.645</v>
      </c>
      <c r="I138" s="30" t="n">
        <f aca="false">E138*(1+H138)</f>
        <v>0</v>
      </c>
      <c r="K138" s="110" t="e">
        <f aca="false">_xll.rdp.data(A138,"TR.WACCBeta")</f>
        <v>#NAME?</v>
      </c>
    </row>
    <row r="139" customFormat="false" ht="12.75" hidden="false" customHeight="false" outlineLevel="0" collapsed="false">
      <c r="A139" s="49" t="s">
        <v>283</v>
      </c>
      <c r="B139" s="110" t="e">
        <f aca="false" t="array" ref="B139:B139">_xll.rdp.data(A139,"CF_BID")</f>
        <v>#NAME?</v>
      </c>
      <c r="C139" s="110" t="e">
        <f aca="false" t="array" ref="C139:C139">_xll.rdp.data(A139,"CF_ASK")</f>
        <v>#NAME?</v>
      </c>
      <c r="D139" s="339" t="e">
        <f aca="false">(B139+C139)/2</f>
        <v>#NAME?</v>
      </c>
      <c r="E139" s="340" t="n">
        <v>0</v>
      </c>
      <c r="F139" s="340" t="n">
        <v>0</v>
      </c>
      <c r="G139" s="340" t="e">
        <f aca="false">IF(#REF!=0,0,IF(#REF!&gt;0,E139*#REF!*100,F139*#REF!*100))</f>
        <v>#REF!</v>
      </c>
      <c r="H139" s="30" t="e">
        <f aca="false">#VALUE!</f>
        <v>#VALUE!</v>
      </c>
      <c r="I139" s="30" t="e">
        <f aca="false">E139*(1+H139)</f>
        <v>#VALUE!</v>
      </c>
      <c r="K139" s="110" t="e">
        <f aca="false">_xll.rdp.data(A139,"TR.WACCBeta")</f>
        <v>#NAME?</v>
      </c>
    </row>
    <row r="140" customFormat="false" ht="12.75" hidden="false" customHeight="false" outlineLevel="0" collapsed="false">
      <c r="A140" s="49" t="s">
        <v>192</v>
      </c>
      <c r="B140" s="110" t="e">
        <f aca="false" t="array" ref="B140:B140">_xll.rdp.data(A140,"CF_BID")</f>
        <v>#NAME?</v>
      </c>
      <c r="C140" s="110" t="e">
        <f aca="false" t="array" ref="C140:C140">_xll.rdp.data(A140,"CF_ASK")</f>
        <v>#NAME?</v>
      </c>
      <c r="D140" s="339" t="e">
        <f aca="false">(B140+C140)/2</f>
        <v>#NAME?</v>
      </c>
      <c r="E140" s="340" t="n">
        <v>0</v>
      </c>
      <c r="F140" s="340" t="n">
        <v>0</v>
      </c>
      <c r="G140" s="340" t="e">
        <f aca="false">IF(#REF!=0,0,IF(#REF!&gt;0,E140*#REF!*100,F140*#REF!*100))</f>
        <v>#REF!</v>
      </c>
      <c r="H140" s="30" t="n">
        <v>0.6472</v>
      </c>
      <c r="I140" s="30" t="n">
        <f aca="false">E140*(1+H140)</f>
        <v>0</v>
      </c>
      <c r="K140" s="110" t="e">
        <f aca="false">_xll.rdp.data(A140,"TR.WACCBeta")</f>
        <v>#NAME?</v>
      </c>
    </row>
    <row r="141" customFormat="false" ht="12.75" hidden="false" customHeight="false" outlineLevel="0" collapsed="false">
      <c r="A141" s="49" t="s">
        <v>284</v>
      </c>
      <c r="B141" s="110" t="e">
        <f aca="false" t="array" ref="B141:B141">_xll.rdp.data(A141,"CF_BID")</f>
        <v>#NAME?</v>
      </c>
      <c r="C141" s="110" t="e">
        <f aca="false" t="array" ref="C141:C141">_xll.rdp.data(A141,"CF_ASK")</f>
        <v>#NAME?</v>
      </c>
      <c r="D141" s="339" t="e">
        <f aca="false">(B141+C141)/2</f>
        <v>#NAME?</v>
      </c>
      <c r="E141" s="340" t="n">
        <v>0</v>
      </c>
      <c r="F141" s="340" t="n">
        <v>0</v>
      </c>
      <c r="G141" s="340" t="e">
        <f aca="false">IF(#REF!=0,0,IF(#REF!&gt;0,E141*#REF!*100,F141*#REF!*100))</f>
        <v>#REF!</v>
      </c>
      <c r="H141" s="30" t="n">
        <v>136.94</v>
      </c>
      <c r="I141" s="30" t="n">
        <f aca="false">E141*(1+H141)</f>
        <v>0</v>
      </c>
      <c r="K141" s="110" t="e">
        <f aca="false">_xll.rdp.data(A141,"TR.WACCBeta")</f>
        <v>#NAME?</v>
      </c>
    </row>
    <row r="142" customFormat="false" ht="12.75" hidden="false" customHeight="false" outlineLevel="0" collapsed="false">
      <c r="A142" s="49" t="s">
        <v>285</v>
      </c>
      <c r="B142" s="110" t="e">
        <f aca="false" t="array" ref="B142:B142">_xll.rdp.data(A142,"CF_BID")</f>
        <v>#NAME?</v>
      </c>
      <c r="C142" s="110" t="e">
        <f aca="false" t="array" ref="C142:C142">_xll.rdp.data(A142,"CF_ASK")</f>
        <v>#NAME?</v>
      </c>
      <c r="D142" s="339" t="e">
        <f aca="false">(B142+C142)/2</f>
        <v>#NAME?</v>
      </c>
      <c r="E142" s="340" t="n">
        <v>0</v>
      </c>
      <c r="F142" s="340" t="n">
        <v>0</v>
      </c>
      <c r="G142" s="340" t="e">
        <f aca="false">IF(#REF!=0,0,IF(#REF!&gt;0,E142*#REF!*100,F142*#REF!*100))</f>
        <v>#REF!</v>
      </c>
      <c r="H142" s="30" t="n">
        <v>77.295</v>
      </c>
      <c r="I142" s="30" t="n">
        <f aca="false">E142*(1+H142)</f>
        <v>0</v>
      </c>
      <c r="K142" s="110" t="e">
        <f aca="false">_xll.rdp.data(A142,"TR.WACCBeta")</f>
        <v>#NAME?</v>
      </c>
    </row>
    <row r="143" customFormat="false" ht="12.75" hidden="false" customHeight="false" outlineLevel="0" collapsed="false">
      <c r="A143" s="49"/>
      <c r="B143" s="110" t="e">
        <f aca="false" t="array" ref="B143:B143">_xll.rdp.data(A143,"CF_BID")</f>
        <v>#NAME?</v>
      </c>
      <c r="C143" s="110" t="e">
        <f aca="false" t="array" ref="C143:C143">_xll.rdp.data(A143,"CF_ASK")</f>
        <v>#NAME?</v>
      </c>
      <c r="D143" s="339" t="e">
        <f aca="false">(B143+C143)/2</f>
        <v>#NAME?</v>
      </c>
      <c r="E143" s="340" t="n">
        <v>0</v>
      </c>
      <c r="F143" s="340" t="n">
        <v>0</v>
      </c>
      <c r="G143" s="340" t="e">
        <f aca="false">IF(#REF!=0,0,IF(#REF!&gt;0,E143*#REF!*100,F143*#REF!*100))</f>
        <v>#REF!</v>
      </c>
      <c r="H143" s="30" t="e">
        <f aca="false">#VALUE!</f>
        <v>#VALUE!</v>
      </c>
      <c r="I143" s="30" t="e">
        <f aca="false">E143*(1+H143)</f>
        <v>#VALUE!</v>
      </c>
      <c r="K143" s="110" t="e">
        <f aca="false">_xll.rdp.data(A143,"TR.WACCBeta")</f>
        <v>#NAME?</v>
      </c>
    </row>
    <row r="144" customFormat="false" ht="12.75" hidden="false" customHeight="false" outlineLevel="0" collapsed="false">
      <c r="A144" s="49" t="s">
        <v>286</v>
      </c>
      <c r="B144" s="110" t="e">
        <f aca="false" t="array" ref="B144:B144">_xll.rdp.data(A144,"CF_BID")</f>
        <v>#NAME?</v>
      </c>
      <c r="C144" s="110" t="e">
        <f aca="false" t="array" ref="C144:C144">_xll.rdp.data(A144,"CF_ASK")</f>
        <v>#NAME?</v>
      </c>
      <c r="D144" s="339" t="e">
        <f aca="false">(B144+C144)/2</f>
        <v>#NAME?</v>
      </c>
      <c r="E144" s="340" t="n">
        <v>0</v>
      </c>
      <c r="F144" s="340" t="n">
        <v>0</v>
      </c>
      <c r="G144" s="340" t="e">
        <f aca="false">IF(#REF!=0,0,IF(#REF!&gt;0,E144*#REF!*100,F144*#REF!*100))</f>
        <v>#REF!</v>
      </c>
      <c r="H144" s="30" t="n">
        <v>16.055</v>
      </c>
      <c r="I144" s="30" t="n">
        <f aca="false">E144*(1+H144)</f>
        <v>0</v>
      </c>
      <c r="K144" s="110" t="e">
        <f aca="false">_xll.rdp.data(A144,"TR.WACCBeta")</f>
        <v>#NAME?</v>
      </c>
    </row>
    <row r="145" customFormat="false" ht="12.75" hidden="false" customHeight="false" outlineLevel="0" collapsed="false">
      <c r="A145" s="49" t="s">
        <v>287</v>
      </c>
      <c r="B145" s="110" t="e">
        <f aca="false" t="array" ref="B145:B145">_xll.rdp.data(A145,"CF_BID")</f>
        <v>#NAME?</v>
      </c>
      <c r="C145" s="110" t="e">
        <f aca="false" t="array" ref="C145:C145">_xll.rdp.data(A145,"CF_ASK")</f>
        <v>#NAME?</v>
      </c>
      <c r="D145" s="339" t="e">
        <f aca="false">(B145+C145)/2</f>
        <v>#NAME?</v>
      </c>
      <c r="E145" s="340" t="n">
        <v>0</v>
      </c>
      <c r="F145" s="340" t="n">
        <v>0</v>
      </c>
      <c r="G145" s="340" t="e">
        <f aca="false">IF(#REF!=0,0,IF(#REF!&gt;0,E145*#REF!*100,F145*#REF!*100))</f>
        <v>#REF!</v>
      </c>
      <c r="H145" s="30" t="n">
        <v>28.585</v>
      </c>
      <c r="I145" s="30" t="n">
        <f aca="false">E145*(1+H145)</f>
        <v>0</v>
      </c>
      <c r="K145" s="110" t="e">
        <f aca="false">_xll.rdp.data(A145,"TR.WACCBeta")</f>
        <v>#NAME?</v>
      </c>
    </row>
    <row r="146" customFormat="false" ht="12.75" hidden="false" customHeight="false" outlineLevel="0" collapsed="false">
      <c r="A146" s="0" t="s">
        <v>288</v>
      </c>
      <c r="B146" s="0" t="e">
        <f aca="false" t="array" ref="B146:B146">_xll.rdp.data(A146,"CF_BID")</f>
        <v>#NAME?</v>
      </c>
      <c r="C146" s="0" t="e">
        <f aca="false" t="array" ref="C146:C146">_xll.rdp.data(A146,"CF_ASK")</f>
        <v>#NAME?</v>
      </c>
      <c r="D146" s="339" t="e">
        <f aca="false">(B146+C146)/2</f>
        <v>#NAME?</v>
      </c>
      <c r="E146" s="340" t="n">
        <v>0</v>
      </c>
      <c r="F146" s="340" t="n">
        <v>0</v>
      </c>
      <c r="G146" s="340" t="e">
        <f aca="false">IF(#REF!=0,0,IF(#REF!&gt;0,E146*#REF!*100,F146*#REF!*100))</f>
        <v>#REF!</v>
      </c>
      <c r="H146" s="30" t="n">
        <v>28.925</v>
      </c>
      <c r="I146" s="30" t="n">
        <f aca="false">E146*(1+H146)</f>
        <v>0</v>
      </c>
      <c r="K146" s="110" t="e">
        <f aca="false">_xll.rdp.data(A146,"TR.WACCBeta")</f>
        <v>#NAME?</v>
      </c>
    </row>
    <row r="147" customFormat="false" ht="12.75" hidden="false" customHeight="false" outlineLevel="0" collapsed="false">
      <c r="A147" s="0" t="s">
        <v>289</v>
      </c>
      <c r="B147" s="0" t="e">
        <f aca="false" t="array" ref="B147:B147">_xll.rdp.data(A147,"CF_BID")</f>
        <v>#NAME?</v>
      </c>
      <c r="C147" s="0" t="e">
        <f aca="false" t="array" ref="C147:C147">_xll.rdp.data(A147,"CF_ASK")</f>
        <v>#NAME?</v>
      </c>
      <c r="D147" s="339" t="e">
        <f aca="false">(B147+C147)/2</f>
        <v>#NAME?</v>
      </c>
      <c r="E147" s="340" t="n">
        <v>0</v>
      </c>
      <c r="F147" s="340" t="n">
        <v>0</v>
      </c>
      <c r="G147" s="340" t="e">
        <f aca="false">IF(#REF!=0,0,IF(#REF!&gt;0,E147*#REF!*100,F147*#REF!*100))</f>
        <v>#REF!</v>
      </c>
      <c r="H147" s="30" t="n">
        <v>18.255</v>
      </c>
      <c r="I147" s="30" t="n">
        <f aca="false">E147*(1+H147)</f>
        <v>0</v>
      </c>
      <c r="K147" s="110" t="e">
        <f aca="false">_xll.rdp.data(A147,"TR.WACCBeta")</f>
        <v>#NAME?</v>
      </c>
    </row>
    <row r="148" customFormat="false" ht="12.75" hidden="false" customHeight="false" outlineLevel="0" collapsed="false">
      <c r="A148" s="0" t="s">
        <v>290</v>
      </c>
      <c r="B148" s="0" t="e">
        <f aca="false" t="array" ref="B148:B148">_xll.rdp.data(A148,"CF_BID")</f>
        <v>#NAME?</v>
      </c>
      <c r="C148" s="0" t="e">
        <f aca="false" t="array" ref="C148:C148">_xll.rdp.data(A148,"CF_ASK")</f>
        <v>#NAME?</v>
      </c>
      <c r="D148" s="339" t="e">
        <f aca="false">(B148+C148)/2</f>
        <v>#NAME?</v>
      </c>
      <c r="E148" s="340" t="n">
        <v>0</v>
      </c>
      <c r="F148" s="340" t="n">
        <v>0</v>
      </c>
      <c r="G148" s="340" t="e">
        <f aca="false">IF(#REF!=0,0,IF(#REF!&gt;0,E148*#REF!*100,F148*#REF!*100))</f>
        <v>#REF!</v>
      </c>
      <c r="H148" s="30" t="n">
        <v>71.705</v>
      </c>
      <c r="I148" s="30" t="n">
        <f aca="false">E148*(1+H148)</f>
        <v>0</v>
      </c>
      <c r="K148" s="110" t="e">
        <f aca="false">_xll.rdp.data(A148,"TR.WACCBeta")</f>
        <v>#NAME?</v>
      </c>
    </row>
    <row r="149" customFormat="false" ht="12.75" hidden="false" customHeight="false" outlineLevel="0" collapsed="false">
      <c r="A149" s="0" t="s">
        <v>291</v>
      </c>
      <c r="B149" s="0" t="e">
        <f aca="false" t="array" ref="B149:B149">_xll.rdp.data(A149,"CF_BID")</f>
        <v>#NAME?</v>
      </c>
      <c r="C149" s="0" t="e">
        <f aca="false" t="array" ref="C149:C149">_xll.rdp.data(A149,"CF_ASK")</f>
        <v>#NAME?</v>
      </c>
      <c r="D149" s="339" t="e">
        <f aca="false">(B149+C149)/2</f>
        <v>#NAME?</v>
      </c>
      <c r="E149" s="340" t="n">
        <v>0</v>
      </c>
      <c r="F149" s="340" t="n">
        <v>0</v>
      </c>
      <c r="G149" s="340" t="e">
        <f aca="false">IF(#REF!=0,0,IF(#REF!&gt;0,E149*#REF!*100,F149*#REF!*100))</f>
        <v>#REF!</v>
      </c>
      <c r="H149" s="30" t="n">
        <v>171.06</v>
      </c>
      <c r="I149" s="30" t="n">
        <f aca="false">E149*(1+H149)</f>
        <v>0</v>
      </c>
      <c r="K149" s="110" t="e">
        <f aca="false">_xll.rdp.data(A149,"TR.WACCBeta")</f>
        <v>#NAME?</v>
      </c>
    </row>
    <row r="150" customFormat="false" ht="12.75" hidden="false" customHeight="false" outlineLevel="0" collapsed="false">
      <c r="A150" s="0" t="s">
        <v>292</v>
      </c>
      <c r="B150" s="0" t="e">
        <f aca="false" t="array" ref="B150:B150">_xll.rdp.data(A150,"CF_BID")</f>
        <v>#NAME?</v>
      </c>
      <c r="C150" s="0" t="e">
        <f aca="false" t="array" ref="C150:C150">_xll.rdp.data(A150,"CF_ASK")</f>
        <v>#NAME?</v>
      </c>
      <c r="D150" s="339" t="e">
        <f aca="false">(B150+C150)/2</f>
        <v>#NAME?</v>
      </c>
      <c r="E150" s="340" t="n">
        <v>0</v>
      </c>
      <c r="F150" s="340" t="n">
        <v>0</v>
      </c>
      <c r="G150" s="340" t="e">
        <f aca="false">IF(#REF!=0,0,IF(#REF!&gt;0,E150*#REF!*100,F150*#REF!*100))</f>
        <v>#REF!</v>
      </c>
      <c r="H150" s="30" t="n">
        <v>5.065</v>
      </c>
      <c r="I150" s="30" t="n">
        <f aca="false">E150*(1+H150)</f>
        <v>0</v>
      </c>
      <c r="K150" s="110" t="e">
        <f aca="false">_xll.rdp.data(A150,"TR.WACCBeta")</f>
        <v>#NAME?</v>
      </c>
    </row>
    <row r="151" customFormat="false" ht="12.75" hidden="false" customHeight="false" outlineLevel="0" collapsed="false">
      <c r="A151" s="49" t="s">
        <v>293</v>
      </c>
      <c r="B151" s="110" t="e">
        <f aca="false" t="array" ref="B151:B151">_xll.rdp.data(A151,"CF_BID")</f>
        <v>#NAME?</v>
      </c>
      <c r="C151" s="110" t="e">
        <f aca="false" t="array" ref="C151:C151">_xll.rdp.data(A151,"CF_ASK")</f>
        <v>#NAME?</v>
      </c>
      <c r="D151" s="339" t="e">
        <f aca="false">(B151+C151)/2</f>
        <v>#NAME?</v>
      </c>
      <c r="E151" s="340" t="n">
        <v>0</v>
      </c>
      <c r="F151" s="340" t="n">
        <v>0</v>
      </c>
      <c r="G151" s="340" t="e">
        <f aca="false">IF(#REF!=0,0,IF(#REF!&gt;0,E151*#REF!*100,F151*#REF!*100))</f>
        <v>#REF!</v>
      </c>
      <c r="H151" s="30" t="n">
        <v>132.23</v>
      </c>
      <c r="I151" s="30" t="n">
        <f aca="false">E151*(1+H151)</f>
        <v>0</v>
      </c>
      <c r="K151" s="110" t="e">
        <f aca="false">_xll.rdp.data(A151,"TR.WACCBeta")</f>
        <v>#NAME?</v>
      </c>
    </row>
    <row r="152" customFormat="false" ht="12.75" hidden="false" customHeight="false" outlineLevel="0" collapsed="false">
      <c r="A152" s="49" t="s">
        <v>294</v>
      </c>
      <c r="B152" s="110" t="e">
        <f aca="false" t="array" ref="B152:B152">_xll.rdp.data(A152,"CF_BID")</f>
        <v>#NAME?</v>
      </c>
      <c r="C152" s="110" t="e">
        <f aca="false" t="array" ref="C152:C152">_xll.rdp.data(A152,"CF_ASK")</f>
        <v>#NAME?</v>
      </c>
      <c r="D152" s="339" t="e">
        <f aca="false">(B152+C152)/2</f>
        <v>#NAME?</v>
      </c>
      <c r="E152" s="340" t="n">
        <v>0</v>
      </c>
      <c r="F152" s="340" t="n">
        <v>0</v>
      </c>
      <c r="G152" s="340" t="e">
        <f aca="false">IF(#REF!=0,0,IF(#REF!&gt;0,E152*#REF!*100,F152*#REF!*100))</f>
        <v>#REF!</v>
      </c>
      <c r="H152" s="30" t="n">
        <v>81.615</v>
      </c>
      <c r="I152" s="30" t="n">
        <f aca="false">E152*(1+H152)</f>
        <v>0</v>
      </c>
      <c r="K152" s="110" t="e">
        <f aca="false">_xll.rdp.data(A152,"TR.WACCBeta")</f>
        <v>#NAME?</v>
      </c>
    </row>
    <row r="153" customFormat="false" ht="12.75" hidden="false" customHeight="false" outlineLevel="0" collapsed="false">
      <c r="A153" s="342"/>
      <c r="B153" s="110" t="e">
        <f aca="false" t="array" ref="B153:B153">_xll.rdp.data(A153,"CF_BID")</f>
        <v>#NAME?</v>
      </c>
      <c r="C153" s="110" t="e">
        <f aca="false" t="array" ref="C153:C153">_xll.rdp.data(A153,"CF_ASK")</f>
        <v>#NAME?</v>
      </c>
      <c r="D153" s="339" t="e">
        <f aca="false">(B153+C153)/2</f>
        <v>#NAME?</v>
      </c>
      <c r="E153" s="340" t="n">
        <v>0</v>
      </c>
      <c r="F153" s="340" t="n">
        <v>0</v>
      </c>
      <c r="G153" s="340" t="e">
        <f aca="false">IF(#REF!=0,0,IF(#REF!&gt;0,E153*#REF!*100,F153*#REF!*100))</f>
        <v>#REF!</v>
      </c>
      <c r="H153" s="30" t="e">
        <f aca="false">#VALUE!</f>
        <v>#VALUE!</v>
      </c>
      <c r="I153" s="30" t="e">
        <f aca="false">E153*(1+H153)</f>
        <v>#VALUE!</v>
      </c>
      <c r="K153" s="110" t="e">
        <f aca="false">_xll.rdp.data(A153,"TR.WACCBeta")</f>
        <v>#NAME?</v>
      </c>
    </row>
    <row r="154" customFormat="false" ht="12.75" hidden="false" customHeight="false" outlineLevel="0" collapsed="false">
      <c r="A154" s="343" t="s">
        <v>295</v>
      </c>
      <c r="B154" s="110" t="e">
        <f aca="false" t="array" ref="B154:B154">_xll.rdp.data(A154,"CF_BID")</f>
        <v>#NAME?</v>
      </c>
      <c r="C154" s="110" t="e">
        <f aca="false" t="array" ref="C154:C154">_xll.rdp.data(A154,"CF_ASK")</f>
        <v>#NAME?</v>
      </c>
      <c r="D154" s="339" t="e">
        <f aca="false">(B154+C154)/2</f>
        <v>#NAME?</v>
      </c>
      <c r="E154" s="340" t="n">
        <v>0.0118</v>
      </c>
      <c r="F154" s="340" t="n">
        <v>0.0118</v>
      </c>
      <c r="G154" s="340" t="e">
        <f aca="false">IF(#REF!=0,0,IF(#REF!&gt;0,E154*#REF!*100,F154*#REF!*100))</f>
        <v>#REF!</v>
      </c>
      <c r="H154" s="30" t="n">
        <v>611.135</v>
      </c>
      <c r="I154" s="30" t="n">
        <f aca="false">E154*(1+H154)</f>
        <v>7.223193</v>
      </c>
      <c r="K154" s="110" t="e">
        <f aca="false">_xll.rdp.data(A154,"TR.WACCBeta")</f>
        <v>#NAME?</v>
      </c>
    </row>
    <row r="155" customFormat="false" ht="12.75" hidden="false" customHeight="false" outlineLevel="0" collapsed="false">
      <c r="A155" s="49" t="s">
        <v>230</v>
      </c>
      <c r="B155" s="110" t="e">
        <f aca="false" t="array" ref="B155:B155">_xll.rdp.data(A155,"CF_BID")</f>
        <v>#NAME?</v>
      </c>
      <c r="C155" s="110" t="e">
        <f aca="false" t="array" ref="C155:C155">_xll.rdp.data(A155,"CF_ASK")</f>
        <v>#NAME?</v>
      </c>
      <c r="D155" s="339" t="e">
        <f aca="false">(B155+C155)/2</f>
        <v>#NAME?</v>
      </c>
      <c r="E155" s="340" t="n">
        <v>0</v>
      </c>
      <c r="F155" s="340" t="n">
        <v>0</v>
      </c>
      <c r="G155" s="340" t="e">
        <f aca="false">IF(#REF!=0,0,IF(#REF!&gt;0,E155*#REF!*100,F155*#REF!*100))</f>
        <v>#REF!</v>
      </c>
      <c r="H155" s="30" t="n">
        <v>66.955</v>
      </c>
      <c r="I155" s="30" t="n">
        <f aca="false">E155*(1+H155)</f>
        <v>0</v>
      </c>
      <c r="K155" s="110" t="e">
        <f aca="false">_xll.rdp.data(A155,"TR.WACCBeta")</f>
        <v>#NAME?</v>
      </c>
    </row>
    <row r="156" customFormat="false" ht="12.75" hidden="false" customHeight="false" outlineLevel="0" collapsed="false">
      <c r="A156" s="343" t="s">
        <v>296</v>
      </c>
      <c r="B156" s="110" t="e">
        <f aca="false" t="array" ref="B156:B156">_xll.rdp.data(A156,"CF_BID")</f>
        <v>#NAME?</v>
      </c>
      <c r="C156" s="110" t="e">
        <f aca="false" t="array" ref="C156:C156">_xll.rdp.data(A156,"CF_ASK")</f>
        <v>#NAME?</v>
      </c>
      <c r="D156" s="339" t="e">
        <f aca="false">(B156+C156)/2</f>
        <v>#NAME?</v>
      </c>
      <c r="E156" s="340" t="n">
        <v>0</v>
      </c>
      <c r="F156" s="340" t="n">
        <v>0</v>
      </c>
      <c r="G156" s="340" t="e">
        <f aca="false">IF(#REF!=0,0,IF(#REF!&gt;0,E156*#REF!*100,F156*#REF!*100))</f>
        <v>#REF!</v>
      </c>
      <c r="H156" s="30" t="n">
        <v>70.29</v>
      </c>
      <c r="I156" s="30" t="n">
        <f aca="false">E156*(1+H156)</f>
        <v>0</v>
      </c>
      <c r="K156" s="110" t="e">
        <f aca="false">_xll.rdp.data(A156,"TR.WACCBeta")</f>
        <v>#NAME?</v>
      </c>
    </row>
    <row r="157" customFormat="false" ht="12.75" hidden="false" customHeight="false" outlineLevel="0" collapsed="false">
      <c r="A157" s="343" t="s">
        <v>297</v>
      </c>
      <c r="B157" s="110" t="e">
        <f aca="false" t="array" ref="B157:B157">_xll.rdp.data(A157,"CF_BID")</f>
        <v>#NAME?</v>
      </c>
      <c r="C157" s="110" t="e">
        <f aca="false" t="array" ref="C157:C157">_xll.rdp.data(A157,"CF_ASK")</f>
        <v>#NAME?</v>
      </c>
      <c r="D157" s="339" t="e">
        <f aca="false">(B157+C157)/2</f>
        <v>#NAME?</v>
      </c>
      <c r="E157" s="340" t="n">
        <v>0</v>
      </c>
      <c r="F157" s="340" t="n">
        <v>0</v>
      </c>
      <c r="G157" s="340" t="e">
        <f aca="false">IF(#REF!=0,0,IF(#REF!&gt;0,E157*#REF!*100,F157*#REF!*100))</f>
        <v>#REF!</v>
      </c>
      <c r="H157" s="30" t="n">
        <v>19.45</v>
      </c>
      <c r="I157" s="30" t="n">
        <f aca="false">E157*(1+H157)</f>
        <v>0</v>
      </c>
      <c r="K157" s="110" t="e">
        <f aca="false">_xll.rdp.data(A157,"TR.WACCBeta")</f>
        <v>#NAME?</v>
      </c>
    </row>
    <row r="158" customFormat="false" ht="12.75" hidden="false" customHeight="false" outlineLevel="0" collapsed="false">
      <c r="A158" s="49" t="s">
        <v>236</v>
      </c>
      <c r="B158" s="110" t="e">
        <f aca="false" t="array" ref="B158:B158">_xll.rdp.data(A158,"CF_BID")</f>
        <v>#NAME?</v>
      </c>
      <c r="C158" s="110" t="e">
        <f aca="false" t="array" ref="C158:C158">_xll.rdp.data(A158,"CF_ASK")</f>
        <v>#NAME?</v>
      </c>
      <c r="D158" s="339" t="e">
        <f aca="false">(B158+C158)/2</f>
        <v>#NAME?</v>
      </c>
      <c r="E158" s="340" t="n">
        <v>0</v>
      </c>
      <c r="F158" s="340" t="n">
        <v>0</v>
      </c>
      <c r="G158" s="340" t="e">
        <f aca="false">IF(#REF!=0,0,IF(#REF!&gt;0,E158*#REF!*100,F158*#REF!*100))</f>
        <v>#REF!</v>
      </c>
      <c r="H158" s="30" t="n">
        <v>36.335</v>
      </c>
      <c r="I158" s="30" t="n">
        <f aca="false">E158*(1+H158)</f>
        <v>0</v>
      </c>
      <c r="K158" s="110" t="e">
        <f aca="false">_xll.rdp.data(A158,"TR.WACCBeta")</f>
        <v>#NAME?</v>
      </c>
    </row>
    <row r="159" customFormat="false" ht="12.75" hidden="false" customHeight="false" outlineLevel="0" collapsed="false">
      <c r="A159" s="0" t="s">
        <v>138</v>
      </c>
      <c r="B159" s="0" t="e">
        <f aca="false" t="array" ref="B159:B159">_xll.rdp.data(A159,"CF_BID")</f>
        <v>#NAME?</v>
      </c>
      <c r="C159" s="0" t="e">
        <f aca="false" t="array" ref="C159:C159">_xll.rdp.data(A159,"CF_ASK")</f>
        <v>#NAME?</v>
      </c>
      <c r="D159" s="339" t="e">
        <f aca="false">(B159+C159)/2</f>
        <v>#NAME?</v>
      </c>
      <c r="E159" s="340" t="n">
        <v>0</v>
      </c>
      <c r="F159" s="340" t="n">
        <v>0</v>
      </c>
      <c r="G159" s="340" t="e">
        <f aca="false">IF(#REF!=0,0,IF(#REF!&gt;0,E159*#REF!*100,F159*#REF!*100))</f>
        <v>#REF!</v>
      </c>
      <c r="H159" s="30" t="n">
        <v>477</v>
      </c>
      <c r="I159" s="30" t="n">
        <f aca="false">E159*(1+H159)</f>
        <v>0</v>
      </c>
      <c r="K159" s="110" t="e">
        <f aca="false">_xll.rdp.data(A159,"TR.WACCBeta")</f>
        <v>#NAME?</v>
      </c>
    </row>
    <row r="160" customFormat="false" ht="12.75" hidden="false" customHeight="false" outlineLevel="0" collapsed="false">
      <c r="A160" s="0" t="s">
        <v>298</v>
      </c>
      <c r="B160" s="0" t="e">
        <f aca="false" t="array" ref="B160:B160">_xll.rdp.data(A160,"CF_BID")</f>
        <v>#NAME?</v>
      </c>
      <c r="C160" s="0" t="e">
        <f aca="false" t="array" ref="C160:C160">_xll.rdp.data(A160,"CF_ASK")</f>
        <v>#NAME?</v>
      </c>
      <c r="D160" s="339" t="e">
        <f aca="false">(B160+C160)/2</f>
        <v>#NAME?</v>
      </c>
      <c r="E160" s="340" t="n">
        <v>0</v>
      </c>
      <c r="F160" s="340" t="n">
        <v>0</v>
      </c>
      <c r="G160" s="340" t="e">
        <f aca="false">IF(#REF!=0,0,IF(#REF!&gt;0,E160*#REF!*100,F160*#REF!*100))</f>
        <v>#REF!</v>
      </c>
      <c r="H160" s="30" t="n">
        <v>57.955</v>
      </c>
      <c r="I160" s="30" t="n">
        <f aca="false">E160*(1+H160)</f>
        <v>0</v>
      </c>
      <c r="K160" s="110" t="e">
        <f aca="false">_xll.rdp.data(A160,"TR.WACCBeta")</f>
        <v>#NAME?</v>
      </c>
    </row>
    <row r="161" customFormat="false" ht="12.75" hidden="false" customHeight="false" outlineLevel="0" collapsed="false">
      <c r="A161" s="110" t="s">
        <v>84</v>
      </c>
      <c r="B161" s="110" t="e">
        <f aca="false" t="array" ref="B161:B161">_xll.rdp.data(A161,"CF_BID")</f>
        <v>#NAME?</v>
      </c>
      <c r="C161" s="110" t="e">
        <f aca="false" t="array" ref="C161:C161">_xll.rdp.data(A161,"CF_ASK")</f>
        <v>#NAME?</v>
      </c>
      <c r="D161" s="339" t="e">
        <f aca="false">(B161+C161)/2</f>
        <v>#NAME?</v>
      </c>
      <c r="E161" s="340" t="n">
        <v>0.0121</v>
      </c>
      <c r="F161" s="340" t="n">
        <v>0.0121</v>
      </c>
      <c r="G161" s="340" t="e">
        <f aca="false">IF(#REF!=0,0,IF(#REF!&gt;0,E161*#REF!*100,F161*#REF!*100))</f>
        <v>#REF!</v>
      </c>
      <c r="H161" s="30" t="n">
        <v>308.365</v>
      </c>
      <c r="I161" s="30" t="n">
        <f aca="false">E161*(1+H161)</f>
        <v>3.7433165</v>
      </c>
      <c r="K161" s="110" t="e">
        <f aca="false">_xll.rdp.data(A161,"TR.WACCBeta")</f>
        <v>#NAME?</v>
      </c>
    </row>
    <row r="162" customFormat="false" ht="12.75" hidden="false" customHeight="false" outlineLevel="0" collapsed="false">
      <c r="A162" s="110" t="s">
        <v>122</v>
      </c>
      <c r="B162" s="110" t="e">
        <f aca="false" t="array" ref="B162:B162">_xll.rdp.data(A162,"CF_BID")</f>
        <v>#NAME?</v>
      </c>
      <c r="C162" s="110" t="e">
        <f aca="false" t="array" ref="C162:C162">_xll.rdp.data(A162,"CF_ASK")</f>
        <v>#NAME?</v>
      </c>
      <c r="D162" s="339" t="e">
        <f aca="false">(B162+C162)/2</f>
        <v>#NAME?</v>
      </c>
      <c r="E162" s="340" t="n">
        <v>0.0121</v>
      </c>
      <c r="F162" s="340" t="n">
        <v>0.0121</v>
      </c>
      <c r="G162" s="340" t="e">
        <f aca="false">IF(#REF!=0,0,IF(#REF!&gt;0,E162*#REF!*100,F162*#REF!*100))</f>
        <v>#REF!</v>
      </c>
      <c r="H162" s="30" t="n">
        <v>123.825</v>
      </c>
      <c r="I162" s="30" t="n">
        <f aca="false">E162*(1+H162)</f>
        <v>1.5103825</v>
      </c>
      <c r="K162" s="110" t="e">
        <f aca="false">_xll.rdp.data(A162,"TR.WACCBeta")</f>
        <v>#NAME?</v>
      </c>
    </row>
    <row r="163" customFormat="false" ht="12.75" hidden="false" customHeight="false" outlineLevel="0" collapsed="false">
      <c r="A163" s="110" t="s">
        <v>299</v>
      </c>
      <c r="B163" s="110" t="e">
        <f aca="false" t="array" ref="B163:B163">_xll.rdp.data(A163,"CF_BID")</f>
        <v>#NAME?</v>
      </c>
      <c r="C163" s="110" t="e">
        <f aca="false" t="array" ref="C163:C163">_xll.rdp.data(A163,"CF_ASK")</f>
        <v>#NAME?</v>
      </c>
      <c r="D163" s="339" t="e">
        <f aca="false">(B163+C163)/2</f>
        <v>#NAME?</v>
      </c>
      <c r="E163" s="340" t="n">
        <v>0</v>
      </c>
      <c r="F163" s="340" t="n">
        <v>0</v>
      </c>
      <c r="G163" s="340" t="e">
        <f aca="false">IF(#REF!=0,0,IF(#REF!&gt;0,E163*#REF!*100,F163*#REF!*100))</f>
        <v>#REF!</v>
      </c>
      <c r="H163" s="30" t="n">
        <v>315.69</v>
      </c>
      <c r="I163" s="30" t="n">
        <f aca="false">E163*(1+H163)</f>
        <v>0</v>
      </c>
      <c r="K163" s="110" t="e">
        <f aca="false">_xll.rdp.data(A163,"TR.WACCBeta")</f>
        <v>#NAME?</v>
      </c>
    </row>
    <row r="164" customFormat="false" ht="12.75" hidden="false" customHeight="false" outlineLevel="0" collapsed="false">
      <c r="A164" s="110" t="s">
        <v>94</v>
      </c>
      <c r="B164" s="110" t="e">
        <f aca="false" t="array" ref="B164:B164">_xll.rdp.data(A164,"CF_BID")</f>
        <v>#NAME?</v>
      </c>
      <c r="C164" s="110" t="e">
        <f aca="false" t="array" ref="C164:C164">_xll.rdp.data(A164,"CF_ASK")</f>
        <v>#NAME?</v>
      </c>
      <c r="D164" s="339" t="e">
        <f aca="false">(B164+C164)/2</f>
        <v>#NAME?</v>
      </c>
      <c r="E164" s="340" t="n">
        <v>0.0121</v>
      </c>
      <c r="F164" s="340" t="n">
        <v>0.0121</v>
      </c>
      <c r="G164" s="340" t="e">
        <f aca="false">IF(#REF!=0,0,IF(#REF!&gt;0,E164*#REF!*100,F164*#REF!*100))</f>
        <v>#REF!</v>
      </c>
      <c r="H164" s="30" t="n">
        <v>52.345</v>
      </c>
      <c r="I164" s="30" t="n">
        <f aca="false">E164*(1+H164)</f>
        <v>0.6454745</v>
      </c>
      <c r="K164" s="110" t="e">
        <f aca="false">_xll.rdp.data(A164,"TR.WACCBeta")</f>
        <v>#NAME?</v>
      </c>
    </row>
    <row r="165" customFormat="false" ht="12.75" hidden="false" customHeight="false" outlineLevel="0" collapsed="false">
      <c r="A165" s="49" t="s">
        <v>300</v>
      </c>
      <c r="B165" s="110" t="e">
        <f aca="false" t="array" ref="B165:B165">_xll.rdp.data(A165,"CF_BID")</f>
        <v>#NAME?</v>
      </c>
      <c r="C165" s="110" t="e">
        <f aca="false" t="array" ref="C165:C165">_xll.rdp.data(A165,"CF_ASK")</f>
        <v>#NAME?</v>
      </c>
      <c r="D165" s="339" t="e">
        <f aca="false">(B165+C165)/2</f>
        <v>#NAME?</v>
      </c>
      <c r="E165" s="340" t="n">
        <v>0</v>
      </c>
      <c r="F165" s="340" t="n">
        <v>0</v>
      </c>
      <c r="G165" s="340" t="e">
        <f aca="false">IF(#REF!=0,0,IF(#REF!&gt;0,E165*#REF!*100,F165*#REF!*100))</f>
        <v>#REF!</v>
      </c>
      <c r="H165" s="30" t="n">
        <v>85.005</v>
      </c>
      <c r="I165" s="30" t="n">
        <f aca="false">E165*(1+H165)</f>
        <v>0</v>
      </c>
      <c r="K165" s="110" t="e">
        <f aca="false">_xll.rdp.data(A165,"TR.WACCBeta")</f>
        <v>#NAME?</v>
      </c>
    </row>
    <row r="166" customFormat="false" ht="12.75" hidden="false" customHeight="false" outlineLevel="0" collapsed="false">
      <c r="A166" s="344" t="s">
        <v>301</v>
      </c>
      <c r="B166" s="110" t="e">
        <f aca="false" t="array" ref="B166:B166">_xll.rdp.data(A166,"CF_BID")</f>
        <v>#NAME?</v>
      </c>
      <c r="C166" s="110" t="e">
        <f aca="false" t="array" ref="C166:C166">_xll.rdp.data(A166,"CF_ASK")</f>
        <v>#NAME?</v>
      </c>
      <c r="D166" s="339" t="e">
        <f aca="false">(B166+C166)/2</f>
        <v>#NAME?</v>
      </c>
      <c r="E166" s="340" t="n">
        <v>0</v>
      </c>
      <c r="F166" s="340" t="n">
        <v>0</v>
      </c>
      <c r="G166" s="340" t="e">
        <f aca="false">IF(#REF!=0,0,IF(#REF!&gt;0,E166*#REF!*100,F166*#REF!*100))</f>
        <v>#REF!</v>
      </c>
      <c r="H166" s="30" t="n">
        <v>28.345</v>
      </c>
      <c r="I166" s="30" t="n">
        <f aca="false">E166*(1+H166)</f>
        <v>0</v>
      </c>
      <c r="K166" s="110" t="e">
        <f aca="false">_xll.rdp.data(A166,"TR.WACCBeta")</f>
        <v>#NAME?</v>
      </c>
    </row>
    <row r="167" customFormat="false" ht="12.75" hidden="false" customHeight="false" outlineLevel="0" collapsed="false">
      <c r="A167" s="110" t="s">
        <v>302</v>
      </c>
      <c r="B167" s="110" t="e">
        <f aca="false" t="array" ref="B167:B167">_xll.rdp.data(A167,"CF_BID")</f>
        <v>#NAME?</v>
      </c>
      <c r="C167" s="110" t="e">
        <f aca="false" t="array" ref="C167:C167">_xll.rdp.data(A167,"CF_ASK")</f>
        <v>#NAME?</v>
      </c>
      <c r="D167" s="339" t="e">
        <f aca="false">(B167+C167)/2</f>
        <v>#NAME?</v>
      </c>
      <c r="E167" s="340" t="n">
        <v>0</v>
      </c>
      <c r="F167" s="340" t="n">
        <v>0</v>
      </c>
      <c r="G167" s="340" t="e">
        <f aca="false">IF(#REF!=0,0,IF(#REF!&gt;0,E167*#REF!*100,F167*#REF!*100))</f>
        <v>#REF!</v>
      </c>
      <c r="H167" s="30" t="n">
        <v>54.405</v>
      </c>
      <c r="I167" s="30" t="n">
        <f aca="false">E167*(1+H167)</f>
        <v>0</v>
      </c>
      <c r="K167" s="110" t="e">
        <f aca="false">_xll.rdp.data(A167,"TR.WACCBeta")</f>
        <v>#NAME?</v>
      </c>
    </row>
    <row r="168" customFormat="false" ht="12.75" hidden="false" customHeight="false" outlineLevel="0" collapsed="false">
      <c r="B168" s="0" t="e">
        <f aca="false" t="array" ref="B168:B168">_xll.rdp.data(A168,"CF_BID")</f>
        <v>#NAME?</v>
      </c>
      <c r="C168" s="0" t="e">
        <f aca="false" t="array" ref="C168:C168">_xll.rdp.data(A168,"CF_ASK")</f>
        <v>#NAME?</v>
      </c>
      <c r="D168" s="339" t="e">
        <f aca="false">(B168+C168)/2</f>
        <v>#NAME?</v>
      </c>
      <c r="E168" s="340" t="n">
        <v>0</v>
      </c>
      <c r="F168" s="340" t="n">
        <v>0</v>
      </c>
      <c r="G168" s="340" t="e">
        <f aca="false">IF(#REF!=0,0,IF(#REF!&gt;0,E168*#REF!*100,F168*#REF!*100))</f>
        <v>#REF!</v>
      </c>
      <c r="H168" s="30" t="e">
        <f aca="false">#VALUE!</f>
        <v>#VALUE!</v>
      </c>
      <c r="I168" s="30" t="e">
        <f aca="false">E168*(1+H168)</f>
        <v>#VALUE!</v>
      </c>
      <c r="K168" s="110" t="e">
        <f aca="false">_xll.rdp.data(A168,"TR.WACCBeta")</f>
        <v>#NAME?</v>
      </c>
    </row>
    <row r="169" customFormat="false" ht="12.75" hidden="false" customHeight="false" outlineLevel="0" collapsed="false">
      <c r="A169" s="0" t="s">
        <v>303</v>
      </c>
      <c r="D169" s="339" t="n">
        <f aca="false">(B169+C169)/2</f>
        <v>0</v>
      </c>
      <c r="E169" s="340" t="n">
        <v>0</v>
      </c>
      <c r="F169" s="340" t="n">
        <v>0</v>
      </c>
      <c r="G169" s="340" t="e">
        <f aca="false">IF(#REF!=0,0,IF(#REF!&gt;0,E169*#REF!*100,F169*#REF!*100))</f>
        <v>#REF!</v>
      </c>
      <c r="H169" s="30" t="n">
        <v>0</v>
      </c>
      <c r="I169" s="30" t="n">
        <f aca="false">E169*(1+H169)</f>
        <v>0</v>
      </c>
      <c r="K169" s="110" t="e">
        <f aca="false">_xll.rdp.data(A169,"TR.WACCBeta")</f>
        <v>#NAME?</v>
      </c>
    </row>
    <row r="170" customFormat="false" ht="12.75" hidden="false" customHeight="false" outlineLevel="0" collapsed="false">
      <c r="A170" s="49" t="s">
        <v>231</v>
      </c>
      <c r="B170" s="110" t="e">
        <f aca="false" t="array" ref="B170:B170">_xll.rdp.data(A170,"CF_BID")</f>
        <v>#NAME?</v>
      </c>
      <c r="C170" s="110" t="e">
        <f aca="false" t="array" ref="C170:C170">_xll.rdp.data(A170,"CF_ASK")</f>
        <v>#NAME?</v>
      </c>
      <c r="D170" s="339" t="e">
        <f aca="false">(B170+C170)/2</f>
        <v>#NAME?</v>
      </c>
      <c r="E170" s="340" t="n">
        <v>0</v>
      </c>
      <c r="F170" s="340" t="n">
        <v>0</v>
      </c>
      <c r="G170" s="340" t="e">
        <f aca="false">IF(#REF!=0,0,IF(#REF!&gt;0,E170*#REF!*100,F170*#REF!*100))</f>
        <v>#REF!</v>
      </c>
      <c r="H170" s="30" t="n">
        <v>83.12</v>
      </c>
      <c r="I170" s="30" t="n">
        <f aca="false">E170*(1+H170)</f>
        <v>0</v>
      </c>
      <c r="K170" s="110" t="e">
        <f aca="false">_xll.rdp.data(A170,"TR.WACCBeta")</f>
        <v>#NAME?</v>
      </c>
    </row>
    <row r="171" customFormat="false" ht="12.75" hidden="false" customHeight="false" outlineLevel="0" collapsed="false">
      <c r="A171" s="49" t="s">
        <v>304</v>
      </c>
      <c r="B171" s="110" t="e">
        <f aca="false" t="array" ref="B171:B171">_xll.rdp.data(A171,"CF_BID")</f>
        <v>#NAME?</v>
      </c>
      <c r="C171" s="110" t="e">
        <f aca="false" t="array" ref="C171:C171">_xll.rdp.data(A171,"CF_ASK")</f>
        <v>#NAME?</v>
      </c>
      <c r="D171" s="339" t="e">
        <f aca="false">(B171+C171)/2</f>
        <v>#NAME?</v>
      </c>
      <c r="E171" s="340" t="n">
        <v>0</v>
      </c>
      <c r="F171" s="340" t="n">
        <v>0</v>
      </c>
      <c r="G171" s="340" t="e">
        <f aca="false">IF(#REF!=0,0,IF(#REF!&gt;0,E171*#REF!*100,F171*#REF!*100))</f>
        <v>#REF!</v>
      </c>
      <c r="H171" s="30" t="n">
        <v>35.445</v>
      </c>
      <c r="I171" s="30" t="n">
        <f aca="false">E171*(1+H171)</f>
        <v>0</v>
      </c>
      <c r="K171" s="110" t="e">
        <f aca="false">_xll.rdp.data(A171,"TR.WACCBeta")</f>
        <v>#NAME?</v>
      </c>
    </row>
    <row r="172" customFormat="false" ht="12.75" hidden="false" customHeight="false" outlineLevel="0" collapsed="false">
      <c r="A172" s="49" t="s">
        <v>305</v>
      </c>
      <c r="B172" s="110" t="e">
        <f aca="false" t="array" ref="B172:B172">_xll.rdp.data(A172,"CF_BID")</f>
        <v>#NAME?</v>
      </c>
      <c r="C172" s="110" t="e">
        <f aca="false" t="array" ref="C172:C172">_xll.rdp.data(A172,"CF_ASK")</f>
        <v>#NAME?</v>
      </c>
      <c r="D172" s="339" t="e">
        <f aca="false">(B172+C172)/2</f>
        <v>#NAME?</v>
      </c>
      <c r="E172" s="340" t="n">
        <v>0</v>
      </c>
      <c r="F172" s="340" t="n">
        <v>0</v>
      </c>
      <c r="G172" s="340" t="e">
        <f aca="false">IF(#REF!=0,0,IF(#REF!&gt;0,E172*#REF!*100,F172*#REF!*100))</f>
        <v>#REF!</v>
      </c>
      <c r="H172" s="30" t="n">
        <v>63.585</v>
      </c>
      <c r="I172" s="30" t="n">
        <f aca="false">E172*(1+H172)</f>
        <v>0</v>
      </c>
      <c r="K172" s="110" t="e">
        <f aca="false">_xll.rdp.data(A172,"TR.WACCBeta")</f>
        <v>#NAME?</v>
      </c>
    </row>
    <row r="173" customFormat="false" ht="12.75" hidden="false" customHeight="false" outlineLevel="0" collapsed="false">
      <c r="A173" s="49" t="s">
        <v>306</v>
      </c>
      <c r="B173" s="110" t="e">
        <f aca="false" t="array" ref="B173:B173">_xll.rdp.data(A173,"CF_BID")</f>
        <v>#NAME?</v>
      </c>
      <c r="C173" s="110" t="e">
        <f aca="false" t="array" ref="C173:C173">_xll.rdp.data(A173,"CF_ASK")</f>
        <v>#NAME?</v>
      </c>
      <c r="D173" s="339" t="e">
        <f aca="false">(B173+C173)/2</f>
        <v>#NAME?</v>
      </c>
      <c r="E173" s="340" t="n">
        <v>0</v>
      </c>
      <c r="F173" s="340" t="n">
        <v>0</v>
      </c>
      <c r="G173" s="340" t="e">
        <f aca="false">IF(#REF!=0,0,IF(#REF!&gt;0,E173*#REF!*100,F173*#REF!*100))</f>
        <v>#REF!</v>
      </c>
      <c r="H173" s="30" t="n">
        <v>33.32</v>
      </c>
      <c r="I173" s="30" t="n">
        <f aca="false">E173*(1+H173)</f>
        <v>0</v>
      </c>
      <c r="K173" s="110" t="e">
        <f aca="false">_xll.rdp.data(A173,"TR.WACCBeta")</f>
        <v>#NAME?</v>
      </c>
    </row>
    <row r="174" customFormat="false" ht="12.75" hidden="false" customHeight="false" outlineLevel="0" collapsed="false">
      <c r="A174" s="49" t="s">
        <v>307</v>
      </c>
      <c r="B174" s="110" t="e">
        <f aca="false" t="array" ref="B174:B174">_xll.rdp.data(A174,"CF_BID")</f>
        <v>#NAME?</v>
      </c>
      <c r="C174" s="110" t="e">
        <f aca="false" t="array" ref="C174:C174">_xll.rdp.data(A174,"CF_ASK")</f>
        <v>#NAME?</v>
      </c>
      <c r="D174" s="339" t="e">
        <f aca="false">(B174+C174)/2</f>
        <v>#NAME?</v>
      </c>
      <c r="E174" s="340" t="n">
        <v>0</v>
      </c>
      <c r="F174" s="340" t="n">
        <v>0</v>
      </c>
      <c r="G174" s="340" t="e">
        <f aca="false">IF(#REF!=0,0,IF(#REF!&gt;0,E174*#REF!*100,F174*#REF!*100))</f>
        <v>#REF!</v>
      </c>
      <c r="H174" s="30" t="n">
        <v>49.635</v>
      </c>
      <c r="I174" s="30" t="n">
        <f aca="false">E174*(1+H174)</f>
        <v>0</v>
      </c>
      <c r="K174" s="110" t="e">
        <f aca="false">_xll.rdp.data(A174,"TR.WACCBeta")</f>
        <v>#NAME?</v>
      </c>
    </row>
    <row r="175" customFormat="false" ht="12.75" hidden="false" customHeight="false" outlineLevel="0" collapsed="false">
      <c r="A175" s="49" t="s">
        <v>308</v>
      </c>
      <c r="B175" s="110" t="e">
        <f aca="false" t="array" ref="B175:B175">_xll.rdp.data(A175,"CF_BID")</f>
        <v>#NAME?</v>
      </c>
      <c r="C175" s="110" t="e">
        <f aca="false" t="array" ref="C175:C175">_xll.rdp.data(A175,"CF_ASK")</f>
        <v>#NAME?</v>
      </c>
      <c r="D175" s="339" t="e">
        <f aca="false">(B175+C175)/2</f>
        <v>#NAME?</v>
      </c>
      <c r="E175" s="340" t="n">
        <v>0</v>
      </c>
      <c r="F175" s="340" t="n">
        <v>0</v>
      </c>
      <c r="G175" s="340" t="e">
        <f aca="false">IF(#REF!=0,0,IF(#REF!&gt;0,E175*#REF!*100,F175*#REF!*100))</f>
        <v>#REF!</v>
      </c>
      <c r="H175" s="30" t="n">
        <v>94.62</v>
      </c>
      <c r="I175" s="30" t="n">
        <f aca="false">E175*(1+H175)</f>
        <v>0</v>
      </c>
      <c r="K175" s="110" t="e">
        <f aca="false">_xll.rdp.data(A175,"TR.WACCBeta")</f>
        <v>#NAME?</v>
      </c>
    </row>
    <row r="176" customFormat="false" ht="12.75" hidden="false" customHeight="false" outlineLevel="0" collapsed="false">
      <c r="A176" s="49" t="s">
        <v>309</v>
      </c>
      <c r="B176" s="110" t="e">
        <f aca="false" t="array" ref="B176:B176">_xll.rdp.data(A176,"CF_BID")</f>
        <v>#NAME?</v>
      </c>
      <c r="C176" s="110" t="e">
        <f aca="false" t="array" ref="C176:C176">_xll.rdp.data(A176,"CF_ASK")</f>
        <v>#NAME?</v>
      </c>
      <c r="D176" s="339" t="e">
        <f aca="false">(B176+C176)/2</f>
        <v>#NAME?</v>
      </c>
      <c r="E176" s="340" t="n">
        <v>0</v>
      </c>
      <c r="F176" s="340" t="n">
        <v>0</v>
      </c>
      <c r="G176" s="340" t="e">
        <f aca="false">IF(#REF!=0,0,IF(#REF!&gt;0,E176*#REF!*100,F176*#REF!*100))</f>
        <v>#REF!</v>
      </c>
      <c r="H176" s="30" t="n">
        <v>96.695</v>
      </c>
      <c r="I176" s="30" t="n">
        <f aca="false">E176*(1+H176)</f>
        <v>0</v>
      </c>
      <c r="K176" s="110" t="e">
        <f aca="false">_xll.rdp.data(A176,"TR.WACCBeta")</f>
        <v>#NAME?</v>
      </c>
    </row>
    <row r="177" customFormat="false" ht="12.75" hidden="false" customHeight="false" outlineLevel="0" collapsed="false">
      <c r="A177" s="49" t="s">
        <v>122</v>
      </c>
      <c r="B177" s="110" t="e">
        <f aca="false" t="array" ref="B177:B177">_xll.rdp.data(A177,"CF_BID")</f>
        <v>#NAME?</v>
      </c>
      <c r="C177" s="110" t="e">
        <f aca="false" t="array" ref="C177:C177">_xll.rdp.data(A177,"CF_ASK")</f>
        <v>#NAME?</v>
      </c>
      <c r="D177" s="339" t="e">
        <f aca="false">(B177+C177)/2</f>
        <v>#NAME?</v>
      </c>
      <c r="E177" s="340" t="n">
        <v>0.0121</v>
      </c>
      <c r="F177" s="340" t="n">
        <v>0.0121</v>
      </c>
      <c r="G177" s="340" t="e">
        <f aca="false">IF(#REF!=0,0,IF(#REF!&gt;0,E177*#REF!*100,F177*#REF!*100))</f>
        <v>#REF!</v>
      </c>
      <c r="H177" s="30" t="n">
        <v>123.825</v>
      </c>
      <c r="I177" s="30" t="n">
        <f aca="false">E177*(1+H177)</f>
        <v>1.5103825</v>
      </c>
      <c r="K177" s="110" t="e">
        <f aca="false">_xll.rdp.data(A177,"TR.WACCBeta")</f>
        <v>#NAME?</v>
      </c>
    </row>
    <row r="178" customFormat="false" ht="12.75" hidden="false" customHeight="false" outlineLevel="0" collapsed="false">
      <c r="A178" s="49" t="s">
        <v>84</v>
      </c>
      <c r="B178" s="110" t="e">
        <f aca="false" t="array" ref="B178:B178">_xll.rdp.data(A178,"CF_BID")</f>
        <v>#NAME?</v>
      </c>
      <c r="C178" s="110" t="e">
        <f aca="false" t="array" ref="C178:C178">_xll.rdp.data(A178,"CF_ASK")</f>
        <v>#NAME?</v>
      </c>
      <c r="D178" s="339" t="e">
        <f aca="false">(B178+C178)/2</f>
        <v>#NAME?</v>
      </c>
      <c r="E178" s="340" t="n">
        <v>0.0121</v>
      </c>
      <c r="F178" s="340" t="n">
        <v>0.0121</v>
      </c>
      <c r="G178" s="340" t="e">
        <f aca="false">IF(#REF!=0,0,IF(#REF!&gt;0,E178*#REF!*100,F178*#REF!*100))</f>
        <v>#REF!</v>
      </c>
      <c r="H178" s="30" t="n">
        <v>308.365</v>
      </c>
      <c r="I178" s="30" t="n">
        <f aca="false">E178*(1+H178)</f>
        <v>3.7433165</v>
      </c>
      <c r="K178" s="110" t="e">
        <f aca="false">_xll.rdp.data(A178,"TR.WACCBeta")</f>
        <v>#NAME?</v>
      </c>
    </row>
    <row r="179" customFormat="false" ht="12.75" hidden="false" customHeight="false" outlineLevel="0" collapsed="false">
      <c r="A179" s="49" t="s">
        <v>94</v>
      </c>
      <c r="B179" s="110" t="e">
        <f aca="false" t="array" ref="B179:B179">_xll.rdp.data(A179,"CF_BID")</f>
        <v>#NAME?</v>
      </c>
      <c r="C179" s="110" t="e">
        <f aca="false" t="array" ref="C179:C179">_xll.rdp.data(A179,"CF_ASK")</f>
        <v>#NAME?</v>
      </c>
      <c r="D179" s="339" t="e">
        <f aca="false">(B179+C179)/2</f>
        <v>#NAME?</v>
      </c>
      <c r="E179" s="340" t="n">
        <v>0.0121</v>
      </c>
      <c r="F179" s="340" t="n">
        <v>0.0121</v>
      </c>
      <c r="G179" s="340" t="e">
        <f aca="false">IF(#REF!=0,0,IF(#REF!&gt;0,E179*#REF!*100,F179*#REF!*100))</f>
        <v>#REF!</v>
      </c>
      <c r="H179" s="30" t="n">
        <v>52.345</v>
      </c>
      <c r="I179" s="30" t="n">
        <f aca="false">E179*(1+H179)</f>
        <v>0.6454745</v>
      </c>
      <c r="K179" s="110" t="e">
        <f aca="false">_xll.rdp.data(A179,"TR.WACCBeta")</f>
        <v>#NAME?</v>
      </c>
    </row>
    <row r="180" customFormat="false" ht="12.75" hidden="false" customHeight="false" outlineLevel="0" collapsed="false">
      <c r="A180" s="49" t="s">
        <v>75</v>
      </c>
      <c r="B180" s="110" t="e">
        <f aca="false" t="array" ref="B180:B180">_xll.rdp.data(A180,"CF_BID")</f>
        <v>#NAME?</v>
      </c>
      <c r="C180" s="110" t="e">
        <f aca="false" t="array" ref="C180:C180">_xll.rdp.data(A180,"CF_ASK")</f>
        <v>#NAME?</v>
      </c>
      <c r="D180" s="339" t="e">
        <f aca="false">(B180+C180)/2</f>
        <v>#NAME?</v>
      </c>
      <c r="E180" s="340" t="n">
        <v>0.0121</v>
      </c>
      <c r="F180" s="340" t="n">
        <v>0.0121</v>
      </c>
      <c r="G180" s="340" t="e">
        <f aca="false">IF(#REF!=0,0,IF(#REF!&gt;0,E180*#REF!*100,F180*#REF!*100))</f>
        <v>#REF!</v>
      </c>
      <c r="H180" s="30" t="n">
        <v>875.75</v>
      </c>
      <c r="I180" s="30" t="n">
        <f aca="false">E180*(1+H180)</f>
        <v>10.608675</v>
      </c>
      <c r="K180" s="110" t="e">
        <f aca="false">_xll.rdp.data(A180,"TR.WACCBeta")</f>
        <v>#NAME?</v>
      </c>
    </row>
    <row r="181" customFormat="false" ht="12.75" hidden="false" customHeight="false" outlineLevel="0" collapsed="false">
      <c r="A181" s="49" t="s">
        <v>310</v>
      </c>
      <c r="B181" s="110" t="e">
        <f aca="false" t="array" ref="B181:B181">_xll.rdp.data(A181,"CF_BID")</f>
        <v>#NAME?</v>
      </c>
      <c r="C181" s="110" t="e">
        <f aca="false" t="array" ref="C181:C181">_xll.rdp.data(A181,"CF_ASK")</f>
        <v>#NAME?</v>
      </c>
      <c r="D181" s="339" t="e">
        <f aca="false">(B181+C181)/2</f>
        <v>#NAME?</v>
      </c>
      <c r="E181" s="340" t="n">
        <v>0.0121</v>
      </c>
      <c r="F181" s="340" t="n">
        <v>0.0121</v>
      </c>
      <c r="G181" s="340" t="e">
        <f aca="false">IF(#REF!=0,0,IF(#REF!&gt;0,E181*#REF!*100,F181*#REF!*100))</f>
        <v>#REF!</v>
      </c>
      <c r="H181" s="30" t="n">
        <v>177.945</v>
      </c>
      <c r="I181" s="30" t="n">
        <f aca="false">E181*(1+H181)</f>
        <v>2.1652345</v>
      </c>
      <c r="K181" s="110" t="e">
        <f aca="false">_xll.rdp.data(A181,"TR.WACCBeta")</f>
        <v>#NAME?</v>
      </c>
    </row>
    <row r="182" customFormat="false" ht="12.75" hidden="false" customHeight="false" outlineLevel="0" collapsed="false">
      <c r="A182" s="49" t="s">
        <v>311</v>
      </c>
      <c r="B182" s="110" t="e">
        <f aca="false" t="array" ref="B182:B182">_xll.rdp.data(A182,"CF_BID")</f>
        <v>#NAME?</v>
      </c>
      <c r="C182" s="110" t="e">
        <f aca="false" t="array" ref="C182:C182">_xll.rdp.data(A182,"CF_ASK")</f>
        <v>#NAME?</v>
      </c>
      <c r="D182" s="339" t="e">
        <f aca="false">(B182+C182)/2</f>
        <v>#NAME?</v>
      </c>
      <c r="E182" s="340" t="n">
        <v>0</v>
      </c>
      <c r="F182" s="340" t="n">
        <v>0</v>
      </c>
      <c r="G182" s="340" t="e">
        <f aca="false">IF(#REF!=0,0,IF(#REF!&gt;0,E182*#REF!*100,F182*#REF!*100))</f>
        <v>#REF!</v>
      </c>
      <c r="H182" s="30" t="n">
        <v>480.04</v>
      </c>
      <c r="I182" s="30" t="n">
        <f aca="false">E182*(1+H182)</f>
        <v>0</v>
      </c>
      <c r="K182" s="110" t="e">
        <f aca="false">_xll.rdp.data(A182,"TR.WACCBeta")</f>
        <v>#NAME?</v>
      </c>
    </row>
    <row r="183" customFormat="false" ht="12.75" hidden="false" customHeight="false" outlineLevel="0" collapsed="false">
      <c r="A183" s="49" t="s">
        <v>262</v>
      </c>
      <c r="B183" s="110" t="e">
        <f aca="false" t="array" ref="B183:B183">_xll.rdp.data(A183,"CF_BID")</f>
        <v>#NAME?</v>
      </c>
      <c r="C183" s="110" t="e">
        <f aca="false" t="array" ref="C183:C183">_xll.rdp.data(A183,"CF_ASK")</f>
        <v>#NAME?</v>
      </c>
      <c r="D183" s="339" t="e">
        <f aca="false">(B183+C183)/2</f>
        <v>#NAME?</v>
      </c>
      <c r="E183" s="340" t="n">
        <v>0</v>
      </c>
      <c r="F183" s="340" t="n">
        <v>0</v>
      </c>
      <c r="G183" s="340" t="e">
        <f aca="false">IF(#REF!=0,0,IF(#REF!&gt;0,E183*#REF!*100,F183*#REF!*100))</f>
        <v>#REF!</v>
      </c>
      <c r="H183" s="30" t="n">
        <v>1002.635</v>
      </c>
      <c r="I183" s="30" t="n">
        <f aca="false">E183*(1+H183)</f>
        <v>0</v>
      </c>
      <c r="K183" s="110" t="e">
        <f aca="false">_xll.rdp.data(A183,"TR.WACCBeta")</f>
        <v>#NAME?</v>
      </c>
    </row>
    <row r="184" customFormat="false" ht="12.75" hidden="false" customHeight="false" outlineLevel="0" collapsed="false">
      <c r="A184" s="49" t="s">
        <v>312</v>
      </c>
      <c r="B184" s="110" t="e">
        <f aca="false" t="array" ref="B184:B184">_xll.rdp.data(A184,"CF_BID")</f>
        <v>#NAME?</v>
      </c>
      <c r="C184" s="110" t="e">
        <f aca="false" t="array" ref="C184:C184">_xll.rdp.data(A184,"CF_ASK")</f>
        <v>#NAME?</v>
      </c>
      <c r="D184" s="339" t="e">
        <f aca="false">+B184</f>
        <v>#NAME?</v>
      </c>
      <c r="E184" s="340" t="n">
        <v>0.0121</v>
      </c>
      <c r="F184" s="340" t="n">
        <v>0.0121</v>
      </c>
      <c r="G184" s="340" t="e">
        <f aca="false">IF(#REF!=0,0,IF(#REF!&gt;0,E184*#REF!*100,F184*#REF!*100))</f>
        <v>#REF!</v>
      </c>
      <c r="H184" s="30" t="n">
        <v>51.93</v>
      </c>
      <c r="I184" s="30" t="n">
        <f aca="false">E184*(1+H184)</f>
        <v>0.640453</v>
      </c>
      <c r="K184" s="110" t="e">
        <f aca="false">_xll.rdp.data(A184,"TR.WACCBeta")</f>
        <v>#NAME?</v>
      </c>
    </row>
    <row r="185" customFormat="false" ht="12.75" hidden="false" customHeight="false" outlineLevel="0" collapsed="false">
      <c r="D185" s="339" t="n">
        <f aca="false">(B185+C185)/2</f>
        <v>0</v>
      </c>
    </row>
    <row r="189" customFormat="false" ht="12.75" hidden="false" customHeight="false" outlineLevel="0" collapsed="false">
      <c r="B189" s="49"/>
      <c r="C189" s="110"/>
    </row>
    <row r="190" customFormat="false" ht="12.75" hidden="false" customHeight="false" outlineLevel="0" collapsed="false">
      <c r="B190" s="110"/>
      <c r="C190" s="110"/>
      <c r="D190" s="336"/>
      <c r="E190" s="110"/>
    </row>
    <row r="191" customFormat="false" ht="12.75" hidden="false" customHeight="false" outlineLevel="0" collapsed="false">
      <c r="C191" s="110"/>
      <c r="E191" s="110"/>
    </row>
    <row r="192" customFormat="false" ht="12.75" hidden="false" customHeight="false" outlineLevel="0" collapsed="false">
      <c r="C192" s="110"/>
    </row>
    <row r="193" customFormat="false" ht="12.75" hidden="false" customHeight="false" outlineLevel="0" collapsed="false">
      <c r="B193" s="110"/>
      <c r="C193" s="1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3" activeCellId="0" sqref="J13"/>
    </sheetView>
  </sheetViews>
  <sheetFormatPr defaultColWidth="11.42578125" defaultRowHeight="12.75" zeroHeight="false" outlineLevelRow="0" outlineLevelCol="0"/>
  <cols>
    <col collapsed="false" customWidth="true" hidden="false" outlineLevel="0" max="1" min="1" style="345" width="14.57"/>
    <col collapsed="false" customWidth="true" hidden="false" outlineLevel="0" max="2" min="2" style="0" width="11.14"/>
    <col collapsed="false" customWidth="true" hidden="false" outlineLevel="0" max="3" min="3" style="0" width="14.14"/>
    <col collapsed="false" customWidth="true" hidden="false" outlineLevel="0" max="4" min="4" style="0" width="9.14"/>
    <col collapsed="false" customWidth="true" hidden="false" outlineLevel="0" max="7" min="6" style="0" width="13"/>
    <col collapsed="false" customWidth="true" hidden="false" outlineLevel="0" max="9" min="9" style="167" width="12.86"/>
    <col collapsed="false" customWidth="true" hidden="false" outlineLevel="0" max="10" min="10" style="167" width="12"/>
    <col collapsed="false" customWidth="true" hidden="false" outlineLevel="0" max="18" min="11" style="167" width="11.57"/>
  </cols>
  <sheetData>
    <row r="1" customFormat="false" ht="15" hidden="false" customHeight="false" outlineLevel="0" collapsed="false">
      <c r="A1" s="346"/>
      <c r="B1" s="347"/>
      <c r="C1" s="348"/>
      <c r="D1" s="348"/>
      <c r="E1" s="348"/>
      <c r="F1" s="288"/>
      <c r="G1" s="288"/>
      <c r="H1" s="172"/>
    </row>
    <row r="2" customFormat="false" ht="12.75" hidden="false" customHeight="false" outlineLevel="0" collapsed="false">
      <c r="A2" s="349"/>
      <c r="B2" s="167"/>
      <c r="C2" s="167"/>
      <c r="D2" s="167"/>
      <c r="E2" s="167"/>
      <c r="F2" s="288"/>
      <c r="G2" s="288"/>
      <c r="H2" s="172"/>
    </row>
    <row r="3" customFormat="false" ht="12.75" hidden="false" customHeight="false" outlineLevel="0" collapsed="false">
      <c r="A3" s="349"/>
      <c r="B3" s="167"/>
      <c r="C3" s="167"/>
      <c r="D3" s="167"/>
      <c r="E3" s="167"/>
      <c r="F3" s="288"/>
      <c r="G3" s="288"/>
      <c r="H3" s="172"/>
      <c r="I3" s="350"/>
    </row>
    <row r="4" customFormat="false" ht="15" hidden="false" customHeight="false" outlineLevel="0" collapsed="false">
      <c r="A4" s="351"/>
      <c r="B4" s="351"/>
      <c r="C4" s="167"/>
      <c r="D4" s="167"/>
      <c r="E4" s="167"/>
      <c r="F4" s="288"/>
      <c r="G4" s="288"/>
      <c r="H4" s="172"/>
    </row>
    <row r="5" customFormat="false" ht="12.75" hidden="false" customHeight="false" outlineLevel="0" collapsed="false">
      <c r="A5" s="352"/>
      <c r="B5" s="167"/>
      <c r="C5" s="288"/>
      <c r="D5" s="288"/>
      <c r="E5" s="288"/>
      <c r="F5" s="288"/>
      <c r="G5" s="288"/>
      <c r="H5" s="288"/>
    </row>
    <row r="6" customFormat="false" ht="12.75" hidden="false" customHeight="false" outlineLevel="0" collapsed="false">
      <c r="A6" s="353" t="s">
        <v>127</v>
      </c>
      <c r="B6" s="354" t="s">
        <v>3</v>
      </c>
      <c r="C6" s="355" t="s">
        <v>313</v>
      </c>
      <c r="D6" s="355" t="s">
        <v>314</v>
      </c>
      <c r="E6" s="355" t="s">
        <v>315</v>
      </c>
      <c r="F6" s="355" t="s">
        <v>316</v>
      </c>
      <c r="G6" s="355" t="s">
        <v>317</v>
      </c>
      <c r="H6" s="355" t="s">
        <v>9</v>
      </c>
      <c r="I6" s="355" t="s">
        <v>10</v>
      </c>
    </row>
    <row r="7" customFormat="false" ht="12.75" hidden="false" customHeight="false" outlineLevel="0" collapsed="false">
      <c r="A7" s="356" t="n">
        <v>45848</v>
      </c>
      <c r="B7" s="357" t="s">
        <v>101</v>
      </c>
      <c r="C7" s="304" t="n">
        <v>30000</v>
      </c>
      <c r="D7" s="358" t="n">
        <v>0.0332</v>
      </c>
      <c r="E7" s="359" t="n">
        <v>3.0388</v>
      </c>
      <c r="F7" s="142"/>
      <c r="G7" s="142"/>
      <c r="H7" s="360"/>
      <c r="I7" s="64"/>
      <c r="J7" s="361" t="n">
        <f aca="false">3.39-3.08</f>
        <v>0.31</v>
      </c>
      <c r="K7" s="163"/>
      <c r="L7" s="362"/>
    </row>
    <row r="8" customFormat="false" ht="12.75" hidden="false" customHeight="false" outlineLevel="0" collapsed="false">
      <c r="A8" s="356"/>
      <c r="B8" s="357"/>
      <c r="C8" s="304"/>
      <c r="D8" s="358"/>
      <c r="E8" s="359"/>
      <c r="F8" s="142"/>
      <c r="G8" s="142"/>
      <c r="H8" s="363"/>
      <c r="I8" s="64"/>
      <c r="J8" s="364"/>
      <c r="K8" s="163"/>
    </row>
    <row r="9" customFormat="false" ht="12.75" hidden="false" customHeight="false" outlineLevel="0" collapsed="false">
      <c r="A9" s="356"/>
      <c r="B9" s="357"/>
      <c r="C9" s="304"/>
      <c r="D9" s="365"/>
      <c r="E9" s="359"/>
      <c r="F9" s="142"/>
      <c r="G9" s="142"/>
      <c r="H9" s="360"/>
      <c r="I9" s="64"/>
      <c r="J9" s="364"/>
      <c r="K9" s="163"/>
    </row>
    <row r="10" customFormat="false" ht="12.75" hidden="false" customHeight="false" outlineLevel="0" collapsed="false">
      <c r="A10" s="356"/>
      <c r="B10" s="357"/>
      <c r="C10" s="304"/>
      <c r="D10" s="365"/>
      <c r="E10" s="359"/>
      <c r="F10" s="142"/>
      <c r="G10" s="142"/>
      <c r="H10" s="360"/>
      <c r="I10" s="64"/>
      <c r="J10" s="174"/>
      <c r="K10" s="163"/>
    </row>
    <row r="11" customFormat="false" ht="12.75" hidden="false" customHeight="false" outlineLevel="0" collapsed="false">
      <c r="A11" s="356"/>
      <c r="B11" s="357"/>
      <c r="C11" s="304"/>
      <c r="D11" s="365"/>
      <c r="E11" s="359"/>
      <c r="F11" s="142"/>
      <c r="G11" s="142"/>
      <c r="H11" s="360"/>
      <c r="I11" s="64"/>
      <c r="J11" s="174"/>
      <c r="K11" s="163"/>
    </row>
    <row r="12" customFormat="false" ht="12.75" hidden="false" customHeight="false" outlineLevel="0" collapsed="false">
      <c r="A12" s="356"/>
      <c r="B12" s="357"/>
      <c r="C12" s="304"/>
      <c r="D12" s="365"/>
      <c r="E12" s="359"/>
      <c r="F12" s="142"/>
      <c r="G12" s="142"/>
      <c r="H12" s="360"/>
      <c r="I12" s="64"/>
      <c r="J12" s="362"/>
      <c r="K12" s="362"/>
    </row>
    <row r="13" customFormat="false" ht="12.75" hidden="false" customHeight="false" outlineLevel="0" collapsed="false">
      <c r="A13" s="356"/>
      <c r="B13" s="357"/>
      <c r="C13" s="304"/>
      <c r="D13" s="365"/>
      <c r="E13" s="360"/>
      <c r="F13" s="142"/>
      <c r="G13" s="142"/>
      <c r="H13" s="360"/>
      <c r="I13" s="64"/>
      <c r="J13" s="163"/>
    </row>
    <row r="14" customFormat="false" ht="12.75" hidden="false" customHeight="false" outlineLevel="0" collapsed="false">
      <c r="A14" s="356"/>
      <c r="B14" s="357"/>
      <c r="C14" s="304"/>
      <c r="D14" s="365"/>
      <c r="E14" s="359"/>
      <c r="F14" s="142"/>
      <c r="G14" s="142"/>
      <c r="H14" s="360"/>
      <c r="I14" s="64"/>
    </row>
    <row r="15" customFormat="false" ht="12.75" hidden="false" customHeight="false" outlineLevel="0" collapsed="false">
      <c r="A15" s="356"/>
      <c r="B15" s="357"/>
      <c r="C15" s="304"/>
      <c r="D15" s="365"/>
      <c r="E15" s="359"/>
      <c r="F15" s="142"/>
      <c r="G15" s="142"/>
      <c r="H15" s="360"/>
      <c r="I15" s="64"/>
    </row>
    <row r="16" customFormat="false" ht="12.75" hidden="false" customHeight="false" outlineLevel="0" collapsed="false">
      <c r="A16" s="356"/>
      <c r="B16" s="357"/>
      <c r="C16" s="304"/>
      <c r="D16" s="365"/>
      <c r="E16" s="359"/>
      <c r="F16" s="142"/>
      <c r="G16" s="142"/>
      <c r="H16" s="360"/>
      <c r="I16" s="64"/>
    </row>
    <row r="17" customFormat="false" ht="12.75" hidden="false" customHeight="false" outlineLevel="0" collapsed="false">
      <c r="A17" s="356"/>
      <c r="B17" s="357"/>
      <c r="C17" s="304"/>
      <c r="D17" s="365"/>
      <c r="E17" s="360"/>
      <c r="F17" s="142"/>
      <c r="G17" s="142"/>
      <c r="H17" s="360"/>
      <c r="I17" s="64"/>
    </row>
    <row r="18" customFormat="false" ht="12.75" hidden="false" customHeight="false" outlineLevel="0" collapsed="false">
      <c r="A18" s="356"/>
      <c r="B18" s="357"/>
      <c r="C18" s="304"/>
      <c r="D18" s="365"/>
      <c r="E18" s="360"/>
      <c r="F18" s="142"/>
      <c r="G18" s="142"/>
      <c r="H18" s="360"/>
      <c r="I18" s="64"/>
    </row>
    <row r="19" customFormat="false" ht="12.75" hidden="false" customHeight="false" outlineLevel="0" collapsed="false">
      <c r="A19" s="356"/>
      <c r="B19" s="357"/>
      <c r="C19" s="304"/>
      <c r="D19" s="365"/>
      <c r="E19" s="360"/>
      <c r="F19" s="142"/>
      <c r="G19" s="142"/>
      <c r="H19" s="360"/>
      <c r="I19" s="64"/>
    </row>
    <row r="20" customFormat="false" ht="12.75" hidden="false" customHeight="false" outlineLevel="0" collapsed="false">
      <c r="A20" s="356"/>
      <c r="B20" s="357"/>
      <c r="C20" s="304"/>
      <c r="D20" s="365"/>
      <c r="E20" s="360"/>
      <c r="F20" s="142"/>
      <c r="G20" s="142"/>
      <c r="H20" s="360"/>
      <c r="I20" s="64"/>
    </row>
    <row r="21" customFormat="false" ht="12.75" hidden="false" customHeight="false" outlineLevel="0" collapsed="false">
      <c r="A21" s="356"/>
      <c r="B21" s="357"/>
      <c r="C21" s="304"/>
      <c r="D21" s="365"/>
      <c r="E21" s="366"/>
      <c r="F21" s="142"/>
      <c r="G21" s="142"/>
      <c r="H21" s="366"/>
      <c r="I21" s="64"/>
    </row>
    <row r="22" customFormat="false" ht="12.75" hidden="false" customHeight="false" outlineLevel="0" collapsed="false">
      <c r="A22" s="356"/>
      <c r="B22" s="357"/>
      <c r="C22" s="304"/>
      <c r="D22" s="365"/>
      <c r="E22" s="366"/>
      <c r="F22" s="142"/>
      <c r="G22" s="142"/>
      <c r="H22" s="366"/>
      <c r="I22" s="64"/>
    </row>
    <row r="23" customFormat="false" ht="12.75" hidden="false" customHeight="false" outlineLevel="0" collapsed="false">
      <c r="A23" s="356"/>
      <c r="B23" s="357"/>
      <c r="C23" s="304"/>
      <c r="D23" s="365"/>
      <c r="E23" s="366"/>
      <c r="F23" s="142"/>
      <c r="G23" s="142"/>
      <c r="H23" s="366"/>
      <c r="I23" s="64"/>
    </row>
    <row r="24" customFormat="false" ht="12.75" hidden="false" customHeight="false" outlineLevel="0" collapsed="false">
      <c r="A24" s="356"/>
      <c r="B24" s="357"/>
      <c r="C24" s="304"/>
      <c r="D24" s="365"/>
      <c r="E24" s="366"/>
      <c r="F24" s="142"/>
      <c r="G24" s="142"/>
      <c r="H24" s="366"/>
      <c r="I24" s="64"/>
    </row>
    <row r="25" customFormat="false" ht="12.75" hidden="false" customHeight="false" outlineLevel="0" collapsed="false">
      <c r="A25" s="356"/>
      <c r="B25" s="357"/>
      <c r="C25" s="304"/>
      <c r="D25" s="365"/>
      <c r="E25" s="360"/>
      <c r="F25" s="142"/>
      <c r="G25" s="142"/>
      <c r="H25" s="360"/>
      <c r="I25" s="64"/>
    </row>
    <row r="26" customFormat="false" ht="15" hidden="false" customHeight="false" outlineLevel="0" collapsed="false">
      <c r="A26" s="351"/>
      <c r="B26" s="351"/>
      <c r="C26" s="367" t="n">
        <f aca="false">SUM(C7:C25)</f>
        <v>30000</v>
      </c>
      <c r="D26" s="167"/>
      <c r="E26" s="167"/>
      <c r="F26" s="167"/>
      <c r="G26" s="167"/>
      <c r="H26" s="167"/>
      <c r="I26" s="367" t="n">
        <f aca="false">SUM(I7:I20)</f>
        <v>0</v>
      </c>
    </row>
    <row r="27" customFormat="false" ht="12.75" hidden="false" customHeight="false" outlineLevel="0" collapsed="false">
      <c r="A27" s="349"/>
      <c r="B27" s="167"/>
      <c r="C27" s="167"/>
      <c r="D27" s="167"/>
      <c r="E27" s="167"/>
      <c r="F27" s="167"/>
      <c r="G27" s="167"/>
      <c r="H27" s="167"/>
      <c r="J27" s="294"/>
    </row>
    <row r="28" customFormat="false" ht="12.75" hidden="false" customHeight="false" outlineLevel="0" collapsed="false">
      <c r="A28" s="349"/>
      <c r="B28" s="167"/>
      <c r="C28" s="167"/>
      <c r="D28" s="167"/>
      <c r="E28" s="167"/>
      <c r="F28" s="167"/>
      <c r="G28" s="167"/>
      <c r="H28" s="167"/>
      <c r="J28" s="294"/>
    </row>
    <row r="29" customFormat="false" ht="12.75" hidden="false" customHeight="false" outlineLevel="0" collapsed="false">
      <c r="A29" s="349"/>
      <c r="B29" s="167"/>
      <c r="C29" s="167"/>
      <c r="D29" s="167"/>
      <c r="E29" s="167"/>
      <c r="F29" s="167"/>
      <c r="G29" s="167"/>
      <c r="H29" s="167"/>
      <c r="J29" s="294"/>
    </row>
    <row r="30" customFormat="false" ht="12.75" hidden="false" customHeight="false" outlineLevel="0" collapsed="false">
      <c r="A30" s="349"/>
      <c r="B30" s="167"/>
      <c r="C30" s="167"/>
      <c r="D30" s="167"/>
      <c r="E30" s="167"/>
      <c r="F30" s="167"/>
      <c r="G30" s="167"/>
      <c r="H30" s="167"/>
      <c r="J30" s="294"/>
    </row>
    <row r="31" customFormat="false" ht="15" hidden="false" customHeight="false" outlineLevel="0" collapsed="false">
      <c r="A31" s="351" t="s">
        <v>318</v>
      </c>
      <c r="B31" s="351"/>
      <c r="C31" s="167"/>
      <c r="D31" s="167"/>
      <c r="E31" s="167"/>
      <c r="F31" s="167"/>
      <c r="G31" s="167"/>
      <c r="H31" s="167"/>
      <c r="J31" s="294"/>
    </row>
    <row r="32" customFormat="false" ht="12.75" hidden="false" customHeight="false" outlineLevel="0" collapsed="false">
      <c r="A32" s="349"/>
      <c r="B32" s="167"/>
      <c r="C32" s="167"/>
      <c r="D32" s="167"/>
      <c r="E32" s="167"/>
      <c r="F32" s="167"/>
      <c r="G32" s="167"/>
      <c r="H32" s="167"/>
      <c r="J32" s="294"/>
    </row>
    <row r="33" customFormat="false" ht="12.75" hidden="false" customHeight="false" outlineLevel="0" collapsed="false">
      <c r="A33" s="353" t="s">
        <v>127</v>
      </c>
      <c r="B33" s="354" t="s">
        <v>3</v>
      </c>
      <c r="C33" s="355" t="s">
        <v>313</v>
      </c>
      <c r="D33" s="355" t="s">
        <v>314</v>
      </c>
      <c r="E33" s="355" t="s">
        <v>8</v>
      </c>
      <c r="F33" s="355" t="s">
        <v>316</v>
      </c>
      <c r="G33" s="355" t="s">
        <v>317</v>
      </c>
      <c r="H33" s="355" t="s">
        <v>9</v>
      </c>
      <c r="I33" s="355" t="s">
        <v>10</v>
      </c>
      <c r="J33" s="294"/>
    </row>
    <row r="34" customFormat="false" ht="12.75" hidden="false" customHeight="false" outlineLevel="0" collapsed="false">
      <c r="A34" s="356"/>
      <c r="B34" s="357"/>
      <c r="C34" s="304"/>
      <c r="D34" s="365"/>
      <c r="E34" s="169"/>
      <c r="F34" s="368"/>
      <c r="G34" s="360"/>
      <c r="H34" s="169"/>
      <c r="I34" s="64"/>
      <c r="J34" s="294"/>
    </row>
    <row r="35" customFormat="false" ht="12.75" hidden="false" customHeight="false" outlineLevel="0" collapsed="false">
      <c r="A35" s="356"/>
      <c r="B35" s="357"/>
      <c r="C35" s="304"/>
      <c r="D35" s="365"/>
      <c r="E35" s="366"/>
      <c r="F35" s="142"/>
      <c r="G35" s="142"/>
      <c r="H35" s="366"/>
      <c r="I35" s="64"/>
      <c r="J35" s="294"/>
    </row>
    <row r="36" customFormat="false" ht="12.75" hidden="false" customHeight="false" outlineLevel="0" collapsed="false">
      <c r="A36" s="356"/>
      <c r="B36" s="357"/>
      <c r="C36" s="304"/>
      <c r="D36" s="365"/>
      <c r="E36" s="366"/>
      <c r="F36" s="142"/>
      <c r="G36" s="142"/>
      <c r="H36" s="366"/>
      <c r="I36" s="64"/>
      <c r="J36" s="294"/>
    </row>
    <row r="37" customFormat="false" ht="12.75" hidden="false" customHeight="false" outlineLevel="0" collapsed="false">
      <c r="A37" s="356"/>
      <c r="B37" s="357"/>
      <c r="C37" s="304"/>
      <c r="D37" s="365"/>
      <c r="E37" s="366"/>
      <c r="F37" s="142"/>
      <c r="G37" s="142"/>
      <c r="H37" s="366"/>
      <c r="I37" s="64"/>
      <c r="J37" s="294"/>
    </row>
    <row r="38" customFormat="false" ht="12.75" hidden="false" customHeight="false" outlineLevel="0" collapsed="false">
      <c r="A38" s="356"/>
      <c r="B38" s="357"/>
      <c r="C38" s="304"/>
      <c r="D38" s="365"/>
      <c r="E38" s="366"/>
      <c r="F38" s="142"/>
      <c r="G38" s="142"/>
      <c r="H38" s="366"/>
      <c r="I38" s="64"/>
      <c r="J38" s="294"/>
    </row>
    <row r="39" customFormat="false" ht="12.75" hidden="false" customHeight="false" outlineLevel="0" collapsed="false">
      <c r="A39" s="356"/>
      <c r="B39" s="357"/>
      <c r="C39" s="304"/>
      <c r="D39" s="365"/>
      <c r="E39" s="366"/>
      <c r="F39" s="142"/>
      <c r="G39" s="142"/>
      <c r="H39" s="366"/>
      <c r="I39" s="64"/>
      <c r="J39" s="294"/>
    </row>
    <row r="40" customFormat="false" ht="12.75" hidden="false" customHeight="false" outlineLevel="0" collapsed="false">
      <c r="A40" s="369"/>
      <c r="B40" s="180"/>
      <c r="C40" s="304"/>
      <c r="D40" s="365"/>
      <c r="E40" s="360"/>
      <c r="F40" s="142"/>
      <c r="G40" s="142"/>
      <c r="H40" s="360"/>
      <c r="I40" s="64"/>
      <c r="J40" s="294"/>
    </row>
    <row r="41" customFormat="false" ht="12.75" hidden="false" customHeight="false" outlineLevel="0" collapsed="false">
      <c r="A41" s="369"/>
      <c r="B41" s="180"/>
      <c r="C41" s="304"/>
      <c r="D41" s="365"/>
      <c r="E41" s="360"/>
      <c r="F41" s="142"/>
      <c r="G41" s="142"/>
      <c r="H41" s="360"/>
      <c r="I41" s="64"/>
      <c r="J41" s="294"/>
    </row>
    <row r="42" customFormat="false" ht="12.75" hidden="false" customHeight="false" outlineLevel="0" collapsed="false">
      <c r="A42" s="356"/>
      <c r="B42" s="357"/>
      <c r="C42" s="304"/>
      <c r="D42" s="358"/>
      <c r="E42" s="359"/>
      <c r="F42" s="142"/>
      <c r="G42" s="142"/>
      <c r="H42" s="360"/>
      <c r="I42" s="64"/>
      <c r="J42" s="294"/>
    </row>
    <row r="43" customFormat="false" ht="12.75" hidden="false" customHeight="false" outlineLevel="0" collapsed="false">
      <c r="A43" s="369"/>
      <c r="B43" s="180"/>
      <c r="C43" s="304"/>
      <c r="D43" s="365"/>
      <c r="E43" s="360"/>
      <c r="F43" s="142"/>
      <c r="G43" s="142"/>
      <c r="H43" s="360"/>
      <c r="I43" s="64"/>
      <c r="J43" s="294"/>
    </row>
    <row r="44" customFormat="false" ht="12.75" hidden="false" customHeight="false" outlineLevel="0" collapsed="false">
      <c r="A44" s="369"/>
      <c r="B44" s="180"/>
      <c r="C44" s="304"/>
      <c r="D44" s="365"/>
      <c r="E44" s="360"/>
      <c r="F44" s="142"/>
      <c r="G44" s="142"/>
      <c r="H44" s="360"/>
      <c r="I44" s="370"/>
    </row>
    <row r="45" customFormat="false" ht="12.75" hidden="false" customHeight="false" outlineLevel="0" collapsed="false">
      <c r="B45" s="167"/>
      <c r="C45" s="304"/>
      <c r="D45" s="167"/>
      <c r="E45" s="360"/>
      <c r="F45" s="167"/>
      <c r="G45" s="167"/>
      <c r="H45" s="371"/>
      <c r="I45" s="372" t="n">
        <f aca="false">SUM(I34:I44)</f>
        <v>0</v>
      </c>
    </row>
    <row r="46" customFormat="false" ht="12.75" hidden="false" customHeight="false" outlineLevel="0" collapsed="false">
      <c r="A46" s="349"/>
      <c r="B46" s="167"/>
      <c r="C46" s="167"/>
      <c r="D46" s="167"/>
      <c r="E46" s="167"/>
      <c r="F46" s="167"/>
      <c r="G46" s="167"/>
      <c r="H46" s="373"/>
      <c r="I46" s="64"/>
    </row>
    <row r="47" customFormat="false" ht="12.75" hidden="false" customHeight="false" outlineLevel="0" collapsed="false">
      <c r="A47" s="349"/>
      <c r="B47" s="167"/>
      <c r="C47" s="167"/>
      <c r="D47" s="167"/>
      <c r="E47" s="167"/>
      <c r="F47" s="167"/>
      <c r="G47" s="167"/>
      <c r="H47" s="167"/>
      <c r="I47" s="294"/>
    </row>
    <row r="48" customFormat="false" ht="12.75" hidden="false" customHeight="false" outlineLevel="0" collapsed="false">
      <c r="A48" s="349"/>
      <c r="B48" s="167"/>
      <c r="C48" s="167"/>
      <c r="D48" s="167"/>
      <c r="E48" s="167"/>
      <c r="F48" s="167"/>
      <c r="G48" s="167"/>
      <c r="H48" s="167"/>
    </row>
    <row r="49" customFormat="false" ht="12.75" hidden="false" customHeight="false" outlineLevel="0" collapsed="false">
      <c r="A49" s="349"/>
      <c r="B49" s="167"/>
      <c r="C49" s="167"/>
      <c r="D49" s="167"/>
      <c r="E49" s="167"/>
      <c r="F49" s="167"/>
      <c r="G49" s="167"/>
      <c r="H49" s="167"/>
    </row>
    <row r="50" customFormat="false" ht="12.75" hidden="false" customHeight="false" outlineLevel="0" collapsed="false">
      <c r="A50" s="349"/>
      <c r="B50" s="167"/>
      <c r="C50" s="167"/>
      <c r="D50" s="167"/>
      <c r="E50" s="167"/>
      <c r="F50" s="167"/>
      <c r="G50" s="167"/>
      <c r="H50" s="167"/>
    </row>
    <row r="51" customFormat="false" ht="12.75" hidden="false" customHeight="false" outlineLevel="0" collapsed="false">
      <c r="A51" s="349"/>
      <c r="B51" s="167"/>
      <c r="C51" s="167"/>
      <c r="D51" s="167"/>
      <c r="E51" s="167"/>
      <c r="F51" s="167"/>
      <c r="G51" s="167"/>
      <c r="H51" s="167"/>
    </row>
    <row r="52" customFormat="false" ht="12.75" hidden="false" customHeight="false" outlineLevel="0" collapsed="false">
      <c r="A52" s="349"/>
      <c r="B52" s="167"/>
      <c r="C52" s="167"/>
      <c r="D52" s="167"/>
      <c r="E52" s="167"/>
      <c r="F52" s="167"/>
      <c r="G52" s="167"/>
      <c r="H52" s="167"/>
    </row>
    <row r="53" customFormat="false" ht="12.75" hidden="false" customHeight="false" outlineLevel="0" collapsed="false">
      <c r="A53" s="349"/>
      <c r="B53" s="167"/>
      <c r="C53" s="167"/>
      <c r="D53" s="167"/>
      <c r="E53" s="167"/>
      <c r="F53" s="167"/>
      <c r="G53" s="167"/>
      <c r="H53" s="167"/>
    </row>
    <row r="54" customFormat="false" ht="12.75" hidden="false" customHeight="false" outlineLevel="0" collapsed="false">
      <c r="A54" s="349"/>
      <c r="B54" s="167"/>
      <c r="C54" s="167"/>
      <c r="D54" s="167"/>
      <c r="E54" s="167"/>
      <c r="F54" s="167"/>
      <c r="G54" s="167"/>
      <c r="H54" s="167"/>
    </row>
    <row r="55" customFormat="false" ht="12.75" hidden="false" customHeight="false" outlineLevel="0" collapsed="false">
      <c r="A55" s="349"/>
      <c r="B55" s="167"/>
      <c r="C55" s="167"/>
      <c r="D55" s="167"/>
      <c r="E55" s="167"/>
      <c r="F55" s="167"/>
      <c r="G55" s="167"/>
      <c r="H55" s="167"/>
    </row>
    <row r="56" customFormat="false" ht="12.75" hidden="false" customHeight="false" outlineLevel="0" collapsed="false">
      <c r="A56" s="349"/>
      <c r="B56" s="167"/>
      <c r="C56" s="167"/>
      <c r="D56" s="167"/>
      <c r="E56" s="167"/>
      <c r="F56" s="167"/>
      <c r="G56" s="167"/>
      <c r="H56" s="167"/>
    </row>
    <row r="57" customFormat="false" ht="12.75" hidden="false" customHeight="false" outlineLevel="0" collapsed="false">
      <c r="A57" s="349"/>
      <c r="B57" s="167"/>
      <c r="C57" s="167"/>
      <c r="D57" s="167"/>
      <c r="E57" s="167"/>
      <c r="F57" s="167"/>
      <c r="G57" s="167"/>
      <c r="H57" s="167"/>
    </row>
    <row r="58" customFormat="false" ht="12.75" hidden="false" customHeight="false" outlineLevel="0" collapsed="false">
      <c r="A58" s="349"/>
      <c r="B58" s="167"/>
      <c r="C58" s="167"/>
      <c r="D58" s="167"/>
      <c r="E58" s="167"/>
      <c r="F58" s="167"/>
      <c r="G58" s="167"/>
      <c r="H58" s="167"/>
    </row>
    <row r="59" customFormat="false" ht="12.75" hidden="false" customHeight="false" outlineLevel="0" collapsed="false">
      <c r="A59" s="349"/>
      <c r="B59" s="167"/>
      <c r="C59" s="167"/>
      <c r="D59" s="167"/>
      <c r="E59" s="167"/>
      <c r="F59" s="167"/>
      <c r="G59" s="167"/>
      <c r="H59" s="167"/>
    </row>
    <row r="60" customFormat="false" ht="12.75" hidden="false" customHeight="false" outlineLevel="0" collapsed="false">
      <c r="A60" s="349"/>
      <c r="B60" s="167"/>
      <c r="C60" s="167"/>
      <c r="D60" s="167"/>
      <c r="E60" s="167"/>
      <c r="F60" s="167"/>
      <c r="G60" s="167"/>
      <c r="H60" s="167"/>
    </row>
    <row r="61" customFormat="false" ht="12.75" hidden="false" customHeight="false" outlineLevel="0" collapsed="false">
      <c r="A61" s="349"/>
      <c r="B61" s="167"/>
      <c r="C61" s="167"/>
      <c r="D61" s="167"/>
      <c r="E61" s="167"/>
      <c r="F61" s="167"/>
      <c r="G61" s="167"/>
      <c r="H61" s="167"/>
    </row>
    <row r="62" customFormat="false" ht="12.75" hidden="false" customHeight="false" outlineLevel="0" collapsed="false">
      <c r="A62" s="349"/>
      <c r="B62" s="167"/>
      <c r="C62" s="167"/>
      <c r="D62" s="167"/>
      <c r="E62" s="167"/>
      <c r="F62" s="167"/>
      <c r="G62" s="167"/>
      <c r="H62" s="167"/>
    </row>
    <row r="63" customFormat="false" ht="12.75" hidden="false" customHeight="false" outlineLevel="0" collapsed="false">
      <c r="A63" s="349"/>
      <c r="B63" s="167"/>
      <c r="C63" s="167"/>
      <c r="D63" s="167"/>
      <c r="E63" s="167"/>
      <c r="F63" s="167"/>
      <c r="G63" s="167"/>
      <c r="H63" s="167"/>
    </row>
    <row r="64" customFormat="false" ht="12.75" hidden="false" customHeight="false" outlineLevel="0" collapsed="false">
      <c r="A64" s="349"/>
      <c r="B64" s="167"/>
      <c r="C64" s="167"/>
      <c r="D64" s="167"/>
      <c r="E64" s="167"/>
      <c r="F64" s="167"/>
      <c r="G64" s="167"/>
      <c r="H64" s="167"/>
    </row>
    <row r="65" customFormat="false" ht="12.75" hidden="false" customHeight="false" outlineLevel="0" collapsed="false">
      <c r="A65" s="349"/>
      <c r="B65" s="167"/>
      <c r="C65" s="167"/>
      <c r="D65" s="167"/>
      <c r="E65" s="167"/>
      <c r="F65" s="167"/>
      <c r="G65" s="167"/>
      <c r="H65" s="167"/>
    </row>
    <row r="66" customFormat="false" ht="12.75" hidden="false" customHeight="false" outlineLevel="0" collapsed="false">
      <c r="A66" s="349"/>
      <c r="B66" s="167"/>
      <c r="C66" s="167"/>
      <c r="D66" s="167"/>
      <c r="E66" s="167"/>
      <c r="F66" s="167"/>
      <c r="G66" s="167"/>
      <c r="H66" s="167"/>
    </row>
    <row r="67" customFormat="false" ht="12.75" hidden="false" customHeight="false" outlineLevel="0" collapsed="false">
      <c r="A67" s="374"/>
      <c r="B67" s="167"/>
      <c r="C67" s="167"/>
      <c r="D67" s="167"/>
      <c r="E67" s="167"/>
      <c r="F67" s="167"/>
      <c r="G67" s="167"/>
      <c r="H67" s="167"/>
    </row>
    <row r="68" customFormat="false" ht="12.75" hidden="false" customHeight="false" outlineLevel="0" collapsed="false">
      <c r="A68" s="375"/>
      <c r="B68" s="167"/>
      <c r="C68" s="167"/>
      <c r="D68" s="167"/>
      <c r="E68" s="167"/>
      <c r="F68" s="167"/>
      <c r="G68" s="167"/>
      <c r="H68" s="167"/>
    </row>
    <row r="69" customFormat="false" ht="12.75" hidden="false" customHeight="false" outlineLevel="0" collapsed="false">
      <c r="A69" s="375"/>
      <c r="B69" s="167"/>
      <c r="C69" s="167"/>
      <c r="D69" s="167"/>
      <c r="E69" s="167"/>
      <c r="F69" s="167"/>
      <c r="G69" s="167"/>
      <c r="H69" s="167"/>
    </row>
    <row r="70" customFormat="false" ht="12.75" hidden="false" customHeight="false" outlineLevel="0" collapsed="false">
      <c r="A70" s="375"/>
      <c r="B70" s="167"/>
      <c r="C70" s="294"/>
      <c r="D70" s="167"/>
      <c r="E70" s="167"/>
      <c r="F70" s="167"/>
      <c r="G70" s="167"/>
      <c r="H70" s="167"/>
    </row>
    <row r="71" customFormat="false" ht="12.75" hidden="false" customHeight="false" outlineLevel="0" collapsed="false">
      <c r="A71" s="375"/>
      <c r="B71" s="167"/>
      <c r="C71" s="294"/>
      <c r="D71" s="167"/>
      <c r="E71" s="167"/>
      <c r="F71" s="167"/>
      <c r="G71" s="167"/>
      <c r="H71" s="167"/>
    </row>
    <row r="72" customFormat="false" ht="12.75" hidden="false" customHeight="false" outlineLevel="0" collapsed="false">
      <c r="A72" s="376"/>
      <c r="B72" s="167"/>
      <c r="C72" s="167"/>
      <c r="D72" s="167"/>
      <c r="E72" s="167"/>
      <c r="F72" s="167"/>
      <c r="G72" s="167"/>
      <c r="H72" s="167"/>
    </row>
    <row r="73" customFormat="false" ht="12.75" hidden="false" customHeight="false" outlineLevel="0" collapsed="false">
      <c r="A73" s="377"/>
      <c r="B73" s="167"/>
      <c r="C73" s="167"/>
      <c r="D73" s="167"/>
      <c r="E73" s="167"/>
      <c r="F73" s="167"/>
      <c r="G73" s="167"/>
      <c r="H73" s="167"/>
    </row>
    <row r="74" customFormat="false" ht="12.75" hidden="false" customHeight="false" outlineLevel="0" collapsed="false">
      <c r="A74" s="378"/>
      <c r="B74" s="167"/>
      <c r="C74" s="167"/>
      <c r="D74" s="167"/>
      <c r="E74" s="167"/>
      <c r="F74" s="167"/>
      <c r="G74" s="167"/>
      <c r="H74" s="167"/>
    </row>
    <row r="75" customFormat="false" ht="12.75" hidden="false" customHeight="false" outlineLevel="0" collapsed="false">
      <c r="A75" s="349"/>
      <c r="B75" s="167"/>
      <c r="C75" s="167"/>
      <c r="D75" s="167"/>
      <c r="E75" s="167"/>
      <c r="F75" s="167"/>
      <c r="G75" s="167"/>
      <c r="H75" s="167"/>
    </row>
    <row r="76" customFormat="false" ht="12.75" hidden="false" customHeight="false" outlineLevel="0" collapsed="false">
      <c r="A76" s="349"/>
      <c r="B76" s="167"/>
      <c r="C76" s="167"/>
      <c r="D76" s="167"/>
      <c r="E76" s="167"/>
      <c r="F76" s="167"/>
      <c r="G76" s="167"/>
      <c r="H76" s="167"/>
    </row>
    <row r="77" customFormat="false" ht="12.75" hidden="false" customHeight="false" outlineLevel="0" collapsed="false">
      <c r="A77" s="349"/>
      <c r="B77" s="167"/>
      <c r="C77" s="167"/>
      <c r="D77" s="167"/>
      <c r="E77" s="167"/>
      <c r="F77" s="167"/>
      <c r="G77" s="167"/>
      <c r="H77" s="167"/>
    </row>
    <row r="78" customFormat="false" ht="12.75" hidden="false" customHeight="false" outlineLevel="0" collapsed="false">
      <c r="A78" s="349"/>
      <c r="B78" s="167"/>
      <c r="C78" s="167"/>
      <c r="D78" s="167"/>
      <c r="E78" s="167"/>
      <c r="F78" s="167"/>
      <c r="G78" s="167"/>
      <c r="H78" s="167"/>
    </row>
    <row r="79" customFormat="false" ht="12.75" hidden="false" customHeight="false" outlineLevel="0" collapsed="false">
      <c r="A79" s="349"/>
      <c r="B79" s="167"/>
      <c r="C79" s="167"/>
      <c r="D79" s="167"/>
      <c r="E79" s="167"/>
      <c r="F79" s="167"/>
      <c r="G79" s="167"/>
      <c r="H79" s="167"/>
    </row>
    <row r="80" customFormat="false" ht="12.75" hidden="false" customHeight="false" outlineLevel="0" collapsed="false">
      <c r="A80" s="349"/>
      <c r="B80" s="167"/>
      <c r="C80" s="167"/>
      <c r="D80" s="167"/>
      <c r="E80" s="167"/>
      <c r="F80" s="167"/>
      <c r="G80" s="167"/>
      <c r="H80" s="167"/>
    </row>
    <row r="81" customFormat="false" ht="12.75" hidden="false" customHeight="false" outlineLevel="0" collapsed="false">
      <c r="A81" s="349"/>
      <c r="B81" s="167"/>
      <c r="C81" s="167"/>
      <c r="D81" s="167"/>
      <c r="E81" s="167"/>
      <c r="F81" s="167"/>
      <c r="G81" s="167"/>
      <c r="H81" s="167"/>
    </row>
    <row r="82" customFormat="false" ht="12.75" hidden="false" customHeight="false" outlineLevel="0" collapsed="false">
      <c r="E82" s="167"/>
    </row>
    <row r="83" customFormat="false" ht="12.75" hidden="false" customHeight="false" outlineLevel="0" collapsed="false">
      <c r="E83" s="167"/>
    </row>
    <row r="84" customFormat="false" ht="12.75" hidden="false" customHeight="false" outlineLevel="0" collapsed="false">
      <c r="E84" s="167"/>
    </row>
    <row r="85" customFormat="false" ht="12.75" hidden="false" customHeight="false" outlineLevel="0" collapsed="false">
      <c r="E85" s="167"/>
    </row>
    <row r="86" customFormat="false" ht="12.75" hidden="false" customHeight="false" outlineLevel="0" collapsed="false">
      <c r="E86" s="167"/>
    </row>
    <row r="87" customFormat="false" ht="12.75" hidden="false" customHeight="false" outlineLevel="0" collapsed="false">
      <c r="E87" s="167"/>
    </row>
    <row r="88" customFormat="false" ht="12.75" hidden="false" customHeight="false" outlineLevel="0" collapsed="false">
      <c r="E88" s="167"/>
    </row>
    <row r="89" customFormat="false" ht="12.75" hidden="false" customHeight="false" outlineLevel="0" collapsed="false">
      <c r="E89" s="167"/>
    </row>
    <row r="90" customFormat="false" ht="12.75" hidden="false" customHeight="false" outlineLevel="0" collapsed="false">
      <c r="E90" s="167"/>
    </row>
    <row r="91" customFormat="false" ht="12.75" hidden="false" customHeight="false" outlineLevel="0" collapsed="false">
      <c r="E91" s="167"/>
    </row>
    <row r="92" customFormat="false" ht="12.75" hidden="false" customHeight="false" outlineLevel="0" collapsed="false">
      <c r="E92" s="167"/>
    </row>
    <row r="93" customFormat="false" ht="12.75" hidden="false" customHeight="false" outlineLevel="0" collapsed="false">
      <c r="E93" s="167"/>
    </row>
    <row r="94" customFormat="false" ht="12.75" hidden="false" customHeight="false" outlineLevel="0" collapsed="false">
      <c r="E94" s="167"/>
    </row>
    <row r="95" customFormat="false" ht="12.75" hidden="false" customHeight="false" outlineLevel="0" collapsed="false">
      <c r="E95" s="167"/>
    </row>
    <row r="96" customFormat="false" ht="12.75" hidden="false" customHeight="false" outlineLevel="0" collapsed="false">
      <c r="E96" s="167"/>
    </row>
    <row r="97" customFormat="false" ht="12.75" hidden="false" customHeight="false" outlineLevel="0" collapsed="false">
      <c r="E97" s="167"/>
    </row>
    <row r="98" customFormat="false" ht="12.75" hidden="false" customHeight="false" outlineLevel="0" collapsed="false">
      <c r="E98" s="167"/>
    </row>
    <row r="99" customFormat="false" ht="12.75" hidden="false" customHeight="false" outlineLevel="0" collapsed="false">
      <c r="E99" s="167"/>
    </row>
  </sheetData>
  <mergeCells count="3">
    <mergeCell ref="A4:B4"/>
    <mergeCell ref="A26:B26"/>
    <mergeCell ref="A31:B3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30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F32" activeCellId="0" sqref="F32"/>
    </sheetView>
  </sheetViews>
  <sheetFormatPr defaultColWidth="11.42578125" defaultRowHeight="12.75" zeroHeight="false" outlineLevelRow="0" outlineLevelCol="0"/>
  <cols>
    <col collapsed="false" customWidth="true" hidden="false" outlineLevel="0" max="1" min="1" style="0" width="14.57"/>
    <col collapsed="false" customWidth="true" hidden="false" outlineLevel="0" max="2" min="2" style="0" width="13.57"/>
    <col collapsed="false" customWidth="true" hidden="false" outlineLevel="0" max="3" min="3" style="0" width="11.14"/>
    <col collapsed="false" customWidth="true" hidden="false" outlineLevel="0" max="4" min="4" style="0" width="15.14"/>
    <col collapsed="false" customWidth="true" hidden="false" outlineLevel="0" max="5" min="5" style="0" width="14.14"/>
    <col collapsed="false" customWidth="true" hidden="false" outlineLevel="0" max="6" min="6" style="0" width="9.14"/>
    <col collapsed="false" customWidth="true" hidden="false" outlineLevel="0" max="8" min="8" style="0" width="13"/>
    <col collapsed="false" customWidth="true" hidden="false" outlineLevel="0" max="10" min="10" style="167" width="12.86"/>
    <col collapsed="false" customWidth="true" hidden="false" outlineLevel="0" max="11" min="11" style="167" width="11.85"/>
    <col collapsed="false" customWidth="false" hidden="false" outlineLevel="0" max="14" min="12" style="167" width="11.43"/>
    <col collapsed="false" customWidth="true" hidden="false" outlineLevel="0" max="15" min="15" style="167" width="11.85"/>
    <col collapsed="false" customWidth="false" hidden="false" outlineLevel="0" max="16" min="16" style="167" width="11.43"/>
  </cols>
  <sheetData>
    <row r="1" customFormat="false" ht="15" hidden="false" customHeight="false" outlineLevel="0" collapsed="false">
      <c r="A1" s="379"/>
      <c r="B1" s="379"/>
      <c r="C1" s="380"/>
      <c r="D1" s="379" t="s">
        <v>319</v>
      </c>
      <c r="E1" s="381"/>
      <c r="F1" s="381"/>
      <c r="G1" s="381"/>
      <c r="H1" s="381"/>
      <c r="I1" s="382"/>
      <c r="J1" s="290"/>
    </row>
    <row r="2" customFormat="false" ht="12.75" hidden="false" customHeight="false" outlineLevel="0" collapsed="false">
      <c r="A2" s="167"/>
      <c r="B2" s="167"/>
      <c r="C2" s="167"/>
      <c r="D2" s="167"/>
      <c r="E2" s="167"/>
      <c r="F2" s="167"/>
      <c r="G2" s="167"/>
      <c r="H2" s="288"/>
      <c r="I2" s="172"/>
    </row>
    <row r="3" customFormat="false" ht="12.75" hidden="false" customHeight="false" outlineLevel="0" collapsed="false">
      <c r="A3" s="167"/>
      <c r="B3" s="167"/>
      <c r="C3" s="167"/>
      <c r="D3" s="167"/>
      <c r="E3" s="167"/>
      <c r="F3" s="167"/>
      <c r="G3" s="167"/>
      <c r="H3" s="288"/>
      <c r="I3" s="172"/>
    </row>
    <row r="4" customFormat="false" ht="15" hidden="false" customHeight="false" outlineLevel="0" collapsed="false">
      <c r="A4" s="351" t="s">
        <v>318</v>
      </c>
      <c r="B4" s="351"/>
      <c r="C4" s="351"/>
      <c r="D4" s="167"/>
      <c r="E4" s="167"/>
      <c r="F4" s="167"/>
      <c r="G4" s="167"/>
      <c r="H4" s="288"/>
      <c r="I4" s="172"/>
    </row>
    <row r="5" customFormat="false" ht="12.75" hidden="false" customHeight="false" outlineLevel="0" collapsed="false">
      <c r="A5" s="288"/>
      <c r="B5" s="288"/>
      <c r="C5" s="167"/>
      <c r="D5" s="167"/>
      <c r="E5" s="288"/>
      <c r="F5" s="288"/>
      <c r="G5" s="288"/>
      <c r="H5" s="288"/>
      <c r="I5" s="288"/>
    </row>
    <row r="6" customFormat="false" ht="12.75" hidden="false" customHeight="false" outlineLevel="0" collapsed="false">
      <c r="A6" s="354" t="s">
        <v>320</v>
      </c>
      <c r="B6" s="354" t="s">
        <v>321</v>
      </c>
      <c r="C6" s="354" t="s">
        <v>3</v>
      </c>
      <c r="D6" s="355" t="s">
        <v>26</v>
      </c>
      <c r="E6" s="355" t="s">
        <v>322</v>
      </c>
      <c r="F6" s="355" t="s">
        <v>323</v>
      </c>
      <c r="G6" s="355" t="s">
        <v>8</v>
      </c>
      <c r="H6" s="355" t="s">
        <v>316</v>
      </c>
      <c r="I6" s="355" t="s">
        <v>9</v>
      </c>
      <c r="J6" s="355" t="s">
        <v>324</v>
      </c>
      <c r="K6" s="355" t="s">
        <v>325</v>
      </c>
      <c r="L6" s="355" t="s">
        <v>326</v>
      </c>
    </row>
    <row r="7" customFormat="false" ht="12.75" hidden="false" customHeight="false" outlineLevel="0" collapsed="false">
      <c r="A7" s="357" t="s">
        <v>327</v>
      </c>
      <c r="B7" s="383"/>
      <c r="C7" s="357" t="s">
        <v>81</v>
      </c>
      <c r="D7" s="142"/>
      <c r="E7" s="358" t="n">
        <v>0.0493</v>
      </c>
      <c r="F7" s="358" t="n">
        <v>0.0485</v>
      </c>
      <c r="G7" s="360" t="n">
        <v>116.34375</v>
      </c>
      <c r="H7" s="384" t="n">
        <f aca="false">G7*1000*D7</f>
        <v>0</v>
      </c>
      <c r="I7" s="360" t="n">
        <v>117.65625</v>
      </c>
      <c r="J7" s="359" t="n">
        <f aca="false">(I7-G7)*D7*1000</f>
        <v>0</v>
      </c>
      <c r="K7" s="236"/>
      <c r="L7" s="236"/>
    </row>
    <row r="8" customFormat="false" ht="12.75" hidden="false" customHeight="false" outlineLevel="0" collapsed="false">
      <c r="A8" s="357"/>
      <c r="B8" s="383"/>
      <c r="C8" s="357"/>
      <c r="D8" s="142"/>
      <c r="E8" s="358"/>
      <c r="F8" s="358"/>
      <c r="G8" s="360"/>
      <c r="H8" s="384"/>
      <c r="I8" s="360"/>
      <c r="J8" s="359"/>
      <c r="K8" s="236"/>
      <c r="L8" s="236"/>
    </row>
    <row r="9" customFormat="false" ht="12.75" hidden="false" customHeight="false" outlineLevel="0" collapsed="false">
      <c r="A9" s="357"/>
      <c r="B9" s="383"/>
      <c r="C9" s="357"/>
      <c r="D9" s="142"/>
      <c r="E9" s="358"/>
      <c r="F9" s="359"/>
      <c r="G9" s="360"/>
      <c r="H9" s="384"/>
      <c r="I9" s="360"/>
      <c r="J9" s="359"/>
      <c r="K9" s="236"/>
      <c r="L9" s="236"/>
    </row>
    <row r="10" customFormat="false" ht="12.75" hidden="false" customHeight="false" outlineLevel="0" collapsed="false">
      <c r="A10" s="357"/>
      <c r="B10" s="383"/>
      <c r="C10" s="357"/>
      <c r="D10" s="142"/>
      <c r="E10" s="358"/>
      <c r="F10" s="359"/>
      <c r="G10" s="360"/>
      <c r="H10" s="384"/>
      <c r="I10" s="360"/>
      <c r="J10" s="359"/>
      <c r="K10" s="236"/>
    </row>
    <row r="11" customFormat="false" ht="12.75" hidden="false" customHeight="false" outlineLevel="0" collapsed="false">
      <c r="A11" s="357"/>
      <c r="B11" s="383"/>
      <c r="C11" s="357"/>
      <c r="D11" s="385"/>
      <c r="E11" s="358"/>
      <c r="F11" s="365"/>
      <c r="G11" s="360"/>
      <c r="H11" s="384"/>
      <c r="I11" s="360"/>
      <c r="J11" s="359"/>
      <c r="K11" s="236"/>
    </row>
    <row r="12" customFormat="false" ht="12.75" hidden="false" customHeight="false" outlineLevel="0" collapsed="false">
      <c r="A12" s="357"/>
      <c r="B12" s="383"/>
      <c r="C12" s="357"/>
      <c r="D12" s="385"/>
      <c r="E12" s="358"/>
      <c r="F12" s="365"/>
      <c r="G12" s="360"/>
      <c r="H12" s="384"/>
      <c r="I12" s="360"/>
      <c r="J12" s="359"/>
      <c r="K12" s="236"/>
    </row>
    <row r="13" customFormat="false" ht="12.75" hidden="false" customHeight="false" outlineLevel="0" collapsed="false">
      <c r="A13" s="357"/>
      <c r="B13" s="383"/>
      <c r="C13" s="357"/>
      <c r="D13" s="385"/>
      <c r="E13" s="358"/>
      <c r="F13" s="365"/>
      <c r="G13" s="360"/>
      <c r="H13" s="384"/>
      <c r="I13" s="360"/>
      <c r="J13" s="359"/>
      <c r="K13" s="236"/>
    </row>
    <row r="14" customFormat="false" ht="12.75" hidden="false" customHeight="false" outlineLevel="0" collapsed="false">
      <c r="A14" s="357"/>
      <c r="B14" s="383"/>
      <c r="C14" s="357"/>
      <c r="D14" s="385"/>
      <c r="E14" s="358"/>
      <c r="F14" s="365"/>
      <c r="G14" s="360"/>
      <c r="H14" s="384"/>
      <c r="I14" s="360"/>
      <c r="J14" s="359"/>
      <c r="K14" s="236"/>
    </row>
    <row r="15" customFormat="false" ht="12.75" hidden="false" customHeight="false" outlineLevel="0" collapsed="false">
      <c r="A15" s="357"/>
      <c r="B15" s="383"/>
      <c r="C15" s="357"/>
      <c r="D15" s="385"/>
      <c r="E15" s="358"/>
      <c r="F15" s="365"/>
      <c r="G15" s="360"/>
      <c r="H15" s="384"/>
      <c r="I15" s="360"/>
      <c r="J15" s="359"/>
      <c r="K15" s="236"/>
    </row>
    <row r="16" customFormat="false" ht="12.75" hidden="false" customHeight="false" outlineLevel="0" collapsed="false">
      <c r="A16" s="357"/>
      <c r="B16" s="383"/>
      <c r="C16" s="357"/>
      <c r="D16" s="385"/>
      <c r="E16" s="358"/>
      <c r="F16" s="365"/>
      <c r="G16" s="360"/>
      <c r="H16" s="384"/>
      <c r="I16" s="360"/>
      <c r="J16" s="359"/>
      <c r="K16" s="236"/>
    </row>
    <row r="17" customFormat="false" ht="12.75" hidden="false" customHeight="false" outlineLevel="0" collapsed="false">
      <c r="A17" s="357"/>
      <c r="B17" s="383"/>
      <c r="C17" s="357"/>
      <c r="D17" s="385"/>
      <c r="E17" s="358"/>
      <c r="F17" s="365"/>
      <c r="G17" s="360"/>
      <c r="H17" s="384"/>
      <c r="I17" s="360"/>
      <c r="J17" s="359"/>
      <c r="K17" s="236"/>
    </row>
    <row r="18" customFormat="false" ht="12.75" hidden="false" customHeight="false" outlineLevel="0" collapsed="false">
      <c r="A18" s="357"/>
      <c r="B18" s="383"/>
      <c r="C18" s="357"/>
      <c r="D18" s="385"/>
      <c r="E18" s="358"/>
      <c r="F18" s="365"/>
      <c r="G18" s="360"/>
      <c r="H18" s="384"/>
      <c r="I18" s="360"/>
      <c r="J18" s="359"/>
      <c r="K18" s="236"/>
    </row>
    <row r="19" customFormat="false" ht="12.75" hidden="false" customHeight="false" outlineLevel="0" collapsed="false">
      <c r="A19" s="357"/>
      <c r="B19" s="383"/>
      <c r="C19" s="357"/>
      <c r="D19" s="385"/>
      <c r="E19" s="358"/>
      <c r="F19" s="365"/>
      <c r="G19" s="360"/>
      <c r="H19" s="384"/>
      <c r="I19" s="360"/>
      <c r="J19" s="359"/>
      <c r="K19" s="236"/>
    </row>
    <row r="20" customFormat="false" ht="12.75" hidden="false" customHeight="false" outlineLevel="0" collapsed="false">
      <c r="A20" s="357"/>
      <c r="B20" s="383"/>
      <c r="C20" s="357"/>
      <c r="D20" s="385"/>
      <c r="E20" s="358"/>
      <c r="F20" s="365"/>
      <c r="G20" s="360"/>
      <c r="H20" s="384"/>
      <c r="I20" s="360"/>
      <c r="J20" s="359"/>
      <c r="K20" s="236"/>
    </row>
    <row r="21" customFormat="false" ht="12.75" hidden="false" customHeight="false" outlineLevel="0" collapsed="false">
      <c r="A21" s="357"/>
      <c r="B21" s="383"/>
      <c r="C21" s="357"/>
      <c r="D21" s="385"/>
      <c r="E21" s="358"/>
      <c r="F21" s="365"/>
      <c r="G21" s="360"/>
      <c r="H21" s="384"/>
      <c r="I21" s="360"/>
      <c r="J21" s="359"/>
      <c r="K21" s="236"/>
    </row>
    <row r="22" customFormat="false" ht="12.75" hidden="false" customHeight="false" outlineLevel="0" collapsed="false">
      <c r="A22" s="357"/>
      <c r="B22" s="383"/>
      <c r="C22" s="357"/>
      <c r="D22" s="385"/>
      <c r="E22" s="358"/>
      <c r="F22" s="365"/>
      <c r="G22" s="360"/>
      <c r="H22" s="384"/>
      <c r="I22" s="360"/>
      <c r="J22" s="359"/>
      <c r="K22" s="236"/>
    </row>
    <row r="23" customFormat="false" ht="12.75" hidden="false" customHeight="false" outlineLevel="0" collapsed="false">
      <c r="A23" s="357"/>
      <c r="B23" s="383"/>
      <c r="C23" s="357"/>
      <c r="D23" s="385"/>
      <c r="E23" s="358"/>
      <c r="F23" s="365"/>
      <c r="G23" s="360"/>
      <c r="H23" s="384"/>
      <c r="I23" s="360"/>
      <c r="J23" s="359"/>
      <c r="K23" s="236"/>
      <c r="L23" s="163"/>
    </row>
    <row r="24" customFormat="false" ht="12.75" hidden="false" customHeight="false" outlineLevel="0" collapsed="false">
      <c r="A24" s="357"/>
      <c r="B24" s="383"/>
      <c r="C24" s="357"/>
      <c r="D24" s="385"/>
      <c r="E24" s="358"/>
      <c r="F24" s="365"/>
      <c r="G24" s="360"/>
      <c r="H24" s="384"/>
      <c r="I24" s="360"/>
      <c r="J24" s="359"/>
      <c r="K24" s="236"/>
    </row>
    <row r="25" customFormat="false" ht="12.75" hidden="false" customHeight="false" outlineLevel="0" collapsed="false">
      <c r="A25" s="357"/>
      <c r="B25" s="383"/>
      <c r="C25" s="357"/>
      <c r="D25" s="385"/>
      <c r="E25" s="358"/>
      <c r="F25" s="365"/>
      <c r="G25" s="360"/>
      <c r="H25" s="384"/>
      <c r="I25" s="360"/>
      <c r="J25" s="359"/>
      <c r="K25" s="236"/>
      <c r="L25" s="328"/>
    </row>
    <row r="26" customFormat="false" ht="12.75" hidden="false" customHeight="false" outlineLevel="0" collapsed="false">
      <c r="A26" s="357"/>
      <c r="B26" s="383"/>
      <c r="C26" s="357"/>
      <c r="D26" s="385"/>
      <c r="E26" s="358"/>
      <c r="F26" s="365"/>
      <c r="G26" s="360"/>
      <c r="H26" s="384"/>
      <c r="I26" s="360"/>
      <c r="J26" s="359"/>
      <c r="K26" s="236"/>
    </row>
    <row r="27" customFormat="false" ht="12.75" hidden="false" customHeight="false" outlineLevel="0" collapsed="false">
      <c r="A27" s="357"/>
      <c r="B27" s="383"/>
      <c r="C27" s="357"/>
      <c r="D27" s="385"/>
      <c r="E27" s="358"/>
      <c r="F27" s="365"/>
      <c r="G27" s="360"/>
      <c r="H27" s="384"/>
      <c r="I27" s="360"/>
      <c r="J27" s="359"/>
      <c r="K27" s="236"/>
    </row>
    <row r="28" customFormat="false" ht="12.75" hidden="false" customHeight="false" outlineLevel="0" collapsed="false">
      <c r="A28" s="357"/>
      <c r="B28" s="383"/>
      <c r="C28" s="357"/>
      <c r="D28" s="385"/>
      <c r="E28" s="358"/>
      <c r="F28" s="365"/>
      <c r="G28" s="360"/>
      <c r="H28" s="384"/>
      <c r="I28" s="360"/>
      <c r="J28" s="359"/>
      <c r="K28" s="236"/>
    </row>
    <row r="29" customFormat="false" ht="12.75" hidden="false" customHeight="false" outlineLevel="0" collapsed="false">
      <c r="A29" s="357"/>
      <c r="B29" s="383"/>
      <c r="C29" s="357"/>
      <c r="D29" s="385"/>
      <c r="E29" s="358"/>
      <c r="F29" s="365"/>
      <c r="G29" s="360"/>
      <c r="H29" s="384"/>
      <c r="I29" s="360"/>
      <c r="J29" s="359"/>
      <c r="K29" s="236"/>
    </row>
    <row r="30" customFormat="false" ht="12.75" hidden="false" customHeight="false" outlineLevel="0" collapsed="false">
      <c r="A30" s="357"/>
      <c r="B30" s="383"/>
      <c r="C30" s="357"/>
      <c r="D30" s="385"/>
      <c r="E30" s="358"/>
      <c r="F30" s="365"/>
      <c r="G30" s="360"/>
      <c r="H30" s="384"/>
      <c r="I30" s="360"/>
      <c r="J30" s="359"/>
      <c r="K30" s="236"/>
    </row>
    <row r="31" customFormat="false" ht="12.75" hidden="false" customHeight="false" outlineLevel="0" collapsed="false">
      <c r="A31" s="357"/>
      <c r="B31" s="383"/>
      <c r="C31" s="357"/>
      <c r="D31" s="385"/>
      <c r="E31" s="358"/>
      <c r="F31" s="365"/>
      <c r="G31" s="360"/>
      <c r="H31" s="384"/>
      <c r="I31" s="360"/>
      <c r="J31" s="359"/>
      <c r="K31" s="236"/>
    </row>
    <row r="32" customFormat="false" ht="12.75" hidden="false" customHeight="false" outlineLevel="0" collapsed="false">
      <c r="A32" s="357"/>
      <c r="B32" s="383"/>
      <c r="C32" s="357"/>
      <c r="D32" s="385"/>
      <c r="E32" s="358"/>
      <c r="F32" s="365"/>
      <c r="G32" s="360"/>
      <c r="H32" s="384"/>
      <c r="I32" s="360"/>
      <c r="J32" s="359"/>
      <c r="K32" s="236"/>
    </row>
    <row r="33" customFormat="false" ht="12.75" hidden="false" customHeight="false" outlineLevel="0" collapsed="false">
      <c r="A33" s="357"/>
      <c r="B33" s="383"/>
      <c r="C33" s="357"/>
      <c r="D33" s="385"/>
      <c r="E33" s="358"/>
      <c r="F33" s="365"/>
      <c r="G33" s="360"/>
      <c r="H33" s="384"/>
      <c r="I33" s="360"/>
      <c r="J33" s="359"/>
      <c r="K33" s="236"/>
    </row>
    <row r="34" customFormat="false" ht="12.75" hidden="false" customHeight="false" outlineLevel="0" collapsed="false">
      <c r="A34" s="357"/>
      <c r="B34" s="383"/>
      <c r="C34" s="357"/>
      <c r="D34" s="385"/>
      <c r="E34" s="358"/>
      <c r="F34" s="365"/>
      <c r="G34" s="360"/>
      <c r="H34" s="384"/>
      <c r="I34" s="360"/>
      <c r="J34" s="359"/>
      <c r="K34" s="236"/>
    </row>
    <row r="35" customFormat="false" ht="12.75" hidden="false" customHeight="false" outlineLevel="0" collapsed="false">
      <c r="A35" s="357"/>
      <c r="B35" s="383"/>
      <c r="C35" s="357"/>
      <c r="D35" s="385"/>
      <c r="E35" s="358"/>
      <c r="F35" s="365"/>
      <c r="G35" s="360"/>
      <c r="H35" s="384"/>
      <c r="I35" s="360"/>
      <c r="J35" s="359"/>
      <c r="K35" s="236"/>
    </row>
    <row r="36" customFormat="false" ht="12.75" hidden="false" customHeight="false" outlineLevel="0" collapsed="false">
      <c r="A36" s="357"/>
      <c r="B36" s="383"/>
      <c r="C36" s="357"/>
      <c r="D36" s="385"/>
      <c r="E36" s="358"/>
      <c r="F36" s="365"/>
      <c r="G36" s="360"/>
      <c r="H36" s="384"/>
      <c r="I36" s="360"/>
      <c r="J36" s="359"/>
      <c r="K36" s="236"/>
    </row>
    <row r="37" customFormat="false" ht="12.75" hidden="false" customHeight="false" outlineLevel="0" collapsed="false">
      <c r="A37" s="357"/>
      <c r="B37" s="383"/>
      <c r="C37" s="357"/>
      <c r="D37" s="385"/>
      <c r="E37" s="358"/>
      <c r="F37" s="365"/>
      <c r="G37" s="360"/>
      <c r="H37" s="384"/>
      <c r="I37" s="360"/>
      <c r="J37" s="359"/>
      <c r="K37" s="236"/>
    </row>
    <row r="38" customFormat="false" ht="12.75" hidden="false" customHeight="false" outlineLevel="0" collapsed="false">
      <c r="A38" s="357"/>
      <c r="B38" s="383"/>
      <c r="C38" s="357"/>
      <c r="D38" s="385"/>
      <c r="E38" s="358"/>
      <c r="F38" s="365"/>
      <c r="G38" s="360"/>
      <c r="H38" s="384"/>
      <c r="I38" s="360"/>
      <c r="J38" s="359"/>
      <c r="K38" s="236"/>
    </row>
    <row r="39" customFormat="false" ht="12.75" hidden="false" customHeight="false" outlineLevel="0" collapsed="false">
      <c r="A39" s="357"/>
      <c r="B39" s="383"/>
      <c r="C39" s="357"/>
      <c r="D39" s="385"/>
      <c r="E39" s="358"/>
      <c r="F39" s="365"/>
      <c r="G39" s="360"/>
      <c r="H39" s="384"/>
      <c r="I39" s="360"/>
      <c r="J39" s="359"/>
      <c r="K39" s="236"/>
    </row>
    <row r="40" customFormat="false" ht="12.75" hidden="false" customHeight="false" outlineLevel="0" collapsed="false">
      <c r="A40" s="357"/>
      <c r="B40" s="383"/>
      <c r="C40" s="357"/>
      <c r="D40" s="385"/>
      <c r="E40" s="358"/>
      <c r="F40" s="365"/>
      <c r="G40" s="360"/>
      <c r="H40" s="384"/>
      <c r="I40" s="360"/>
      <c r="J40" s="359"/>
      <c r="K40" s="236"/>
    </row>
    <row r="41" customFormat="false" ht="12.75" hidden="false" customHeight="false" outlineLevel="0" collapsed="false">
      <c r="A41" s="357"/>
      <c r="B41" s="383"/>
      <c r="C41" s="357"/>
      <c r="D41" s="385"/>
      <c r="E41" s="358"/>
      <c r="F41" s="365"/>
      <c r="G41" s="360"/>
      <c r="H41" s="384"/>
      <c r="I41" s="360"/>
      <c r="J41" s="359"/>
      <c r="K41" s="236"/>
    </row>
    <row r="42" customFormat="false" ht="12.75" hidden="false" customHeight="false" outlineLevel="0" collapsed="false">
      <c r="A42" s="357"/>
      <c r="B42" s="383"/>
      <c r="C42" s="357"/>
      <c r="D42" s="142"/>
      <c r="E42" s="304"/>
      <c r="F42" s="365"/>
      <c r="G42" s="360"/>
      <c r="H42" s="384"/>
      <c r="I42" s="360"/>
      <c r="J42" s="359"/>
      <c r="K42" s="236"/>
    </row>
    <row r="43" customFormat="false" ht="12.75" hidden="false" customHeight="false" outlineLevel="0" collapsed="false">
      <c r="A43" s="357"/>
      <c r="B43" s="383"/>
      <c r="C43" s="357"/>
      <c r="D43" s="142"/>
      <c r="E43" s="304"/>
      <c r="F43" s="365"/>
      <c r="G43" s="360"/>
      <c r="H43" s="384"/>
      <c r="I43" s="360"/>
      <c r="J43" s="359"/>
      <c r="K43" s="236"/>
    </row>
    <row r="44" customFormat="false" ht="12.75" hidden="false" customHeight="false" outlineLevel="0" collapsed="false">
      <c r="A44" s="357"/>
      <c r="B44" s="383"/>
      <c r="C44" s="357"/>
      <c r="D44" s="142"/>
      <c r="E44" s="304"/>
      <c r="F44" s="365"/>
      <c r="G44" s="360"/>
      <c r="H44" s="384"/>
      <c r="I44" s="360"/>
      <c r="J44" s="359"/>
      <c r="K44" s="236"/>
    </row>
    <row r="45" customFormat="false" ht="12.75" hidden="false" customHeight="false" outlineLevel="0" collapsed="false">
      <c r="A45" s="357"/>
      <c r="B45" s="383"/>
      <c r="C45" s="357"/>
      <c r="D45" s="142"/>
      <c r="E45" s="304"/>
      <c r="F45" s="365"/>
      <c r="G45" s="360"/>
      <c r="H45" s="384"/>
      <c r="I45" s="360"/>
      <c r="J45" s="359"/>
      <c r="K45" s="236"/>
    </row>
    <row r="46" customFormat="false" ht="12.75" hidden="false" customHeight="false" outlineLevel="0" collapsed="false">
      <c r="A46" s="167"/>
      <c r="B46" s="167"/>
      <c r="C46" s="167"/>
      <c r="D46" s="142"/>
      <c r="E46" s="304"/>
      <c r="F46" s="365"/>
      <c r="G46" s="360"/>
      <c r="H46" s="142"/>
      <c r="I46" s="360"/>
      <c r="J46" s="64"/>
    </row>
    <row r="47" customFormat="false" ht="12.75" hidden="false" customHeight="false" outlineLevel="0" collapsed="false">
      <c r="A47" s="167"/>
      <c r="B47" s="167"/>
      <c r="C47" s="167"/>
      <c r="D47" s="142"/>
      <c r="E47" s="304"/>
      <c r="F47" s="365"/>
      <c r="G47" s="360"/>
      <c r="H47" s="142"/>
      <c r="I47" s="360"/>
      <c r="J47" s="64"/>
    </row>
    <row r="48" customFormat="false" ht="12.75" hidden="false" customHeight="false" outlineLevel="0" collapsed="false">
      <c r="A48" s="167"/>
      <c r="B48" s="167"/>
      <c r="C48" s="167"/>
      <c r="D48" s="167"/>
      <c r="E48" s="167"/>
      <c r="F48" s="167"/>
      <c r="G48" s="167"/>
      <c r="H48" s="167"/>
      <c r="I48" s="167"/>
      <c r="J48" s="367" t="n">
        <f aca="false">SUM(J7:J47)</f>
        <v>0</v>
      </c>
    </row>
    <row r="49" customFormat="false" ht="12.75" hidden="false" customHeight="false" outlineLevel="0" collapsed="false">
      <c r="A49" s="167"/>
      <c r="B49" s="167"/>
      <c r="C49" s="167"/>
      <c r="D49" s="167"/>
      <c r="E49" s="167"/>
      <c r="F49" s="167"/>
      <c r="G49" s="167"/>
      <c r="H49" s="167"/>
      <c r="I49" s="167"/>
      <c r="K49" s="294"/>
    </row>
    <row r="50" customFormat="false" ht="12.75" hidden="false" customHeight="false" outlineLevel="0" collapsed="false">
      <c r="A50" s="167"/>
      <c r="B50" s="167"/>
      <c r="C50" s="167"/>
      <c r="D50" s="167"/>
      <c r="E50" s="167"/>
      <c r="F50" s="167"/>
      <c r="G50" s="167"/>
      <c r="H50" s="167"/>
      <c r="I50" s="167"/>
      <c r="K50" s="294"/>
    </row>
    <row r="51" customFormat="false" ht="12.75" hidden="false" customHeight="false" outlineLevel="0" collapsed="false">
      <c r="A51" s="167"/>
      <c r="B51" s="167"/>
      <c r="C51" s="167"/>
      <c r="D51" s="167"/>
      <c r="E51" s="167"/>
      <c r="F51" s="167"/>
      <c r="G51" s="167"/>
      <c r="H51" s="167"/>
      <c r="I51" s="167"/>
      <c r="K51" s="294"/>
    </row>
    <row r="52" customFormat="false" ht="12.75" hidden="false" customHeight="false" outlineLevel="0" collapsed="false">
      <c r="A52" s="167"/>
      <c r="B52" s="167"/>
      <c r="C52" s="167"/>
      <c r="D52" s="167"/>
      <c r="E52" s="167"/>
      <c r="F52" s="167"/>
      <c r="G52" s="167"/>
      <c r="H52" s="167"/>
      <c r="I52" s="167"/>
      <c r="K52" s="294"/>
    </row>
    <row r="53" customFormat="false" ht="12.75" hidden="false" customHeight="false" outlineLevel="0" collapsed="false">
      <c r="A53" s="167"/>
      <c r="B53" s="167"/>
      <c r="C53" s="167"/>
      <c r="D53" s="167"/>
      <c r="E53" s="167"/>
      <c r="F53" s="167"/>
      <c r="G53" s="167"/>
      <c r="H53" s="167"/>
      <c r="I53" s="167"/>
      <c r="K53" s="294"/>
    </row>
    <row r="54" customFormat="false" ht="12.75" hidden="false" customHeight="false" outlineLevel="0" collapsed="false">
      <c r="A54" s="167"/>
      <c r="B54" s="167"/>
      <c r="C54" s="167"/>
      <c r="D54" s="167"/>
      <c r="E54" s="167"/>
      <c r="F54" s="167"/>
      <c r="G54" s="167"/>
      <c r="H54" s="167"/>
      <c r="I54" s="167"/>
      <c r="K54" s="294"/>
    </row>
    <row r="55" customFormat="false" ht="12.75" hidden="false" customHeight="false" outlineLevel="0" collapsed="false">
      <c r="A55" s="354" t="s">
        <v>320</v>
      </c>
      <c r="B55" s="354" t="s">
        <v>321</v>
      </c>
      <c r="C55" s="354" t="s">
        <v>3</v>
      </c>
      <c r="D55" s="355" t="s">
        <v>26</v>
      </c>
      <c r="E55" s="355" t="s">
        <v>322</v>
      </c>
      <c r="F55" s="355" t="s">
        <v>323</v>
      </c>
      <c r="G55" s="355" t="s">
        <v>8</v>
      </c>
      <c r="H55" s="355" t="s">
        <v>316</v>
      </c>
      <c r="I55" s="355" t="s">
        <v>9</v>
      </c>
      <c r="J55" s="355" t="s">
        <v>324</v>
      </c>
      <c r="K55" s="355" t="s">
        <v>325</v>
      </c>
    </row>
    <row r="56" customFormat="false" ht="12.75" hidden="false" customHeight="false" outlineLevel="0" collapsed="false">
      <c r="A56" s="180" t="s">
        <v>327</v>
      </c>
      <c r="B56" s="369" t="n">
        <v>45992</v>
      </c>
      <c r="C56" s="180" t="s">
        <v>81</v>
      </c>
      <c r="D56" s="304" t="n">
        <v>9</v>
      </c>
      <c r="E56" s="358"/>
      <c r="F56" s="365"/>
      <c r="G56" s="304" t="n">
        <v>119.59375</v>
      </c>
      <c r="H56" s="384" t="n">
        <v>1076343.75</v>
      </c>
      <c r="I56" s="360" t="n">
        <v>118.65625</v>
      </c>
      <c r="J56" s="64" t="n">
        <v>-8437.5</v>
      </c>
      <c r="K56" s="349" t="n">
        <v>46036</v>
      </c>
      <c r="M56" s="173"/>
      <c r="O56" s="173"/>
    </row>
    <row r="57" customFormat="false" ht="12.75" hidden="false" customHeight="false" outlineLevel="0" collapsed="false">
      <c r="A57" s="180" t="s">
        <v>327</v>
      </c>
      <c r="B57" s="386" t="n">
        <v>46042</v>
      </c>
      <c r="C57" s="180" t="s">
        <v>81</v>
      </c>
      <c r="D57" s="304" t="n">
        <v>5</v>
      </c>
      <c r="E57" s="358" t="n">
        <v>0.0493</v>
      </c>
      <c r="F57" s="365" t="n">
        <v>0.0485</v>
      </c>
      <c r="G57" s="360" t="n">
        <v>116.34375</v>
      </c>
      <c r="H57" s="384" t="n">
        <v>581718.75</v>
      </c>
      <c r="I57" s="360" t="n">
        <v>117.65625</v>
      </c>
      <c r="J57" s="64" t="n">
        <v>6562.5</v>
      </c>
      <c r="K57" s="349" t="n">
        <v>46044</v>
      </c>
    </row>
    <row r="58" customFormat="false" ht="12.75" hidden="false" customHeight="false" outlineLevel="0" collapsed="false">
      <c r="A58" s="180"/>
      <c r="B58" s="386"/>
      <c r="C58" s="180"/>
      <c r="D58" s="304"/>
      <c r="E58" s="358"/>
      <c r="F58" s="365"/>
      <c r="G58" s="360"/>
      <c r="H58" s="384"/>
      <c r="I58" s="360"/>
      <c r="J58" s="64"/>
      <c r="K58" s="349"/>
    </row>
    <row r="59" customFormat="false" ht="12.75" hidden="false" customHeight="false" outlineLevel="0" collapsed="false">
      <c r="A59" s="180"/>
      <c r="B59" s="386"/>
      <c r="C59" s="180"/>
      <c r="D59" s="304"/>
      <c r="E59" s="358"/>
      <c r="F59" s="365"/>
      <c r="G59" s="360"/>
      <c r="H59" s="384"/>
      <c r="I59" s="360"/>
      <c r="J59" s="64"/>
      <c r="K59" s="349"/>
    </row>
    <row r="60" customFormat="false" ht="12.75" hidden="false" customHeight="false" outlineLevel="0" collapsed="false">
      <c r="A60" s="180"/>
      <c r="B60" s="386"/>
      <c r="C60" s="180"/>
      <c r="D60" s="304"/>
      <c r="E60" s="358"/>
      <c r="F60" s="365"/>
      <c r="G60" s="366"/>
      <c r="H60" s="384"/>
      <c r="I60" s="366"/>
      <c r="J60" s="64"/>
      <c r="K60" s="349"/>
    </row>
    <row r="61" customFormat="false" ht="12.75" hidden="false" customHeight="false" outlineLevel="0" collapsed="false">
      <c r="A61" s="180"/>
      <c r="B61" s="386"/>
      <c r="C61" s="180"/>
      <c r="D61" s="304"/>
      <c r="E61" s="358"/>
      <c r="F61" s="365"/>
      <c r="G61" s="366"/>
      <c r="H61" s="384"/>
      <c r="I61" s="366"/>
      <c r="J61" s="64"/>
      <c r="K61" s="349"/>
    </row>
    <row r="62" customFormat="false" ht="12.75" hidden="false" customHeight="false" outlineLevel="0" collapsed="false">
      <c r="A62" s="180"/>
      <c r="B62" s="386"/>
      <c r="C62" s="180"/>
      <c r="D62" s="304"/>
      <c r="E62" s="358"/>
      <c r="F62" s="365"/>
      <c r="G62" s="366"/>
      <c r="H62" s="142"/>
      <c r="I62" s="366"/>
      <c r="J62" s="64"/>
      <c r="K62" s="349"/>
    </row>
    <row r="63" customFormat="false" ht="12.75" hidden="false" customHeight="false" outlineLevel="0" collapsed="false">
      <c r="A63" s="180"/>
      <c r="B63" s="386"/>
      <c r="C63" s="180"/>
      <c r="D63" s="304"/>
      <c r="E63" s="358"/>
      <c r="F63" s="365"/>
      <c r="G63" s="360"/>
      <c r="H63" s="142"/>
      <c r="I63" s="360"/>
      <c r="J63" s="64"/>
      <c r="K63" s="349"/>
    </row>
    <row r="64" customFormat="false" ht="12.75" hidden="false" customHeight="false" outlineLevel="0" collapsed="false">
      <c r="A64" s="180"/>
      <c r="B64" s="386"/>
      <c r="C64" s="180"/>
      <c r="D64" s="304"/>
      <c r="E64" s="358"/>
      <c r="F64" s="365"/>
      <c r="G64" s="360"/>
      <c r="H64" s="142"/>
      <c r="I64" s="360"/>
      <c r="J64" s="64"/>
      <c r="K64" s="349"/>
    </row>
    <row r="65" customFormat="false" ht="12.75" hidden="false" customHeight="false" outlineLevel="0" collapsed="false">
      <c r="A65" s="180"/>
      <c r="B65" s="180"/>
      <c r="C65" s="180"/>
      <c r="D65" s="304"/>
      <c r="E65" s="358"/>
      <c r="F65" s="365"/>
      <c r="G65" s="360"/>
      <c r="H65" s="142"/>
      <c r="I65" s="360"/>
      <c r="J65" s="64"/>
      <c r="K65" s="349"/>
    </row>
    <row r="66" customFormat="false" ht="12.75" hidden="false" customHeight="false" outlineLevel="0" collapsed="false">
      <c r="A66" s="180"/>
      <c r="B66" s="180"/>
      <c r="C66" s="180"/>
      <c r="D66" s="304"/>
      <c r="E66" s="358"/>
      <c r="F66" s="365"/>
      <c r="G66" s="360"/>
      <c r="H66" s="142"/>
      <c r="I66" s="360"/>
      <c r="J66" s="64"/>
      <c r="K66" s="349"/>
    </row>
    <row r="67" customFormat="false" ht="12.75" hidden="false" customHeight="false" outlineLevel="0" collapsed="false">
      <c r="A67" s="180"/>
      <c r="B67" s="386"/>
      <c r="C67" s="180"/>
      <c r="D67" s="304"/>
      <c r="E67" s="358"/>
      <c r="F67" s="365"/>
      <c r="G67" s="360"/>
      <c r="H67" s="142"/>
      <c r="I67" s="360"/>
      <c r="J67" s="64"/>
      <c r="K67" s="349"/>
    </row>
    <row r="68" customFormat="false" ht="12.75" hidden="false" customHeight="false" outlineLevel="0" collapsed="false">
      <c r="A68" s="180"/>
      <c r="B68" s="180"/>
      <c r="C68" s="180"/>
      <c r="D68" s="304"/>
      <c r="E68" s="358"/>
      <c r="F68" s="365"/>
      <c r="G68" s="360"/>
      <c r="H68" s="142"/>
      <c r="I68" s="360"/>
      <c r="J68" s="64"/>
      <c r="K68" s="349"/>
    </row>
    <row r="69" customFormat="false" ht="12.75" hidden="false" customHeight="false" outlineLevel="0" collapsed="false">
      <c r="A69" s="180"/>
      <c r="B69" s="180"/>
      <c r="C69" s="180"/>
      <c r="D69" s="304"/>
      <c r="E69" s="358"/>
      <c r="F69" s="365"/>
      <c r="G69" s="360"/>
      <c r="H69" s="142"/>
      <c r="I69" s="360"/>
      <c r="J69" s="64"/>
      <c r="K69" s="349"/>
    </row>
    <row r="70" customFormat="false" ht="12.75" hidden="false" customHeight="false" outlineLevel="0" collapsed="false">
      <c r="A70" s="180"/>
      <c r="B70" s="180"/>
      <c r="C70" s="180"/>
      <c r="D70" s="304"/>
      <c r="E70" s="358"/>
      <c r="F70" s="365"/>
      <c r="G70" s="360"/>
      <c r="H70" s="142"/>
      <c r="I70" s="360"/>
      <c r="J70" s="64"/>
      <c r="K70" s="349"/>
    </row>
    <row r="71" customFormat="false" ht="12.75" hidden="false" customHeight="false" outlineLevel="0" collapsed="false">
      <c r="A71" s="180"/>
      <c r="B71" s="180"/>
      <c r="C71" s="180"/>
      <c r="D71" s="304"/>
      <c r="E71" s="358"/>
      <c r="F71" s="365"/>
      <c r="G71" s="360"/>
      <c r="H71" s="142"/>
      <c r="I71" s="360"/>
      <c r="J71" s="64"/>
      <c r="K71" s="349"/>
    </row>
    <row r="72" customFormat="false" ht="12.75" hidden="false" customHeight="false" outlineLevel="0" collapsed="false">
      <c r="A72" s="180"/>
      <c r="B72" s="180"/>
      <c r="C72" s="180"/>
      <c r="D72" s="304"/>
      <c r="E72" s="358"/>
      <c r="F72" s="365"/>
      <c r="G72" s="360"/>
      <c r="H72" s="142"/>
      <c r="I72" s="360"/>
      <c r="J72" s="64"/>
      <c r="K72" s="349"/>
    </row>
    <row r="73" customFormat="false" ht="12.75" hidden="false" customHeight="false" outlineLevel="0" collapsed="false">
      <c r="A73" s="180"/>
      <c r="B73" s="180"/>
      <c r="C73" s="180"/>
      <c r="D73" s="142"/>
      <c r="E73" s="304"/>
      <c r="F73" s="365"/>
      <c r="G73" s="360"/>
      <c r="H73" s="142"/>
      <c r="I73" s="360"/>
      <c r="J73" s="64"/>
      <c r="K73" s="349"/>
    </row>
    <row r="74" customFormat="false" ht="12.75" hidden="false" customHeight="false" outlineLevel="0" collapsed="false">
      <c r="A74" s="180"/>
      <c r="B74" s="180"/>
      <c r="C74" s="180"/>
      <c r="D74" s="142"/>
      <c r="E74" s="304"/>
      <c r="F74" s="365"/>
      <c r="G74" s="360"/>
      <c r="H74" s="142"/>
      <c r="I74" s="360"/>
      <c r="J74" s="64"/>
      <c r="K74" s="349"/>
    </row>
    <row r="75" customFormat="false" ht="12.75" hidden="false" customHeight="false" outlineLevel="0" collapsed="false">
      <c r="A75" s="180"/>
      <c r="B75" s="180"/>
      <c r="C75" s="180"/>
      <c r="D75" s="142"/>
      <c r="E75" s="304"/>
      <c r="F75" s="365"/>
      <c r="G75" s="360"/>
      <c r="H75" s="142"/>
      <c r="I75" s="360"/>
      <c r="J75" s="64"/>
      <c r="K75" s="349"/>
    </row>
    <row r="76" customFormat="false" ht="12.75" hidden="false" customHeight="false" outlineLevel="0" collapsed="false">
      <c r="A76" s="180"/>
      <c r="B76" s="180"/>
      <c r="C76" s="180"/>
      <c r="D76" s="142"/>
      <c r="E76" s="304"/>
      <c r="F76" s="365"/>
      <c r="G76" s="360"/>
      <c r="H76" s="142"/>
      <c r="I76" s="360"/>
      <c r="J76" s="64"/>
      <c r="K76" s="349"/>
    </row>
    <row r="77" customFormat="false" ht="12.75" hidden="false" customHeight="false" outlineLevel="0" collapsed="false">
      <c r="A77" s="180"/>
      <c r="B77" s="180"/>
      <c r="C77" s="180"/>
      <c r="D77" s="142"/>
      <c r="E77" s="358"/>
      <c r="F77" s="365"/>
      <c r="G77" s="360"/>
      <c r="H77" s="142"/>
      <c r="I77" s="360"/>
      <c r="J77" s="64"/>
      <c r="K77" s="349"/>
    </row>
    <row r="78" customFormat="false" ht="12.75" hidden="false" customHeight="false" outlineLevel="0" collapsed="false">
      <c r="A78" s="180"/>
      <c r="B78" s="180"/>
      <c r="C78" s="180"/>
      <c r="D78" s="142"/>
      <c r="E78" s="387"/>
      <c r="F78" s="365"/>
      <c r="G78" s="360"/>
      <c r="H78" s="142"/>
      <c r="I78" s="360"/>
      <c r="J78" s="64"/>
      <c r="K78" s="349"/>
    </row>
    <row r="79" customFormat="false" ht="12.75" hidden="false" customHeight="false" outlineLevel="0" collapsed="false">
      <c r="A79" s="180"/>
      <c r="B79" s="180"/>
      <c r="C79" s="180"/>
      <c r="D79" s="142"/>
      <c r="E79" s="358"/>
      <c r="F79" s="365"/>
      <c r="G79" s="360"/>
      <c r="H79" s="142"/>
      <c r="I79" s="360"/>
      <c r="J79" s="64"/>
      <c r="K79" s="349"/>
    </row>
    <row r="80" customFormat="false" ht="12.75" hidden="false" customHeight="false" outlineLevel="0" collapsed="false">
      <c r="A80" s="180"/>
      <c r="B80" s="180"/>
      <c r="C80" s="180"/>
      <c r="D80" s="142"/>
      <c r="E80" s="387"/>
      <c r="F80" s="365"/>
      <c r="G80" s="360"/>
      <c r="H80" s="142"/>
      <c r="I80" s="360"/>
      <c r="J80" s="64"/>
      <c r="K80" s="349"/>
    </row>
    <row r="81" customFormat="false" ht="12.75" hidden="false" customHeight="false" outlineLevel="0" collapsed="false">
      <c r="A81" s="180"/>
      <c r="B81" s="180"/>
      <c r="C81" s="180"/>
      <c r="D81" s="142"/>
      <c r="E81" s="387"/>
      <c r="F81" s="358"/>
      <c r="G81" s="360"/>
      <c r="H81" s="142"/>
      <c r="I81" s="360"/>
      <c r="J81" s="64"/>
      <c r="K81" s="349"/>
    </row>
    <row r="82" customFormat="false" ht="12.75" hidden="false" customHeight="false" outlineLevel="0" collapsed="false">
      <c r="A82" s="180"/>
      <c r="B82" s="180"/>
      <c r="C82" s="180"/>
      <c r="D82" s="142"/>
      <c r="E82" s="387"/>
      <c r="F82" s="358"/>
      <c r="G82" s="360"/>
      <c r="H82" s="142"/>
      <c r="I82" s="360"/>
      <c r="J82" s="64"/>
      <c r="K82" s="349"/>
    </row>
    <row r="83" customFormat="false" ht="12.75" hidden="false" customHeight="false" outlineLevel="0" collapsed="false">
      <c r="A83" s="180"/>
      <c r="B83" s="180"/>
      <c r="C83" s="180"/>
      <c r="D83" s="142"/>
      <c r="E83" s="304"/>
      <c r="F83" s="365"/>
      <c r="G83" s="360"/>
      <c r="H83" s="142"/>
      <c r="I83" s="360"/>
      <c r="J83" s="64"/>
      <c r="K83" s="349"/>
    </row>
    <row r="84" customFormat="false" ht="12.75" hidden="false" customHeight="false" outlineLevel="0" collapsed="false">
      <c r="A84" s="180"/>
      <c r="B84" s="180"/>
      <c r="C84" s="180"/>
      <c r="D84" s="142"/>
      <c r="E84" s="304"/>
      <c r="F84" s="365"/>
      <c r="G84" s="360"/>
      <c r="H84" s="142"/>
      <c r="I84" s="360"/>
      <c r="J84" s="64"/>
      <c r="K84" s="349"/>
    </row>
    <row r="85" customFormat="false" ht="12.75" hidden="false" customHeight="false" outlineLevel="0" collapsed="false">
      <c r="A85" s="180"/>
      <c r="B85" s="180"/>
      <c r="C85" s="180"/>
      <c r="D85" s="142"/>
      <c r="E85" s="304"/>
      <c r="F85" s="365"/>
      <c r="G85" s="360"/>
      <c r="H85" s="142"/>
      <c r="I85" s="360"/>
      <c r="J85" s="64"/>
      <c r="K85" s="349"/>
    </row>
    <row r="86" customFormat="false" ht="12.75" hidden="false" customHeight="false" outlineLevel="0" collapsed="false">
      <c r="A86" s="180"/>
      <c r="B86" s="180"/>
      <c r="C86" s="180"/>
      <c r="D86" s="142"/>
      <c r="E86" s="304"/>
      <c r="F86" s="365"/>
      <c r="G86" s="360"/>
      <c r="H86" s="142"/>
      <c r="I86" s="360"/>
      <c r="J86" s="370"/>
    </row>
    <row r="87" customFormat="false" ht="12.75" hidden="false" customHeight="false" outlineLevel="0" collapsed="false">
      <c r="B87" s="167"/>
      <c r="C87" s="167"/>
      <c r="D87" s="372" t="n">
        <f aca="false">SUM(D56:D86)</f>
        <v>14</v>
      </c>
      <c r="E87" s="304"/>
      <c r="F87" s="167"/>
      <c r="G87" s="360"/>
      <c r="H87" s="167"/>
      <c r="I87" s="371"/>
      <c r="J87" s="372" t="n">
        <f aca="false">SUM(J56:J86)</f>
        <v>-1875</v>
      </c>
    </row>
    <row r="88" customFormat="false" ht="12.75" hidden="false" customHeight="false" outlineLevel="0" collapsed="false">
      <c r="A88" s="167"/>
      <c r="B88" s="167"/>
      <c r="C88" s="167"/>
      <c r="D88" s="167"/>
      <c r="E88" s="167"/>
      <c r="F88" s="167"/>
      <c r="G88" s="167"/>
      <c r="H88" s="167"/>
      <c r="I88" s="373"/>
      <c r="J88" s="64"/>
    </row>
    <row r="89" customFormat="false" ht="12.75" hidden="false" customHeight="false" outlineLevel="0" collapsed="false">
      <c r="A89" s="167"/>
      <c r="B89" s="167"/>
      <c r="C89" s="167"/>
      <c r="D89" s="175"/>
      <c r="E89" s="167"/>
      <c r="F89" s="167"/>
      <c r="G89" s="167"/>
      <c r="H89" s="167"/>
      <c r="I89" s="167"/>
      <c r="J89" s="294"/>
    </row>
    <row r="90" customFormat="false" ht="12.75" hidden="false" customHeight="false" outlineLevel="0" collapsed="false">
      <c r="A90" s="167"/>
      <c r="B90" s="167"/>
      <c r="C90" s="167"/>
      <c r="D90" s="175"/>
      <c r="E90" s="167"/>
      <c r="F90" s="167"/>
      <c r="G90" s="167"/>
      <c r="H90" s="167"/>
      <c r="I90" s="167"/>
    </row>
    <row r="91" customFormat="false" ht="12.75" hidden="false" customHeight="false" outlineLevel="0" collapsed="false">
      <c r="A91" s="167"/>
      <c r="B91" s="167"/>
      <c r="C91" s="167"/>
      <c r="D91" s="175"/>
      <c r="E91" s="167"/>
      <c r="F91" s="167"/>
      <c r="G91" s="167"/>
      <c r="H91" s="167"/>
      <c r="I91" s="167"/>
    </row>
    <row r="92" customFormat="false" ht="12.75" hidden="false" customHeight="false" outlineLevel="0" collapsed="false">
      <c r="A92" s="167"/>
      <c r="B92" s="167"/>
      <c r="C92" s="167"/>
      <c r="D92" s="175"/>
      <c r="E92" s="167"/>
      <c r="F92" s="167"/>
      <c r="G92" s="167"/>
      <c r="H92" s="167"/>
      <c r="I92" s="167"/>
    </row>
    <row r="93" customFormat="false" ht="12.75" hidden="false" customHeight="false" outlineLevel="0" collapsed="false">
      <c r="A93" s="167"/>
      <c r="B93" s="167"/>
      <c r="C93" s="167"/>
      <c r="D93" s="175"/>
      <c r="E93" s="167"/>
      <c r="F93" s="167"/>
      <c r="G93" s="167"/>
      <c r="H93" s="167"/>
      <c r="I93" s="167"/>
    </row>
    <row r="94" customFormat="false" ht="12.75" hidden="false" customHeight="false" outlineLevel="0" collapsed="false">
      <c r="A94" s="167"/>
      <c r="B94" s="167"/>
      <c r="C94" s="167"/>
      <c r="D94" s="175"/>
      <c r="E94" s="167"/>
      <c r="F94" s="167"/>
      <c r="G94" s="167"/>
      <c r="H94" s="167"/>
      <c r="I94" s="167"/>
    </row>
    <row r="95" customFormat="false" ht="12.75" hidden="false" customHeight="false" outlineLevel="0" collapsed="false">
      <c r="A95" s="167"/>
      <c r="B95" s="167"/>
      <c r="C95" s="167"/>
      <c r="D95" s="175"/>
      <c r="E95" s="167"/>
      <c r="F95" s="167"/>
      <c r="G95" s="167"/>
      <c r="H95" s="167"/>
      <c r="I95" s="167"/>
    </row>
    <row r="96" customFormat="false" ht="12.75" hidden="false" customHeight="false" outlineLevel="0" collapsed="false">
      <c r="A96" s="167"/>
      <c r="B96" s="167"/>
      <c r="C96" s="167"/>
      <c r="D96" s="175"/>
      <c r="E96" s="167"/>
      <c r="F96" s="167"/>
      <c r="G96" s="167"/>
      <c r="H96" s="167"/>
      <c r="I96" s="167"/>
    </row>
    <row r="97" customFormat="false" ht="12.75" hidden="false" customHeight="false" outlineLevel="0" collapsed="false">
      <c r="A97" s="167"/>
      <c r="B97" s="167"/>
      <c r="C97" s="167"/>
      <c r="D97" s="175"/>
      <c r="E97" s="167"/>
      <c r="F97" s="167"/>
      <c r="G97" s="167"/>
      <c r="H97" s="167"/>
      <c r="I97" s="167"/>
    </row>
    <row r="98" customFormat="false" ht="12.75" hidden="false" customHeight="false" outlineLevel="0" collapsed="false">
      <c r="A98" s="167"/>
      <c r="B98" s="167"/>
      <c r="C98" s="167"/>
      <c r="D98" s="175"/>
      <c r="E98" s="167"/>
      <c r="F98" s="167"/>
      <c r="G98" s="167"/>
      <c r="H98" s="167"/>
      <c r="I98" s="167"/>
    </row>
    <row r="99" customFormat="false" ht="12.75" hidden="false" customHeight="false" outlineLevel="0" collapsed="false">
      <c r="A99" s="167"/>
      <c r="B99" s="167"/>
      <c r="C99" s="167"/>
      <c r="D99" s="175"/>
      <c r="E99" s="167"/>
      <c r="F99" s="167"/>
      <c r="G99" s="167"/>
      <c r="H99" s="167"/>
      <c r="I99" s="167"/>
    </row>
    <row r="100" customFormat="false" ht="12.75" hidden="false" customHeight="false" outlineLevel="0" collapsed="false">
      <c r="A100" s="167"/>
      <c r="B100" s="167"/>
      <c r="C100" s="167"/>
      <c r="D100" s="175"/>
      <c r="E100" s="167"/>
      <c r="F100" s="167"/>
      <c r="G100" s="167"/>
      <c r="H100" s="167"/>
      <c r="I100" s="167"/>
    </row>
    <row r="101" customFormat="false" ht="12.75" hidden="false" customHeight="false" outlineLevel="0" collapsed="false">
      <c r="A101" s="167"/>
      <c r="B101" s="167"/>
      <c r="C101" s="167"/>
      <c r="D101" s="175"/>
      <c r="E101" s="167"/>
      <c r="F101" s="167"/>
      <c r="G101" s="167"/>
      <c r="H101" s="167"/>
      <c r="I101" s="167"/>
    </row>
    <row r="102" customFormat="false" ht="12.75" hidden="false" customHeight="false" outlineLevel="0" collapsed="false">
      <c r="A102" s="167"/>
      <c r="B102" s="167"/>
      <c r="C102" s="167"/>
      <c r="D102" s="175"/>
      <c r="E102" s="167"/>
      <c r="F102" s="167"/>
      <c r="G102" s="167"/>
      <c r="H102" s="167"/>
      <c r="I102" s="167"/>
    </row>
    <row r="103" customFormat="false" ht="12.75" hidden="false" customHeight="false" outlineLevel="0" collapsed="false">
      <c r="A103" s="167"/>
      <c r="B103" s="167"/>
      <c r="C103" s="167"/>
      <c r="D103" s="175"/>
      <c r="E103" s="167"/>
      <c r="F103" s="167"/>
      <c r="G103" s="167"/>
      <c r="H103" s="167"/>
      <c r="I103" s="167"/>
    </row>
    <row r="104" customFormat="false" ht="12.75" hidden="false" customHeight="false" outlineLevel="0" collapsed="false">
      <c r="A104" s="167"/>
      <c r="B104" s="167"/>
      <c r="C104" s="167"/>
      <c r="D104" s="175"/>
      <c r="E104" s="167"/>
      <c r="F104" s="167"/>
      <c r="G104" s="167"/>
      <c r="H104" s="167"/>
      <c r="I104" s="167"/>
    </row>
    <row r="105" customFormat="false" ht="12.75" hidden="false" customHeight="false" outlineLevel="0" collapsed="false">
      <c r="A105" s="167"/>
      <c r="B105" s="167"/>
      <c r="C105" s="167"/>
      <c r="D105" s="175"/>
      <c r="E105" s="167"/>
      <c r="F105" s="167"/>
      <c r="G105" s="167"/>
      <c r="H105" s="167"/>
      <c r="I105" s="167"/>
    </row>
    <row r="106" customFormat="false" ht="12.75" hidden="false" customHeight="false" outlineLevel="0" collapsed="false">
      <c r="A106" s="167"/>
      <c r="B106" s="167"/>
      <c r="C106" s="167"/>
      <c r="D106" s="167"/>
      <c r="E106" s="167"/>
      <c r="F106" s="167"/>
      <c r="G106" s="167"/>
      <c r="H106" s="167"/>
      <c r="I106" s="167"/>
    </row>
    <row r="107" customFormat="false" ht="12.75" hidden="false" customHeight="false" outlineLevel="0" collapsed="false">
      <c r="A107" s="167"/>
      <c r="B107" s="167"/>
      <c r="C107" s="167"/>
      <c r="D107" s="167"/>
      <c r="E107" s="167"/>
      <c r="F107" s="167"/>
      <c r="G107" s="167"/>
      <c r="H107" s="167"/>
      <c r="I107" s="167"/>
    </row>
    <row r="108" customFormat="false" ht="12.75" hidden="false" customHeight="false" outlineLevel="0" collapsed="false">
      <c r="A108" s="167"/>
      <c r="B108" s="167"/>
      <c r="C108" s="167"/>
      <c r="D108" s="167"/>
      <c r="E108" s="167"/>
      <c r="F108" s="167"/>
      <c r="G108" s="167"/>
      <c r="H108" s="167"/>
      <c r="I108" s="167"/>
    </row>
    <row r="109" customFormat="false" ht="12.75" hidden="false" customHeight="false" outlineLevel="0" collapsed="false">
      <c r="A109" s="167"/>
      <c r="B109" s="294"/>
      <c r="C109" s="167"/>
      <c r="D109" s="167"/>
      <c r="E109" s="167"/>
      <c r="F109" s="167"/>
      <c r="G109" s="167"/>
      <c r="H109" s="167"/>
      <c r="I109" s="167"/>
    </row>
    <row r="110" customFormat="false" ht="12.75" hidden="false" customHeight="false" outlineLevel="0" collapsed="false">
      <c r="A110" s="167"/>
      <c r="B110" s="167"/>
      <c r="C110" s="167"/>
      <c r="D110" s="167"/>
      <c r="E110" s="167"/>
      <c r="F110" s="167"/>
      <c r="G110" s="167"/>
      <c r="H110" s="167"/>
      <c r="I110" s="167"/>
    </row>
    <row r="111" customFormat="false" ht="12.75" hidden="false" customHeight="false" outlineLevel="0" collapsed="false">
      <c r="A111" s="167"/>
      <c r="B111" s="167"/>
      <c r="C111" s="167"/>
      <c r="D111" s="167"/>
      <c r="E111" s="167"/>
      <c r="F111" s="167"/>
      <c r="G111" s="167"/>
      <c r="H111" s="167"/>
      <c r="I111" s="167"/>
    </row>
    <row r="112" customFormat="false" ht="12.75" hidden="false" customHeight="false" outlineLevel="0" collapsed="false">
      <c r="A112" s="167"/>
      <c r="B112" s="167"/>
      <c r="C112" s="167"/>
      <c r="D112" s="167"/>
      <c r="E112" s="167"/>
      <c r="F112" s="167"/>
      <c r="G112" s="167"/>
      <c r="H112" s="167"/>
      <c r="I112" s="167"/>
    </row>
    <row r="113" customFormat="false" ht="12.75" hidden="false" customHeight="false" outlineLevel="0" collapsed="false">
      <c r="G113" s="167"/>
    </row>
    <row r="114" customFormat="false" ht="12.75" hidden="false" customHeight="false" outlineLevel="0" collapsed="false">
      <c r="G114" s="167"/>
    </row>
    <row r="115" customFormat="false" ht="12.75" hidden="false" customHeight="false" outlineLevel="0" collapsed="false">
      <c r="G115" s="167"/>
    </row>
    <row r="116" customFormat="false" ht="12.75" hidden="false" customHeight="false" outlineLevel="0" collapsed="false">
      <c r="G116" s="167"/>
    </row>
    <row r="117" customFormat="false" ht="12.75" hidden="false" customHeight="false" outlineLevel="0" collapsed="false">
      <c r="G117" s="167"/>
    </row>
    <row r="118" customFormat="false" ht="12.75" hidden="false" customHeight="false" outlineLevel="0" collapsed="false">
      <c r="G118" s="167"/>
    </row>
    <row r="119" customFormat="false" ht="12.75" hidden="false" customHeight="false" outlineLevel="0" collapsed="false">
      <c r="G119" s="167"/>
    </row>
    <row r="120" customFormat="false" ht="12.75" hidden="false" customHeight="false" outlineLevel="0" collapsed="false">
      <c r="G120" s="167"/>
    </row>
    <row r="121" customFormat="false" ht="12.75" hidden="false" customHeight="false" outlineLevel="0" collapsed="false">
      <c r="G121" s="167"/>
    </row>
    <row r="122" customFormat="false" ht="12.75" hidden="false" customHeight="false" outlineLevel="0" collapsed="false">
      <c r="G122" s="167"/>
    </row>
    <row r="123" customFormat="false" ht="12.75" hidden="false" customHeight="false" outlineLevel="0" collapsed="false">
      <c r="G123" s="167"/>
    </row>
    <row r="124" customFormat="false" ht="12.75" hidden="false" customHeight="false" outlineLevel="0" collapsed="false">
      <c r="G124" s="167"/>
    </row>
    <row r="125" customFormat="false" ht="12.75" hidden="false" customHeight="false" outlineLevel="0" collapsed="false">
      <c r="G125" s="167"/>
    </row>
    <row r="126" customFormat="false" ht="12.75" hidden="false" customHeight="false" outlineLevel="0" collapsed="false">
      <c r="G126" s="167"/>
    </row>
    <row r="127" customFormat="false" ht="12.75" hidden="false" customHeight="false" outlineLevel="0" collapsed="false">
      <c r="G127" s="167"/>
    </row>
    <row r="128" customFormat="false" ht="12.75" hidden="false" customHeight="false" outlineLevel="0" collapsed="false">
      <c r="G128" s="167"/>
    </row>
    <row r="129" customFormat="false" ht="12.75" hidden="false" customHeight="false" outlineLevel="0" collapsed="false">
      <c r="G129" s="167"/>
    </row>
    <row r="130" customFormat="false" ht="12.75" hidden="false" customHeight="false" outlineLevel="0" collapsed="false">
      <c r="G130" s="167"/>
    </row>
  </sheetData>
  <autoFilter ref="A6:J6"/>
  <mergeCells count="1">
    <mergeCell ref="A4:C4"/>
  </mergeCells>
  <printOptions headings="false" gridLines="false" gridLinesSet="true" horizontalCentered="false" verticalCentered="false"/>
  <pageMargins left="0.75" right="0.75" top="0.390277777777778" bottom="0.570138888888889" header="0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&amp;LTreasury</oddHeader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2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4" topLeftCell="F57" activePane="bottomRight" state="frozen"/>
      <selection pane="topLeft" activeCell="A1" activeCellId="0" sqref="A1"/>
      <selection pane="topRight" activeCell="F1" activeCellId="0" sqref="F1"/>
      <selection pane="bottomLeft" activeCell="A57" activeCellId="0" sqref="A57"/>
      <selection pane="bottomRight" activeCell="A71" activeCellId="0" sqref="A71"/>
    </sheetView>
  </sheetViews>
  <sheetFormatPr defaultColWidth="11.5703125" defaultRowHeight="12.75" zeroHeight="false" outlineLevelRow="0" outlineLevelCol="0"/>
  <cols>
    <col collapsed="false" customWidth="false" hidden="false" outlineLevel="0" max="1" min="1" style="344" width="11.57"/>
    <col collapsed="false" customWidth="true" hidden="false" outlineLevel="0" max="2" min="2" style="344" width="14.86"/>
    <col collapsed="false" customWidth="true" hidden="false" outlineLevel="0" max="3" min="3" style="344" width="33.14"/>
    <col collapsed="false" customWidth="true" hidden="false" outlineLevel="0" max="4" min="4" style="344" width="23.86"/>
    <col collapsed="false" customWidth="true" hidden="false" outlineLevel="0" max="5" min="5" style="344" width="13.57"/>
    <col collapsed="false" customWidth="true" hidden="false" outlineLevel="0" max="6" min="6" style="344" width="14.57"/>
    <col collapsed="false" customWidth="true" hidden="false" outlineLevel="0" max="7" min="7" style="344" width="17.57"/>
    <col collapsed="false" customWidth="false" hidden="false" outlineLevel="0" max="8" min="8" style="344" width="11.57"/>
    <col collapsed="false" customWidth="true" hidden="false" outlineLevel="0" max="9" min="9" style="344" width="15.42"/>
    <col collapsed="false" customWidth="true" hidden="false" outlineLevel="0" max="10" min="10" style="344" width="16.43"/>
    <col collapsed="false" customWidth="true" hidden="false" outlineLevel="0" max="11" min="11" style="388" width="13.57"/>
    <col collapsed="false" customWidth="false" hidden="false" outlineLevel="0" max="12" min="12" style="344" width="11.57"/>
    <col collapsed="false" customWidth="true" hidden="false" outlineLevel="0" max="13" min="13" style="344" width="12.57"/>
    <col collapsed="false" customWidth="true" hidden="false" outlineLevel="0" max="14" min="14" style="344" width="13"/>
    <col collapsed="false" customWidth="false" hidden="false" outlineLevel="0" max="15" min="15" style="344" width="11.57"/>
    <col collapsed="false" customWidth="true" hidden="false" outlineLevel="0" max="16" min="16" style="344" width="12.86"/>
    <col collapsed="false" customWidth="true" hidden="false" outlineLevel="0" max="17" min="17" style="344" width="22.15"/>
    <col collapsed="false" customWidth="false" hidden="false" outlineLevel="0" max="24" min="18" style="344" width="11.57"/>
    <col collapsed="false" customWidth="true" hidden="false" outlineLevel="0" max="25" min="25" style="344" width="14.14"/>
    <col collapsed="false" customWidth="true" hidden="false" outlineLevel="0" max="27" min="26" style="344" width="13.42"/>
    <col collapsed="false" customWidth="true" hidden="false" outlineLevel="0" max="29" min="28" style="344" width="13.86"/>
    <col collapsed="false" customWidth="true" hidden="false" outlineLevel="0" max="30" min="30" style="344" width="13.57"/>
    <col collapsed="false" customWidth="true" hidden="false" outlineLevel="0" max="31" min="31" style="344" width="18"/>
    <col collapsed="false" customWidth="false" hidden="false" outlineLevel="0" max="32" min="32" style="344" width="11.57"/>
    <col collapsed="false" customWidth="true" hidden="false" outlineLevel="0" max="33" min="33" style="344" width="12"/>
    <col collapsed="false" customWidth="false" hidden="false" outlineLevel="0" max="35" min="34" style="344" width="11.57"/>
    <col collapsed="false" customWidth="true" hidden="false" outlineLevel="0" max="36" min="36" style="344" width="12.86"/>
    <col collapsed="false" customWidth="true" hidden="false" outlineLevel="0" max="37" min="37" style="344" width="13.57"/>
    <col collapsed="false" customWidth="false" hidden="false" outlineLevel="0" max="42" min="38" style="344" width="11.57"/>
    <col collapsed="false" customWidth="true" hidden="false" outlineLevel="0" max="43" min="43" style="344" width="12"/>
    <col collapsed="false" customWidth="false" hidden="false" outlineLevel="0" max="16384" min="44" style="344" width="11.57"/>
  </cols>
  <sheetData>
    <row r="1" customFormat="false" ht="17.35" hidden="false" customHeight="false" outlineLevel="0" collapsed="false">
      <c r="A1" s="389" t="s">
        <v>328</v>
      </c>
      <c r="B1" s="389"/>
      <c r="C1" s="389"/>
      <c r="D1" s="389"/>
      <c r="E1" s="389"/>
      <c r="F1" s="389"/>
      <c r="G1" s="389"/>
      <c r="H1" s="389"/>
      <c r="I1" s="389"/>
      <c r="J1" s="389"/>
      <c r="K1" s="389"/>
      <c r="AB1" s="390"/>
      <c r="AC1" s="391"/>
    </row>
    <row r="2" customFormat="false" ht="12.75" hidden="false" customHeight="false" outlineLevel="0" collapsed="false">
      <c r="K2" s="392"/>
    </row>
    <row r="3" customFormat="false" ht="13.8" hidden="false" customHeight="false" outlineLevel="0" collapsed="false">
      <c r="A3" s="393" t="s">
        <v>329</v>
      </c>
      <c r="B3" s="393" t="s">
        <v>330</v>
      </c>
      <c r="C3" s="394" t="s">
        <v>331</v>
      </c>
      <c r="D3" s="394" t="s">
        <v>332</v>
      </c>
      <c r="E3" s="395" t="s">
        <v>333</v>
      </c>
      <c r="F3" s="395" t="s">
        <v>334</v>
      </c>
      <c r="G3" s="393" t="s">
        <v>335</v>
      </c>
      <c r="H3" s="393" t="s">
        <v>336</v>
      </c>
      <c r="I3" s="393" t="s">
        <v>337</v>
      </c>
      <c r="J3" s="393" t="s">
        <v>338</v>
      </c>
      <c r="K3" s="396" t="s">
        <v>339</v>
      </c>
      <c r="L3" s="393" t="s">
        <v>340</v>
      </c>
      <c r="M3" s="395" t="s">
        <v>341</v>
      </c>
      <c r="N3" s="393" t="s">
        <v>342</v>
      </c>
      <c r="O3" s="393" t="s">
        <v>343</v>
      </c>
      <c r="P3" s="393" t="s">
        <v>344</v>
      </c>
      <c r="Q3" s="395" t="s">
        <v>345</v>
      </c>
      <c r="R3" s="395" t="s">
        <v>346</v>
      </c>
      <c r="S3" s="393" t="s">
        <v>347</v>
      </c>
      <c r="T3" s="393" t="s">
        <v>348</v>
      </c>
      <c r="U3" s="393" t="s">
        <v>349</v>
      </c>
      <c r="V3" s="393" t="s">
        <v>350</v>
      </c>
      <c r="W3" s="393" t="s">
        <v>332</v>
      </c>
      <c r="X3" s="393" t="s">
        <v>351</v>
      </c>
      <c r="Y3" s="393" t="s">
        <v>352</v>
      </c>
      <c r="Z3" s="393" t="s">
        <v>129</v>
      </c>
      <c r="AA3" s="393" t="s">
        <v>10</v>
      </c>
      <c r="AB3" s="393" t="s">
        <v>353</v>
      </c>
      <c r="AC3" s="393" t="s">
        <v>354</v>
      </c>
      <c r="AD3" s="393" t="s">
        <v>355</v>
      </c>
      <c r="AE3" s="393" t="s">
        <v>356</v>
      </c>
      <c r="AF3" s="393" t="s">
        <v>357</v>
      </c>
      <c r="AG3" s="393" t="s">
        <v>358</v>
      </c>
      <c r="AH3" s="344" t="s">
        <v>359</v>
      </c>
      <c r="AI3" s="344" t="s">
        <v>360</v>
      </c>
      <c r="AJ3" s="388" t="s">
        <v>361</v>
      </c>
      <c r="AK3" s="388" t="s">
        <v>362</v>
      </c>
    </row>
    <row r="4" customFormat="false" ht="13.8" hidden="false" customHeight="false" outlineLevel="0" collapsed="false">
      <c r="A4" s="397" t="s">
        <v>363</v>
      </c>
      <c r="B4" s="398" t="s">
        <v>364</v>
      </c>
      <c r="C4" s="399" t="s">
        <v>365</v>
      </c>
      <c r="D4" s="400" t="n">
        <v>588.235294117647</v>
      </c>
      <c r="E4" s="401" t="n">
        <v>1.5</v>
      </c>
      <c r="F4" s="401" t="s">
        <v>366</v>
      </c>
      <c r="G4" s="402" t="n">
        <v>106</v>
      </c>
      <c r="H4" s="401" t="n">
        <v>29.433</v>
      </c>
      <c r="I4" s="401" t="n">
        <v>64.825</v>
      </c>
      <c r="J4" s="401" t="n">
        <v>57.908</v>
      </c>
      <c r="K4" s="403" t="n">
        <f aca="false">IF(AF4="","",AF4/Z4)</f>
        <v>0.025903156731367</v>
      </c>
      <c r="L4" s="401" t="n">
        <v>13.4233144479549</v>
      </c>
      <c r="M4" s="401" t="n">
        <v>7.49702145650812</v>
      </c>
      <c r="N4" s="401" t="s">
        <v>367</v>
      </c>
      <c r="O4" s="401" t="s">
        <v>368</v>
      </c>
      <c r="P4" s="401" t="s">
        <v>369</v>
      </c>
      <c r="Q4" s="401" t="s">
        <v>370</v>
      </c>
      <c r="R4" s="401" t="s">
        <v>371</v>
      </c>
      <c r="S4" s="401" t="s">
        <v>372</v>
      </c>
      <c r="T4" s="402" t="s">
        <v>373</v>
      </c>
      <c r="U4" s="402"/>
      <c r="V4" s="402" t="s">
        <v>374</v>
      </c>
      <c r="W4" s="400" t="n">
        <f aca="false">+D4*G4/100</f>
        <v>623.529411764706</v>
      </c>
      <c r="X4" s="400" t="n">
        <f aca="false">+D4*G4/100</f>
        <v>623.529411764706</v>
      </c>
      <c r="Y4" s="397"/>
      <c r="Z4" s="404" t="n">
        <f aca="false">+D4*J4/100</f>
        <v>340.635294117647</v>
      </c>
      <c r="AA4" s="405" t="n">
        <f aca="false">IF(+I4=0,AB4,D4*(J4-I4)/100)</f>
        <v>-40.6882352941177</v>
      </c>
      <c r="AB4" s="405" t="n">
        <f aca="false">+$D4*($J4-$G4)/100</f>
        <v>-282.894117647059</v>
      </c>
      <c r="AC4" s="397" t="n">
        <f aca="false">+Z4*L4</f>
        <v>4572.45466501277</v>
      </c>
      <c r="AD4" s="397" t="n">
        <f aca="false">+Z4*M4</f>
        <v>2553.75010884395</v>
      </c>
      <c r="AE4" s="406" t="n">
        <f aca="false">+AA4/X4</f>
        <v>-0.0652547169811321</v>
      </c>
      <c r="AF4" s="404" t="n">
        <f aca="false">+D4*E4/100</f>
        <v>8.82352941176471</v>
      </c>
      <c r="AJ4" s="407" t="n">
        <v>0</v>
      </c>
      <c r="AK4" s="408" t="n">
        <f aca="false">AJ4*Z4</f>
        <v>0</v>
      </c>
      <c r="AL4" s="409"/>
    </row>
    <row r="5" customFormat="false" ht="13.8" hidden="false" customHeight="false" outlineLevel="0" collapsed="false">
      <c r="A5" s="397" t="s">
        <v>363</v>
      </c>
      <c r="B5" s="398" t="s">
        <v>364</v>
      </c>
      <c r="C5" s="399" t="s">
        <v>375</v>
      </c>
      <c r="D5" s="400" t="n">
        <v>32352.9411764706</v>
      </c>
      <c r="E5" s="401" t="n">
        <v>0</v>
      </c>
      <c r="F5" s="410" t="n">
        <v>46177</v>
      </c>
      <c r="G5" s="401" t="n">
        <v>98.2366875</v>
      </c>
      <c r="H5" s="401"/>
      <c r="I5" s="401" t="n">
        <v>98.5194</v>
      </c>
      <c r="J5" s="402" t="n">
        <v>98.881</v>
      </c>
      <c r="K5" s="411" t="n">
        <f aca="false">IF(AF5="","",AF5/Z5)</f>
        <v>0.0370296857138538</v>
      </c>
      <c r="L5" s="401" t="n">
        <v>3.66153235307157</v>
      </c>
      <c r="M5" s="401" t="n">
        <v>0.306849315068493</v>
      </c>
      <c r="N5" s="401" t="s">
        <v>368</v>
      </c>
      <c r="O5" s="401" t="s">
        <v>368</v>
      </c>
      <c r="P5" s="401" t="s">
        <v>368</v>
      </c>
      <c r="Q5" s="401" t="s">
        <v>370</v>
      </c>
      <c r="R5" s="401" t="s">
        <v>376</v>
      </c>
      <c r="S5" s="401" t="s">
        <v>372</v>
      </c>
      <c r="T5" s="402" t="s">
        <v>377</v>
      </c>
      <c r="U5" s="402"/>
      <c r="V5" s="402" t="s">
        <v>378</v>
      </c>
      <c r="W5" s="400" t="n">
        <f aca="false">+D5*G5/100</f>
        <v>31782.4577205882</v>
      </c>
      <c r="X5" s="400" t="n">
        <f aca="false">+D5*G5/100</f>
        <v>31782.4577205882</v>
      </c>
      <c r="Y5" s="397"/>
      <c r="Z5" s="412" t="n">
        <f aca="false">+D5*J5/100</f>
        <v>31990.9117647059</v>
      </c>
      <c r="AA5" s="405" t="n">
        <f aca="false">IF(+I5=0,AB5,D5*(J5-I5)/100)</f>
        <v>116.988235294116</v>
      </c>
      <c r="AB5" s="405" t="n">
        <f aca="false">+$D5*($J5-$G5)/100</f>
        <v>208.454044117646</v>
      </c>
      <c r="AC5" s="397" t="n">
        <f aca="false">+Z5*L5</f>
        <v>117135.758430729</v>
      </c>
      <c r="AD5" s="397" t="n">
        <f aca="false">+Z5*M5</f>
        <v>9816.3893634166</v>
      </c>
      <c r="AE5" s="406" t="n">
        <f aca="false">+AA5/X5</f>
        <v>0.00368090587337847</v>
      </c>
      <c r="AF5" s="404" t="n">
        <f aca="false">+D5*L5/100</f>
        <v>1184.61340834669</v>
      </c>
      <c r="AJ5" s="407" t="n">
        <v>0.95</v>
      </c>
      <c r="AK5" s="408" t="n">
        <f aca="false">AJ5*Z5</f>
        <v>30391.3661764706</v>
      </c>
      <c r="AL5" s="409"/>
    </row>
    <row r="6" customFormat="false" ht="13.8" hidden="false" customHeight="false" outlineLevel="0" collapsed="false">
      <c r="A6" s="397" t="s">
        <v>363</v>
      </c>
      <c r="B6" s="398" t="s">
        <v>364</v>
      </c>
      <c r="C6" s="399" t="s">
        <v>379</v>
      </c>
      <c r="D6" s="400" t="n">
        <v>1544.11764705882</v>
      </c>
      <c r="E6" s="401" t="n">
        <v>0</v>
      </c>
      <c r="F6" s="410" t="n">
        <v>46177</v>
      </c>
      <c r="G6" s="402" t="n">
        <v>98.24</v>
      </c>
      <c r="H6" s="401"/>
      <c r="I6" s="401" t="n">
        <v>98.5194</v>
      </c>
      <c r="J6" s="402" t="n">
        <v>98.881</v>
      </c>
      <c r="K6" s="411" t="n">
        <f aca="false">IF(AF6="","",AF6/Z6)</f>
        <v>0.0370296857138538</v>
      </c>
      <c r="L6" s="401" t="n">
        <v>3.66153235307157</v>
      </c>
      <c r="M6" s="401" t="n">
        <v>0.306849315068493</v>
      </c>
      <c r="N6" s="401" t="s">
        <v>368</v>
      </c>
      <c r="O6" s="401" t="s">
        <v>368</v>
      </c>
      <c r="P6" s="401" t="s">
        <v>368</v>
      </c>
      <c r="Q6" s="401" t="s">
        <v>370</v>
      </c>
      <c r="R6" s="401" t="s">
        <v>376</v>
      </c>
      <c r="S6" s="401" t="s">
        <v>372</v>
      </c>
      <c r="T6" s="402" t="s">
        <v>377</v>
      </c>
      <c r="U6" s="402"/>
      <c r="V6" s="402" t="s">
        <v>378</v>
      </c>
      <c r="W6" s="400" t="n">
        <f aca="false">+D6*G6/100</f>
        <v>1516.94117647059</v>
      </c>
      <c r="X6" s="400" t="n">
        <f aca="false">+D6*G6/100</f>
        <v>1516.94117647059</v>
      </c>
      <c r="Y6" s="397"/>
      <c r="Z6" s="412" t="n">
        <f aca="false">+D6*J6/100</f>
        <v>1526.83897058824</v>
      </c>
      <c r="AA6" s="405" t="n">
        <f aca="false">IF(+I6=0,AB6,D6*(J6-I6)/100)</f>
        <v>5.58352941176464</v>
      </c>
      <c r="AB6" s="405" t="n">
        <f aca="false">+$D6*($J6-$G6)/100</f>
        <v>9.89779411764714</v>
      </c>
      <c r="AC6" s="397" t="n">
        <f aca="false">+Z6*L6</f>
        <v>5590.57028873932</v>
      </c>
      <c r="AD6" s="397" t="n">
        <f aca="false">+Z6*M6</f>
        <v>468.509492344883</v>
      </c>
      <c r="AE6" s="406" t="n">
        <f aca="false">+AA6/X6</f>
        <v>0.00368078175895761</v>
      </c>
      <c r="AF6" s="404" t="n">
        <f aca="false">+D6*L6/100</f>
        <v>56.5383672165464</v>
      </c>
      <c r="AG6" s="413" t="n">
        <v>45120</v>
      </c>
      <c r="AJ6" s="407" t="n">
        <v>0.95</v>
      </c>
      <c r="AK6" s="408" t="n">
        <f aca="false">AJ6*Z6</f>
        <v>1450.49702205882</v>
      </c>
      <c r="AL6" s="409"/>
      <c r="AN6" s="344" t="s">
        <v>380</v>
      </c>
    </row>
    <row r="7" customFormat="false" ht="13.8" hidden="false" customHeight="false" outlineLevel="0" collapsed="false">
      <c r="A7" s="397" t="s">
        <v>363</v>
      </c>
      <c r="B7" s="398" t="s">
        <v>364</v>
      </c>
      <c r="C7" s="399" t="s">
        <v>381</v>
      </c>
      <c r="D7" s="400" t="n">
        <v>1973.52941176471</v>
      </c>
      <c r="E7" s="401" t="n">
        <v>0</v>
      </c>
      <c r="F7" s="410" t="n">
        <v>46177</v>
      </c>
      <c r="G7" s="401" t="n">
        <v>98.236</v>
      </c>
      <c r="H7" s="401"/>
      <c r="I7" s="401" t="n">
        <v>98.5194</v>
      </c>
      <c r="J7" s="402" t="n">
        <v>98.881</v>
      </c>
      <c r="K7" s="411" t="n">
        <f aca="false">IF(AF7="","",AF7/Z7)</f>
        <v>0.0370296857138538</v>
      </c>
      <c r="L7" s="401" t="n">
        <v>3.66153235307157</v>
      </c>
      <c r="M7" s="401" t="n">
        <v>0.306849315068493</v>
      </c>
      <c r="N7" s="401" t="s">
        <v>368</v>
      </c>
      <c r="O7" s="401" t="s">
        <v>368</v>
      </c>
      <c r="P7" s="401" t="s">
        <v>368</v>
      </c>
      <c r="Q7" s="401" t="s">
        <v>370</v>
      </c>
      <c r="R7" s="401" t="s">
        <v>376</v>
      </c>
      <c r="S7" s="401" t="s">
        <v>372</v>
      </c>
      <c r="T7" s="402" t="s">
        <v>377</v>
      </c>
      <c r="U7" s="402"/>
      <c r="V7" s="402" t="s">
        <v>378</v>
      </c>
      <c r="W7" s="400" t="n">
        <f aca="false">+D7*G7/100</f>
        <v>1938.71635294118</v>
      </c>
      <c r="X7" s="400" t="n">
        <f aca="false">+D7*G7/100</f>
        <v>1938.71635294118</v>
      </c>
      <c r="Y7" s="397"/>
      <c r="Z7" s="412" t="n">
        <f aca="false">+D7*J7/100</f>
        <v>1951.44561764706</v>
      </c>
      <c r="AA7" s="405" t="n">
        <f aca="false">IF(+I7=0,AB7,D7*(J7-I7)/100)</f>
        <v>7.13628235294109</v>
      </c>
      <c r="AB7" s="405" t="n">
        <f aca="false">+$D7*($J7-$G7)/100</f>
        <v>12.7292647058823</v>
      </c>
      <c r="AC7" s="397" t="n">
        <f aca="false">+Z7*L7</f>
        <v>7145.28126427445</v>
      </c>
      <c r="AD7" s="397" t="n">
        <f aca="false">+Z7*M7</f>
        <v>598.799751168413</v>
      </c>
      <c r="AE7" s="406" t="n">
        <f aca="false">+AA7/X7</f>
        <v>0.00368093163402414</v>
      </c>
      <c r="AF7" s="404" t="n">
        <f aca="false">+D7*L7/100</f>
        <v>72.2614179091478</v>
      </c>
      <c r="AG7" s="413" t="n">
        <v>45120</v>
      </c>
      <c r="AJ7" s="407" t="n">
        <v>0.95</v>
      </c>
      <c r="AK7" s="408" t="n">
        <f aca="false">AJ7*Z7</f>
        <v>1853.87333676471</v>
      </c>
      <c r="AL7" s="409"/>
      <c r="AM7" s="344" t="s">
        <v>33</v>
      </c>
      <c r="AN7" s="414" t="n">
        <f aca="false">SUMIF($A$4:$A$25,AM7,$AK$4:$AK$25)</f>
        <v>0</v>
      </c>
    </row>
    <row r="8" customFormat="false" ht="13.8" hidden="false" customHeight="false" outlineLevel="0" collapsed="false">
      <c r="A8" s="397" t="s">
        <v>363</v>
      </c>
      <c r="B8" s="398" t="s">
        <v>364</v>
      </c>
      <c r="C8" s="399" t="s">
        <v>382</v>
      </c>
      <c r="D8" s="400" t="n">
        <v>764.705882352941</v>
      </c>
      <c r="E8" s="401" t="n">
        <v>0</v>
      </c>
      <c r="F8" s="410" t="n">
        <v>46177</v>
      </c>
      <c r="G8" s="402" t="n">
        <v>98.1886</v>
      </c>
      <c r="H8" s="401"/>
      <c r="I8" s="401" t="n">
        <v>98.5194</v>
      </c>
      <c r="J8" s="402" t="n">
        <v>98.881</v>
      </c>
      <c r="K8" s="411" t="n">
        <f aca="false">IF(AF8="","",AF8/Z8)</f>
        <v>0.0370296857138538</v>
      </c>
      <c r="L8" s="401" t="n">
        <v>3.66153235307157</v>
      </c>
      <c r="M8" s="401" t="n">
        <v>0.306849315068493</v>
      </c>
      <c r="N8" s="401" t="s">
        <v>368</v>
      </c>
      <c r="O8" s="401" t="s">
        <v>368</v>
      </c>
      <c r="P8" s="401" t="s">
        <v>368</v>
      </c>
      <c r="Q8" s="401" t="s">
        <v>370</v>
      </c>
      <c r="R8" s="401" t="s">
        <v>376</v>
      </c>
      <c r="S8" s="401" t="s">
        <v>372</v>
      </c>
      <c r="T8" s="402" t="s">
        <v>377</v>
      </c>
      <c r="U8" s="402"/>
      <c r="V8" s="402" t="s">
        <v>378</v>
      </c>
      <c r="W8" s="400" t="n">
        <f aca="false">+D8*G8/100</f>
        <v>750.854</v>
      </c>
      <c r="X8" s="400" t="n">
        <f aca="false">+D8*G8/100</f>
        <v>750.854</v>
      </c>
      <c r="Y8" s="397"/>
      <c r="Z8" s="412" t="n">
        <f aca="false">+D8*J8/100</f>
        <v>756.148823529412</v>
      </c>
      <c r="AA8" s="405" t="n">
        <f aca="false">IF(+I8=0,AB8,D8*(J8-I8)/100)</f>
        <v>2.7651764705882</v>
      </c>
      <c r="AB8" s="405" t="n">
        <f aca="false">+$D8*($J8-$G8)/100</f>
        <v>5.29482352941181</v>
      </c>
      <c r="AC8" s="397" t="n">
        <f aca="false">+Z8*L8</f>
        <v>2768.66338108995</v>
      </c>
      <c r="AD8" s="397" t="n">
        <f aca="false">+Z8*M8</f>
        <v>232.023748589847</v>
      </c>
      <c r="AE8" s="406" t="n">
        <f aca="false">+AA8/X8</f>
        <v>0.00368270858327745</v>
      </c>
      <c r="AF8" s="404" t="n">
        <f aca="false">+D8*L8/100</f>
        <v>27.9999532881944</v>
      </c>
      <c r="AJ8" s="407" t="n">
        <v>0.85</v>
      </c>
      <c r="AK8" s="408" t="n">
        <f aca="false">AJ8*Z8</f>
        <v>642.7265</v>
      </c>
      <c r="AL8" s="409"/>
      <c r="AM8" s="344" t="s">
        <v>383</v>
      </c>
      <c r="AN8" s="414" t="n">
        <f aca="false">SUMIF($A$4:$A$25,AM8,$AK$4:$AK$25)</f>
        <v>0</v>
      </c>
    </row>
    <row r="9" customFormat="false" ht="13.8" hidden="false" customHeight="false" outlineLevel="0" collapsed="false">
      <c r="A9" s="397" t="s">
        <v>363</v>
      </c>
      <c r="B9" s="398" t="s">
        <v>364</v>
      </c>
      <c r="C9" s="399" t="s">
        <v>384</v>
      </c>
      <c r="D9" s="400" t="n">
        <v>17264.7058823529</v>
      </c>
      <c r="E9" s="401" t="n">
        <v>0</v>
      </c>
      <c r="F9" s="410" t="n">
        <v>46177</v>
      </c>
      <c r="G9" s="402" t="n">
        <v>98.255083</v>
      </c>
      <c r="H9" s="401"/>
      <c r="I9" s="401" t="n">
        <v>98.5194</v>
      </c>
      <c r="J9" s="402" t="n">
        <v>98.881</v>
      </c>
      <c r="K9" s="411" t="n">
        <f aca="false">IF(AF9="","",AF9/Z9)</f>
        <v>0.0370296857138538</v>
      </c>
      <c r="L9" s="401" t="n">
        <v>3.66153235307157</v>
      </c>
      <c r="M9" s="401" t="n">
        <v>0.306849315068493</v>
      </c>
      <c r="N9" s="401" t="s">
        <v>368</v>
      </c>
      <c r="O9" s="401" t="s">
        <v>368</v>
      </c>
      <c r="P9" s="401" t="s">
        <v>368</v>
      </c>
      <c r="Q9" s="401" t="s">
        <v>370</v>
      </c>
      <c r="R9" s="401" t="s">
        <v>376</v>
      </c>
      <c r="S9" s="401" t="s">
        <v>372</v>
      </c>
      <c r="T9" s="402" t="s">
        <v>377</v>
      </c>
      <c r="U9" s="402"/>
      <c r="V9" s="402" t="s">
        <v>378</v>
      </c>
      <c r="W9" s="400" t="n">
        <f aca="false">+D9*G9/100</f>
        <v>16963.4510944118</v>
      </c>
      <c r="X9" s="400" t="n">
        <f aca="false">+D9*G9/100</f>
        <v>16963.4510944118</v>
      </c>
      <c r="Y9" s="397"/>
      <c r="Z9" s="412" t="n">
        <f aca="false">+D9*J9/100</f>
        <v>17071.5138235294</v>
      </c>
      <c r="AA9" s="405" t="n">
        <f aca="false">IF(+I9=0,AB9,D9*(J9-I9)/100)</f>
        <v>62.4291764705875</v>
      </c>
      <c r="AB9" s="405" t="n">
        <f aca="false">+$D9*($J9-$G9)/100</f>
        <v>108.062729117647</v>
      </c>
      <c r="AC9" s="397" t="n">
        <f aca="false">+Z9*L9</f>
        <v>62507.9001807616</v>
      </c>
      <c r="AD9" s="397" t="n">
        <f aca="false">+Z9*M9</f>
        <v>5238.38232393231</v>
      </c>
      <c r="AE9" s="406" t="n">
        <f aca="false">+AA9/X9</f>
        <v>0.00368021672731166</v>
      </c>
      <c r="AF9" s="404" t="n">
        <f aca="false">+D9*L9/100</f>
        <v>632.152791545004</v>
      </c>
      <c r="AJ9" s="415" t="n">
        <v>0.99</v>
      </c>
      <c r="AK9" s="408" t="n">
        <f aca="false">AJ9*Z9</f>
        <v>16900.7986852941</v>
      </c>
      <c r="AL9" s="409"/>
      <c r="AM9" s="344" t="s">
        <v>310</v>
      </c>
      <c r="AN9" s="414" t="n">
        <f aca="false">SUMIF($A$4:$A$25,AM9,$AK$4:$AK$25)</f>
        <v>0</v>
      </c>
    </row>
    <row r="10" customFormat="false" ht="13.8" hidden="false" customHeight="false" outlineLevel="0" collapsed="false">
      <c r="A10" s="397" t="s">
        <v>363</v>
      </c>
      <c r="B10" s="398" t="s">
        <v>364</v>
      </c>
      <c r="C10" s="399" t="s">
        <v>385</v>
      </c>
      <c r="D10" s="400" t="n">
        <v>794.117647058824</v>
      </c>
      <c r="E10" s="401" t="n">
        <v>0</v>
      </c>
      <c r="F10" s="410" t="n">
        <v>46177</v>
      </c>
      <c r="G10" s="402" t="n">
        <v>98.191375</v>
      </c>
      <c r="H10" s="401"/>
      <c r="I10" s="401" t="n">
        <v>98.5194</v>
      </c>
      <c r="J10" s="402" t="n">
        <v>98.881</v>
      </c>
      <c r="K10" s="411" t="n">
        <f aca="false">IF(AF10="","",AF10/Z10)</f>
        <v>0.0370296857138538</v>
      </c>
      <c r="L10" s="401" t="n">
        <v>3.66153235307157</v>
      </c>
      <c r="M10" s="401" t="n">
        <v>0.306849315068493</v>
      </c>
      <c r="N10" s="401" t="s">
        <v>368</v>
      </c>
      <c r="O10" s="401" t="s">
        <v>368</v>
      </c>
      <c r="P10" s="401" t="s">
        <v>368</v>
      </c>
      <c r="Q10" s="401" t="s">
        <v>370</v>
      </c>
      <c r="R10" s="401" t="s">
        <v>376</v>
      </c>
      <c r="S10" s="401" t="s">
        <v>372</v>
      </c>
      <c r="T10" s="402" t="s">
        <v>377</v>
      </c>
      <c r="U10" s="402"/>
      <c r="V10" s="402" t="s">
        <v>378</v>
      </c>
      <c r="W10" s="400" t="n">
        <f aca="false">+D10*G10/100</f>
        <v>779.755036764706</v>
      </c>
      <c r="X10" s="400" t="n">
        <f aca="false">+D10*G10/100</f>
        <v>779.755036764706</v>
      </c>
      <c r="Y10" s="397"/>
      <c r="Z10" s="412" t="n">
        <f aca="false">+D10*J10/100</f>
        <v>785.231470588235</v>
      </c>
      <c r="AA10" s="405" t="n">
        <f aca="false">IF(+I10=0,AB10,D10*(J10-I10)/100)</f>
        <v>2.87152941176467</v>
      </c>
      <c r="AB10" s="405" t="n">
        <f aca="false">+$D10*($J10-$G10)/100</f>
        <v>5.47643382352946</v>
      </c>
      <c r="AC10" s="397" t="n">
        <f aca="false">+Z10*L10</f>
        <v>2875.15043420879</v>
      </c>
      <c r="AD10" s="397" t="n">
        <f aca="false">+Z10*M10</f>
        <v>240.947738920226</v>
      </c>
      <c r="AE10" s="406" t="n">
        <f aca="false">+AA10/X10</f>
        <v>0.00368260450574193</v>
      </c>
      <c r="AF10" s="404" t="n">
        <f aca="false">+D10*L10/100</f>
        <v>29.0768745685096</v>
      </c>
      <c r="AG10" s="413" t="n">
        <v>45120</v>
      </c>
      <c r="AJ10" s="407" t="n">
        <v>0.95</v>
      </c>
      <c r="AK10" s="408" t="n">
        <f aca="false">AJ10*Z10</f>
        <v>745.969897058823</v>
      </c>
      <c r="AL10" s="409"/>
      <c r="AM10" s="344" t="s">
        <v>386</v>
      </c>
      <c r="AN10" s="414" t="n">
        <f aca="false">SUMIF($A$4:$A$25,AM10,$AK$4:$AK$25)</f>
        <v>0</v>
      </c>
    </row>
    <row r="11" customFormat="false" ht="13.8" hidden="false" customHeight="false" outlineLevel="0" collapsed="false">
      <c r="A11" s="397" t="s">
        <v>363</v>
      </c>
      <c r="B11" s="398" t="s">
        <v>364</v>
      </c>
      <c r="C11" s="399" t="s">
        <v>387</v>
      </c>
      <c r="D11" s="400" t="n">
        <v>1823.52941176471</v>
      </c>
      <c r="E11" s="401" t="n">
        <v>0</v>
      </c>
      <c r="F11" s="410" t="n">
        <v>46177</v>
      </c>
      <c r="G11" s="402" t="n">
        <v>99.07175</v>
      </c>
      <c r="H11" s="401"/>
      <c r="I11" s="401" t="n">
        <v>98.5194</v>
      </c>
      <c r="J11" s="402" t="n">
        <v>99.07175</v>
      </c>
      <c r="K11" s="411" t="n">
        <f aca="false">IF(AF11="","",AF11/Z11)</f>
        <v>0.0369583897838846</v>
      </c>
      <c r="L11" s="401" t="n">
        <v>3.66153235307157</v>
      </c>
      <c r="M11" s="401" t="n">
        <v>0.306849315068493</v>
      </c>
      <c r="N11" s="401" t="s">
        <v>368</v>
      </c>
      <c r="O11" s="401" t="s">
        <v>368</v>
      </c>
      <c r="P11" s="401" t="s">
        <v>368</v>
      </c>
      <c r="Q11" s="401" t="s">
        <v>370</v>
      </c>
      <c r="R11" s="401" t="s">
        <v>376</v>
      </c>
      <c r="S11" s="401" t="s">
        <v>372</v>
      </c>
      <c r="T11" s="402" t="s">
        <v>377</v>
      </c>
      <c r="U11" s="402"/>
      <c r="V11" s="402" t="s">
        <v>378</v>
      </c>
      <c r="W11" s="400" t="n">
        <f aca="false">+D11*G11/100</f>
        <v>1806.6025</v>
      </c>
      <c r="X11" s="400" t="n">
        <f aca="false">+D11*G11/100</f>
        <v>1806.6025</v>
      </c>
      <c r="Y11" s="397"/>
      <c r="Z11" s="412" t="n">
        <f aca="false">+D11*J11/100</f>
        <v>1806.6025</v>
      </c>
      <c r="AA11" s="405" t="n">
        <f aca="false">IF(+I11=0,AB11,D11*(J11-I11)/100)</f>
        <v>10.0722647058822</v>
      </c>
      <c r="AB11" s="405" t="n">
        <f aca="false">+$D11*($J11-$G11)/100</f>
        <v>0</v>
      </c>
      <c r="AC11" s="397" t="n">
        <f aca="false">+Z11*L11</f>
        <v>6614.93350288999</v>
      </c>
      <c r="AD11" s="397" t="n">
        <f aca="false">+Z11*M11</f>
        <v>554.354739726027</v>
      </c>
      <c r="AE11" s="406" t="n">
        <f aca="false">+AA11/X11</f>
        <v>0.00557525227928234</v>
      </c>
      <c r="AF11" s="404" t="n">
        <f aca="false">+D11*L11/100</f>
        <v>66.7691193795405</v>
      </c>
      <c r="AG11" s="413" t="n">
        <v>45120</v>
      </c>
      <c r="AJ11" s="407" t="n">
        <v>0.95</v>
      </c>
      <c r="AK11" s="408" t="n">
        <f aca="false">AJ11*Z11</f>
        <v>1716.272375</v>
      </c>
      <c r="AL11" s="409"/>
      <c r="AM11" s="344" t="s">
        <v>386</v>
      </c>
      <c r="AN11" s="414" t="n">
        <f aca="false">SUMIF($A$4:$A$25,AM11,$AK$4:$AK$25)</f>
        <v>0</v>
      </c>
    </row>
    <row r="12" customFormat="false" ht="13.8" hidden="false" customHeight="false" outlineLevel="0" collapsed="false">
      <c r="A12" s="397" t="s">
        <v>363</v>
      </c>
      <c r="B12" s="398" t="s">
        <v>364</v>
      </c>
      <c r="C12" s="399" t="s">
        <v>388</v>
      </c>
      <c r="D12" s="400" t="n">
        <v>97.0588235294118</v>
      </c>
      <c r="E12" s="401" t="n">
        <v>8.25</v>
      </c>
      <c r="F12" s="401" t="s">
        <v>389</v>
      </c>
      <c r="G12" s="402" t="n">
        <v>98.51</v>
      </c>
      <c r="H12" s="401" t="n">
        <v>119.22</v>
      </c>
      <c r="I12" s="401" t="n">
        <v>120.489</v>
      </c>
      <c r="J12" s="401" t="n">
        <v>120.197</v>
      </c>
      <c r="K12" s="403" t="n">
        <f aca="false">IF(AF12="","",AF12/Z12)</f>
        <v>0.0686373203990116</v>
      </c>
      <c r="L12" s="401" t="n">
        <v>5.09958944195347</v>
      </c>
      <c r="M12" s="401" t="n">
        <v>6.14214733956755</v>
      </c>
      <c r="N12" s="401" t="s">
        <v>390</v>
      </c>
      <c r="O12" s="401" t="s">
        <v>391</v>
      </c>
      <c r="P12" s="401" t="s">
        <v>392</v>
      </c>
      <c r="Q12" s="401" t="s">
        <v>393</v>
      </c>
      <c r="R12" s="401" t="s">
        <v>394</v>
      </c>
      <c r="S12" s="401" t="s">
        <v>372</v>
      </c>
      <c r="T12" s="402" t="s">
        <v>395</v>
      </c>
      <c r="U12" s="402"/>
      <c r="V12" s="402" t="s">
        <v>374</v>
      </c>
      <c r="W12" s="400" t="n">
        <f aca="false">+D12*G12/100</f>
        <v>95.6126470588235</v>
      </c>
      <c r="X12" s="400" t="n">
        <f aca="false">+D12*G12/100</f>
        <v>95.6126470588235</v>
      </c>
      <c r="Y12" s="397"/>
      <c r="Z12" s="404" t="n">
        <f aca="false">+D12*J12/100</f>
        <v>116.661794117647</v>
      </c>
      <c r="AA12" s="405" t="n">
        <f aca="false">IF(+I12=0,AB12,D12*(J12-I12)/100)</f>
        <v>-0.283411764705884</v>
      </c>
      <c r="AB12" s="405" t="n">
        <f aca="false">+$D12*($J12-$G12)/100</f>
        <v>21.0491470588235</v>
      </c>
      <c r="AC12" s="397" t="n">
        <f aca="false">+Z12*L12</f>
        <v>594.927253561703</v>
      </c>
      <c r="AD12" s="397" t="n">
        <f aca="false">+Z12*M12</f>
        <v>716.553928368883</v>
      </c>
      <c r="AE12" s="406" t="n">
        <f aca="false">+AA12/X12</f>
        <v>-0.00296416607451022</v>
      </c>
      <c r="AF12" s="404" t="n">
        <f aca="false">+D12*E12/100</f>
        <v>8.00735294117647</v>
      </c>
      <c r="AK12" s="408" t="n">
        <f aca="false">AJ12*Z12</f>
        <v>0</v>
      </c>
      <c r="AL12" s="409"/>
    </row>
    <row r="13" customFormat="false" ht="13.8" hidden="false" customHeight="false" outlineLevel="0" collapsed="false">
      <c r="A13" s="397" t="s">
        <v>363</v>
      </c>
      <c r="B13" s="398" t="s">
        <v>364</v>
      </c>
      <c r="C13" s="399" t="s">
        <v>396</v>
      </c>
      <c r="D13" s="400" t="n">
        <v>147.058823529412</v>
      </c>
      <c r="E13" s="401" t="n">
        <v>6.95</v>
      </c>
      <c r="F13" s="401" t="s">
        <v>397</v>
      </c>
      <c r="G13" s="402" t="n">
        <v>101.6</v>
      </c>
      <c r="H13" s="401" t="n">
        <v>70.768</v>
      </c>
      <c r="I13" s="401" t="n">
        <v>100.773</v>
      </c>
      <c r="J13" s="401" t="n">
        <v>100.977</v>
      </c>
      <c r="K13" s="403" t="n">
        <f aca="false">IF(AF13="","",AF13/Z13)</f>
        <v>0.0688275547897046</v>
      </c>
      <c r="L13" s="401" t="n">
        <v>6.04458783574299</v>
      </c>
      <c r="M13" s="401" t="n">
        <v>1.39219877679613</v>
      </c>
      <c r="N13" s="401" t="s">
        <v>398</v>
      </c>
      <c r="O13" s="401" t="s">
        <v>368</v>
      </c>
      <c r="P13" s="401" t="s">
        <v>399</v>
      </c>
      <c r="Q13" s="401" t="s">
        <v>400</v>
      </c>
      <c r="R13" s="401" t="s">
        <v>401</v>
      </c>
      <c r="S13" s="401" t="s">
        <v>372</v>
      </c>
      <c r="T13" s="402" t="s">
        <v>395</v>
      </c>
      <c r="U13" s="402"/>
      <c r="V13" s="402" t="s">
        <v>374</v>
      </c>
      <c r="W13" s="400" t="n">
        <f aca="false">+D13*G13/100</f>
        <v>149.411764705882</v>
      </c>
      <c r="X13" s="400" t="n">
        <f aca="false">+D13*G13/100</f>
        <v>149.411764705882</v>
      </c>
      <c r="Y13" s="397"/>
      <c r="Z13" s="404" t="n">
        <f aca="false">+D13*J13/100</f>
        <v>148.495588235294</v>
      </c>
      <c r="AA13" s="405" t="n">
        <f aca="false">IF(+I13=0,AB13,D13*(J13-I13)/100)</f>
        <v>0.300000000000011</v>
      </c>
      <c r="AB13" s="405" t="n">
        <f aca="false">+$D13*($J13-$G13)/100</f>
        <v>-0.916176470588221</v>
      </c>
      <c r="AC13" s="397" t="n">
        <f aca="false">+Z13*L13</f>
        <v>897.594626308559</v>
      </c>
      <c r="AD13" s="397" t="n">
        <f aca="false">+Z13*M13</f>
        <v>206.735376300799</v>
      </c>
      <c r="AE13" s="406" t="n">
        <f aca="false">+AA13/X13</f>
        <v>0.00200787401574811</v>
      </c>
      <c r="AF13" s="404" t="n">
        <f aca="false">+D13*E13/100</f>
        <v>10.2205882352941</v>
      </c>
      <c r="AJ13" s="415" t="n">
        <v>0</v>
      </c>
      <c r="AK13" s="408" t="n">
        <f aca="false">AJ13*Z13</f>
        <v>0</v>
      </c>
      <c r="AL13" s="409"/>
    </row>
    <row r="14" customFormat="false" ht="13.8" hidden="false" customHeight="false" outlineLevel="0" collapsed="false">
      <c r="A14" s="397" t="s">
        <v>363</v>
      </c>
      <c r="B14" s="398" t="s">
        <v>364</v>
      </c>
      <c r="C14" s="399" t="s">
        <v>402</v>
      </c>
      <c r="D14" s="400" t="n">
        <v>1470.58823529412</v>
      </c>
      <c r="E14" s="401" t="n">
        <v>5.75</v>
      </c>
      <c r="F14" s="416" t="n">
        <v>54001</v>
      </c>
      <c r="G14" s="402" t="n">
        <v>74.45</v>
      </c>
      <c r="H14" s="401"/>
      <c r="I14" s="401" t="n">
        <v>82.12</v>
      </c>
      <c r="J14" s="401" t="n">
        <v>82.099</v>
      </c>
      <c r="K14" s="403" t="n">
        <f aca="false">IF(AF14="","",AF14/Z14)</f>
        <v>0.0700373938781228</v>
      </c>
      <c r="L14" s="401" t="n">
        <v>7.42475260490734</v>
      </c>
      <c r="M14" s="401" t="n">
        <v>11.4002972986787</v>
      </c>
      <c r="N14" s="401"/>
      <c r="O14" s="401" t="s">
        <v>403</v>
      </c>
      <c r="P14" s="401" t="s">
        <v>404</v>
      </c>
      <c r="Q14" s="401" t="s">
        <v>370</v>
      </c>
      <c r="R14" s="401" t="s">
        <v>405</v>
      </c>
      <c r="S14" s="401" t="s">
        <v>372</v>
      </c>
      <c r="T14" s="402"/>
      <c r="U14" s="402"/>
      <c r="V14" s="402" t="s">
        <v>374</v>
      </c>
      <c r="W14" s="400" t="n">
        <f aca="false">+D14*G14/100</f>
        <v>1094.85294117647</v>
      </c>
      <c r="X14" s="400" t="n">
        <f aca="false">+D14*G14/100</f>
        <v>1094.85294117647</v>
      </c>
      <c r="Y14" s="397"/>
      <c r="Z14" s="404" t="n">
        <f aca="false">+D14*J14/100</f>
        <v>1207.33823529412</v>
      </c>
      <c r="AA14" s="405" t="n">
        <f aca="false">IF(+I14=0,AB14,D14*(J14-I14)/100)</f>
        <v>-0.308823529411776</v>
      </c>
      <c r="AB14" s="405" t="n">
        <f aca="false">+$D14*($J14-$G14)/100</f>
        <v>112.485294117647</v>
      </c>
      <c r="AC14" s="397" t="n">
        <f aca="false">+Z14*L14</f>
        <v>8964.18770750423</v>
      </c>
      <c r="AD14" s="397" t="n">
        <f aca="false">+Z14*M14</f>
        <v>13764.014822415</v>
      </c>
      <c r="AE14" s="406" t="n">
        <f aca="false">+AA14/X14</f>
        <v>-0.000282068502350582</v>
      </c>
      <c r="AF14" s="404" t="n">
        <f aca="false">+D14*E14/100</f>
        <v>84.5588235294118</v>
      </c>
      <c r="AJ14" s="415" t="n">
        <v>0</v>
      </c>
      <c r="AK14" s="408" t="n">
        <f aca="false">AJ14*Z14</f>
        <v>0</v>
      </c>
      <c r="AL14" s="409"/>
    </row>
    <row r="15" customFormat="false" ht="13.8" hidden="false" customHeight="false" outlineLevel="0" collapsed="false">
      <c r="A15" s="397" t="s">
        <v>363</v>
      </c>
      <c r="B15" s="398" t="s">
        <v>364</v>
      </c>
      <c r="C15" s="399" t="s">
        <v>406</v>
      </c>
      <c r="D15" s="400" t="n">
        <v>2941.17647058824</v>
      </c>
      <c r="E15" s="401" t="n">
        <v>7.5</v>
      </c>
      <c r="F15" s="416" t="s">
        <v>407</v>
      </c>
      <c r="G15" s="402" t="n">
        <v>102.15</v>
      </c>
      <c r="H15" s="401"/>
      <c r="I15" s="401" t="n">
        <v>106.241</v>
      </c>
      <c r="J15" s="402" t="n">
        <v>106.786</v>
      </c>
      <c r="K15" s="403" t="n">
        <f aca="false">IF(AF15="","",AF15/Z15)</f>
        <v>0.0702339257955163</v>
      </c>
      <c r="L15" s="401" t="n">
        <v>7.06080971668994</v>
      </c>
      <c r="M15" s="401" t="n">
        <v>6.50894237146381</v>
      </c>
      <c r="N15" s="401" t="s">
        <v>408</v>
      </c>
      <c r="O15" s="401" t="s">
        <v>409</v>
      </c>
      <c r="P15" s="401"/>
      <c r="Q15" s="401" t="s">
        <v>410</v>
      </c>
      <c r="R15" s="401" t="s">
        <v>411</v>
      </c>
      <c r="S15" s="401" t="s">
        <v>372</v>
      </c>
      <c r="T15" s="402" t="s">
        <v>412</v>
      </c>
      <c r="U15" s="402"/>
      <c r="V15" s="417" t="s">
        <v>413</v>
      </c>
      <c r="W15" s="400" t="n">
        <f aca="false">+D15*G15/100</f>
        <v>3004.41176470588</v>
      </c>
      <c r="X15" s="400" t="n">
        <f aca="false">+D15*G15/100</f>
        <v>3004.41176470588</v>
      </c>
      <c r="Y15" s="397"/>
      <c r="Z15" s="404" t="n">
        <f aca="false">+D15*J15/100</f>
        <v>3140.76470588235</v>
      </c>
      <c r="AA15" s="405" t="n">
        <f aca="false">IF(+I15=0,AB15,D15*(J15-I15)/100)</f>
        <v>16.0294117647059</v>
      </c>
      <c r="AB15" s="405" t="n">
        <f aca="false">+$D15*($J15-$G15)/100</f>
        <v>136.35294117647</v>
      </c>
      <c r="AC15" s="397" t="n">
        <f aca="false">+Z15*L15</f>
        <v>22176.341953131</v>
      </c>
      <c r="AD15" s="397" t="n">
        <f aca="false">+Z15*M15</f>
        <v>20443.0564729157</v>
      </c>
      <c r="AE15" s="406" t="n">
        <f aca="false">+AA15/X15</f>
        <v>0.00533529123837496</v>
      </c>
      <c r="AF15" s="404" t="n">
        <f aca="false">+D15*E15/100</f>
        <v>220.588235294118</v>
      </c>
      <c r="AJ15" s="415" t="n">
        <v>0.6</v>
      </c>
      <c r="AK15" s="408" t="n">
        <f aca="false">AJ15*Z15</f>
        <v>1884.45882352941</v>
      </c>
      <c r="AL15" s="409"/>
    </row>
    <row r="16" customFormat="false" ht="13.8" hidden="false" customHeight="false" outlineLevel="0" collapsed="false">
      <c r="A16" s="397" t="s">
        <v>363</v>
      </c>
      <c r="B16" s="398" t="s">
        <v>364</v>
      </c>
      <c r="C16" s="399" t="s">
        <v>414</v>
      </c>
      <c r="D16" s="400" t="n">
        <v>970.588235294118</v>
      </c>
      <c r="E16" s="401" t="n">
        <v>8.25</v>
      </c>
      <c r="F16" s="401" t="s">
        <v>415</v>
      </c>
      <c r="G16" s="402" t="n">
        <v>127.625</v>
      </c>
      <c r="H16" s="401" t="n">
        <v>112.492</v>
      </c>
      <c r="I16" s="401" t="n">
        <v>116.286</v>
      </c>
      <c r="J16" s="401" t="n">
        <v>115.558</v>
      </c>
      <c r="K16" s="403" t="n">
        <f aca="false">IF(AF16="","",AF16/Z16)</f>
        <v>0.071392720538604</v>
      </c>
      <c r="L16" s="401" t="n">
        <v>5.75389037864868</v>
      </c>
      <c r="M16" s="401" t="n">
        <v>6.10981078398131</v>
      </c>
      <c r="N16" s="401" t="s">
        <v>416</v>
      </c>
      <c r="O16" s="401" t="s">
        <v>417</v>
      </c>
      <c r="P16" s="401" t="s">
        <v>416</v>
      </c>
      <c r="Q16" s="401" t="s">
        <v>370</v>
      </c>
      <c r="R16" s="401" t="s">
        <v>394</v>
      </c>
      <c r="S16" s="401" t="s">
        <v>372</v>
      </c>
      <c r="T16" s="402" t="s">
        <v>395</v>
      </c>
      <c r="U16" s="402"/>
      <c r="V16" s="402" t="s">
        <v>374</v>
      </c>
      <c r="W16" s="400" t="n">
        <f aca="false">+D16*G16/100</f>
        <v>1238.71323529412</v>
      </c>
      <c r="X16" s="400" t="n">
        <f aca="false">+D16*G16/100</f>
        <v>1238.71323529412</v>
      </c>
      <c r="Y16" s="397"/>
      <c r="Z16" s="404" t="n">
        <f aca="false">+D16*J16/100</f>
        <v>1121.59235294118</v>
      </c>
      <c r="AA16" s="405" t="n">
        <f aca="false">IF(+I16=0,AB16,D16*(J16-I16)/100)</f>
        <v>-7.06588235294112</v>
      </c>
      <c r="AB16" s="405" t="n">
        <f aca="false">+$D16*($J16-$G16)/100</f>
        <v>-117.120882352941</v>
      </c>
      <c r="AC16" s="397" t="n">
        <f aca="false">+Z16*L16</f>
        <v>6453.51944835417</v>
      </c>
      <c r="AD16" s="397" t="n">
        <f aca="false">+Z16*M16</f>
        <v>6852.71705323097</v>
      </c>
      <c r="AE16" s="406" t="n">
        <f aca="false">+AA16/X16</f>
        <v>-0.00570421155729672</v>
      </c>
      <c r="AF16" s="404" t="n">
        <f aca="false">+D16*E16/100</f>
        <v>80.0735294117647</v>
      </c>
      <c r="AJ16" s="415" t="n">
        <v>0.55</v>
      </c>
      <c r="AK16" s="408" t="n">
        <f aca="false">AJ16*Z16</f>
        <v>616.875794117647</v>
      </c>
      <c r="AL16" s="409"/>
    </row>
    <row r="17" customFormat="false" ht="13.8" hidden="false" customHeight="false" outlineLevel="0" collapsed="false">
      <c r="A17" s="397" t="s">
        <v>363</v>
      </c>
      <c r="B17" s="398" t="s">
        <v>364</v>
      </c>
      <c r="C17" s="399" t="s">
        <v>418</v>
      </c>
      <c r="D17" s="400" t="n">
        <v>1470.58823529412</v>
      </c>
      <c r="E17" s="401" t="n">
        <v>7.625</v>
      </c>
      <c r="F17" s="416" t="n">
        <v>47855</v>
      </c>
      <c r="G17" s="402" t="n">
        <v>101.901</v>
      </c>
      <c r="H17" s="401"/>
      <c r="I17" s="401" t="n">
        <v>105.26</v>
      </c>
      <c r="J17" s="402" t="n">
        <v>105.045</v>
      </c>
      <c r="K17" s="403" t="n">
        <f aca="false">IF(AF17="","",AF17/Z17)</f>
        <v>0.0725879385025465</v>
      </c>
      <c r="L17" s="401" t="n">
        <v>6.38216577203694</v>
      </c>
      <c r="M17" s="401" t="n">
        <v>3.05075149896429</v>
      </c>
      <c r="N17" s="401" t="s">
        <v>390</v>
      </c>
      <c r="O17" s="401" t="s">
        <v>417</v>
      </c>
      <c r="P17" s="401" t="s">
        <v>408</v>
      </c>
      <c r="Q17" s="401" t="s">
        <v>419</v>
      </c>
      <c r="R17" s="401" t="s">
        <v>411</v>
      </c>
      <c r="S17" s="401" t="s">
        <v>372</v>
      </c>
      <c r="T17" s="402" t="s">
        <v>412</v>
      </c>
      <c r="U17" s="402"/>
      <c r="V17" s="402" t="s">
        <v>420</v>
      </c>
      <c r="W17" s="400" t="n">
        <f aca="false">+D17*G17/100</f>
        <v>1498.54411764706</v>
      </c>
      <c r="X17" s="400" t="n">
        <f aca="false">+D17*G17/100</f>
        <v>1498.54411764706</v>
      </c>
      <c r="Y17" s="397"/>
      <c r="Z17" s="404" t="n">
        <f aca="false">+D17*J17/100</f>
        <v>1544.77941176471</v>
      </c>
      <c r="AA17" s="405" t="n">
        <f aca="false">IF(+I17=0,AB17,D17*(J17-I17)/100)</f>
        <v>-3.1617647058824</v>
      </c>
      <c r="AB17" s="405" t="n">
        <f aca="false">+$D17*($J17-$G17)/100</f>
        <v>46.2352941176471</v>
      </c>
      <c r="AC17" s="397" t="n">
        <f aca="false">+Z17*L17</f>
        <v>9859.03828711206</v>
      </c>
      <c r="AD17" s="397" t="n">
        <f aca="false">+Z17*M17</f>
        <v>4712.73810601035</v>
      </c>
      <c r="AE17" s="406" t="n">
        <f aca="false">+AA17/X17</f>
        <v>-0.0021098909726107</v>
      </c>
      <c r="AF17" s="404" t="n">
        <f aca="false">+D17*E17/100</f>
        <v>112.132352941176</v>
      </c>
      <c r="AJ17" s="415" t="n">
        <v>0.55</v>
      </c>
      <c r="AK17" s="408" t="n">
        <f aca="false">AJ17*Z17</f>
        <v>849.628676470588</v>
      </c>
      <c r="AL17" s="409"/>
    </row>
    <row r="18" customFormat="false" ht="13.8" hidden="false" customHeight="false" outlineLevel="0" collapsed="false">
      <c r="A18" s="397" t="s">
        <v>363</v>
      </c>
      <c r="B18" s="398" t="s">
        <v>364</v>
      </c>
      <c r="C18" s="399" t="s">
        <v>421</v>
      </c>
      <c r="D18" s="400" t="n">
        <v>194.117647058824</v>
      </c>
      <c r="E18" s="401" t="n">
        <v>8.6</v>
      </c>
      <c r="F18" s="401" t="s">
        <v>422</v>
      </c>
      <c r="G18" s="402" t="n">
        <v>146</v>
      </c>
      <c r="H18" s="401" t="n">
        <v>121.59</v>
      </c>
      <c r="I18" s="401" t="n">
        <v>117.411</v>
      </c>
      <c r="J18" s="401" t="n">
        <v>117.539</v>
      </c>
      <c r="K18" s="403" t="n">
        <f aca="false">IF(AF18="","",AF18/Z18)</f>
        <v>0.0731672040769447</v>
      </c>
      <c r="L18" s="401" t="n">
        <v>4.47345885926047</v>
      </c>
      <c r="M18" s="401" t="n">
        <v>4.08669081136199</v>
      </c>
      <c r="N18" s="401" t="s">
        <v>423</v>
      </c>
      <c r="O18" s="401" t="s">
        <v>424</v>
      </c>
      <c r="P18" s="401" t="s">
        <v>369</v>
      </c>
      <c r="Q18" s="401" t="s">
        <v>425</v>
      </c>
      <c r="R18" s="401" t="s">
        <v>426</v>
      </c>
      <c r="S18" s="401" t="s">
        <v>372</v>
      </c>
      <c r="T18" s="402" t="s">
        <v>395</v>
      </c>
      <c r="U18" s="402"/>
      <c r="V18" s="402" t="s">
        <v>427</v>
      </c>
      <c r="W18" s="400" t="n">
        <f aca="false">+D18*G18/100</f>
        <v>283.411764705882</v>
      </c>
      <c r="X18" s="400" t="n">
        <f aca="false">+D18*G18/100</f>
        <v>283.411764705882</v>
      </c>
      <c r="Y18" s="397"/>
      <c r="Z18" s="404" t="n">
        <f aca="false">+D18*J18/100</f>
        <v>228.163941176471</v>
      </c>
      <c r="AA18" s="405" t="n">
        <f aca="false">IF(+I18=0,AB18,D18*(J18-I18)/100)</f>
        <v>0.248470588235294</v>
      </c>
      <c r="AB18" s="405" t="n">
        <f aca="false">+$D18*($J18-$G18)/100</f>
        <v>-55.2478235294118</v>
      </c>
      <c r="AC18" s="397" t="n">
        <f aca="false">+Z18*L18</f>
        <v>1020.68200401967</v>
      </c>
      <c r="AD18" s="397" t="n">
        <f aca="false">+Z18*M18</f>
        <v>932.435481890019</v>
      </c>
      <c r="AE18" s="406" t="n">
        <f aca="false">+AA18/X18</f>
        <v>0.000876712328767124</v>
      </c>
      <c r="AF18" s="404" t="n">
        <f aca="false">+D18*E18/100</f>
        <v>16.6941176470588</v>
      </c>
      <c r="AK18" s="408" t="n">
        <f aca="false">AJ18*Z18</f>
        <v>0</v>
      </c>
      <c r="AL18" s="409"/>
    </row>
    <row r="19" customFormat="false" ht="13.8" hidden="false" customHeight="false" outlineLevel="0" collapsed="false">
      <c r="A19" s="397" t="s">
        <v>363</v>
      </c>
      <c r="B19" s="398" t="s">
        <v>364</v>
      </c>
      <c r="C19" s="399" t="s">
        <v>428</v>
      </c>
      <c r="D19" s="400" t="n">
        <v>882.352941176471</v>
      </c>
      <c r="E19" s="401" t="n">
        <v>6.5</v>
      </c>
      <c r="F19" s="401" t="s">
        <v>429</v>
      </c>
      <c r="G19" s="402" t="n">
        <v>74.167</v>
      </c>
      <c r="H19" s="401" t="n">
        <v>65.698</v>
      </c>
      <c r="I19" s="401" t="n">
        <v>86.682</v>
      </c>
      <c r="J19" s="401" t="n">
        <v>88.498</v>
      </c>
      <c r="K19" s="403" t="n">
        <f aca="false">IF(AF19="","",AF19/Z19)</f>
        <v>0.0734479875251418</v>
      </c>
      <c r="L19" s="401" t="n">
        <v>7.77986006872248</v>
      </c>
      <c r="M19" s="401" t="n">
        <v>9.42314210056713</v>
      </c>
      <c r="N19" s="401" t="s">
        <v>392</v>
      </c>
      <c r="O19" s="401" t="s">
        <v>430</v>
      </c>
      <c r="P19" s="401" t="s">
        <v>431</v>
      </c>
      <c r="Q19" s="401" t="s">
        <v>400</v>
      </c>
      <c r="R19" s="401" t="s">
        <v>432</v>
      </c>
      <c r="S19" s="401" t="s">
        <v>372</v>
      </c>
      <c r="T19" s="402" t="s">
        <v>395</v>
      </c>
      <c r="U19" s="402"/>
      <c r="V19" s="402" t="s">
        <v>374</v>
      </c>
      <c r="W19" s="400" t="n">
        <f aca="false">+D19*G19/100</f>
        <v>654.414705882353</v>
      </c>
      <c r="X19" s="400" t="n">
        <f aca="false">+D19*G19/100</f>
        <v>654.414705882353</v>
      </c>
      <c r="Y19" s="397"/>
      <c r="Z19" s="404" t="n">
        <f aca="false">+D19*J19/100</f>
        <v>780.864705882353</v>
      </c>
      <c r="AA19" s="405" t="n">
        <f aca="false">IF(+I19=0,AB19,D19*(J19-I19)/100)</f>
        <v>16.0235294117647</v>
      </c>
      <c r="AB19" s="405" t="n">
        <f aca="false">+$D19*($J19-$G19)/100</f>
        <v>126.45</v>
      </c>
      <c r="AC19" s="397" t="n">
        <f aca="false">+Z19*L19</f>
        <v>6075.01814436884</v>
      </c>
      <c r="AD19" s="397" t="n">
        <f aca="false">+Z19*M19</f>
        <v>7358.19908484697</v>
      </c>
      <c r="AE19" s="406" t="n">
        <f aca="false">+AA19/X19</f>
        <v>0.0244852832122103</v>
      </c>
      <c r="AF19" s="404" t="n">
        <f aca="false">+D19*E19/100</f>
        <v>57.3529411764706</v>
      </c>
      <c r="AJ19" s="407" t="n">
        <v>0.5</v>
      </c>
      <c r="AK19" s="408" t="n">
        <f aca="false">AJ19*Z19</f>
        <v>390.432352941177</v>
      </c>
      <c r="AL19" s="409"/>
    </row>
    <row r="20" customFormat="false" ht="13.8" hidden="false" customHeight="false" outlineLevel="0" collapsed="false">
      <c r="A20" s="397" t="s">
        <v>363</v>
      </c>
      <c r="B20" s="398" t="s">
        <v>364</v>
      </c>
      <c r="C20" s="399" t="s">
        <v>433</v>
      </c>
      <c r="D20" s="400" t="n">
        <v>294.117647058824</v>
      </c>
      <c r="E20" s="401" t="n">
        <v>6.5</v>
      </c>
      <c r="F20" s="401" t="s">
        <v>429</v>
      </c>
      <c r="G20" s="402" t="n">
        <v>74.167</v>
      </c>
      <c r="H20" s="401" t="n">
        <v>65.698</v>
      </c>
      <c r="I20" s="401" t="n">
        <v>86.682</v>
      </c>
      <c r="J20" s="401" t="n">
        <v>88.498</v>
      </c>
      <c r="K20" s="403" t="n">
        <f aca="false">IF(AF20="","",AF20/Z20)</f>
        <v>0.0734479875251418</v>
      </c>
      <c r="L20" s="401" t="n">
        <v>7.77986006872248</v>
      </c>
      <c r="M20" s="401" t="n">
        <v>9.42314210056713</v>
      </c>
      <c r="N20" s="401" t="s">
        <v>392</v>
      </c>
      <c r="O20" s="401" t="s">
        <v>430</v>
      </c>
      <c r="P20" s="401" t="s">
        <v>431</v>
      </c>
      <c r="Q20" s="401" t="s">
        <v>400</v>
      </c>
      <c r="R20" s="401" t="s">
        <v>432</v>
      </c>
      <c r="S20" s="401" t="s">
        <v>372</v>
      </c>
      <c r="T20" s="402" t="s">
        <v>395</v>
      </c>
      <c r="U20" s="402"/>
      <c r="V20" s="402" t="s">
        <v>374</v>
      </c>
      <c r="W20" s="400" t="n">
        <f aca="false">+D20*G20/100</f>
        <v>218.138235294118</v>
      </c>
      <c r="X20" s="400" t="n">
        <f aca="false">+D20*G20/100</f>
        <v>218.138235294118</v>
      </c>
      <c r="Y20" s="397"/>
      <c r="Z20" s="404" t="n">
        <f aca="false">+D20*J20/100</f>
        <v>260.288235294118</v>
      </c>
      <c r="AA20" s="405" t="n">
        <f aca="false">IF(+I20=0,AB20,D20*(J20-I20)/100)</f>
        <v>5.34117647058824</v>
      </c>
      <c r="AB20" s="405" t="n">
        <f aca="false">+$D20*($J20-$G20)/100</f>
        <v>42.15</v>
      </c>
      <c r="AC20" s="397" t="n">
        <f aca="false">+Z20*L20</f>
        <v>2025.00604812295</v>
      </c>
      <c r="AD20" s="397" t="n">
        <f aca="false">+Z20*M20</f>
        <v>2452.73302828232</v>
      </c>
      <c r="AE20" s="406" t="n">
        <f aca="false">+AA20/X20</f>
        <v>0.0244852832122103</v>
      </c>
      <c r="AF20" s="404" t="n">
        <f aca="false">+D20*E20/100</f>
        <v>19.1176470588235</v>
      </c>
      <c r="AJ20" s="407" t="n">
        <v>0.55</v>
      </c>
      <c r="AK20" s="408" t="n">
        <f aca="false">AJ20*Z20</f>
        <v>143.158529411765</v>
      </c>
      <c r="AL20" s="409"/>
    </row>
    <row r="21" customFormat="false" ht="13.8" hidden="false" customHeight="false" outlineLevel="0" collapsed="false">
      <c r="A21" s="397" t="s">
        <v>363</v>
      </c>
      <c r="B21" s="398" t="s">
        <v>364</v>
      </c>
      <c r="C21" s="399" t="s">
        <v>434</v>
      </c>
      <c r="D21" s="400" t="n">
        <v>291.176470588235</v>
      </c>
      <c r="E21" s="401" t="n">
        <v>6.5</v>
      </c>
      <c r="F21" s="401" t="s">
        <v>429</v>
      </c>
      <c r="G21" s="402" t="n">
        <v>100.65</v>
      </c>
      <c r="H21" s="401" t="n">
        <v>65.698</v>
      </c>
      <c r="I21" s="401" t="n">
        <v>86.682</v>
      </c>
      <c r="J21" s="401" t="n">
        <v>88.498</v>
      </c>
      <c r="K21" s="403" t="n">
        <f aca="false">IF(AF21="","",AF21/Z21)</f>
        <v>0.0734479875251418</v>
      </c>
      <c r="L21" s="401" t="n">
        <v>7.77986006872248</v>
      </c>
      <c r="M21" s="401" t="n">
        <v>9.42314210056713</v>
      </c>
      <c r="N21" s="401" t="s">
        <v>392</v>
      </c>
      <c r="O21" s="401" t="s">
        <v>430</v>
      </c>
      <c r="P21" s="401" t="s">
        <v>431</v>
      </c>
      <c r="Q21" s="401" t="s">
        <v>400</v>
      </c>
      <c r="R21" s="401" t="s">
        <v>432</v>
      </c>
      <c r="S21" s="401" t="s">
        <v>372</v>
      </c>
      <c r="T21" s="402" t="s">
        <v>395</v>
      </c>
      <c r="U21" s="402"/>
      <c r="V21" s="402" t="s">
        <v>374</v>
      </c>
      <c r="W21" s="400" t="n">
        <f aca="false">+D21*G21/100</f>
        <v>293.069117647059</v>
      </c>
      <c r="X21" s="400" t="n">
        <f aca="false">+D21*G21/100</f>
        <v>293.069117647059</v>
      </c>
      <c r="Y21" s="397"/>
      <c r="Z21" s="404" t="n">
        <f aca="false">+D21*J21/100</f>
        <v>257.685352941177</v>
      </c>
      <c r="AA21" s="405" t="n">
        <f aca="false">IF(+I21=0,AB21,D21*(J21-I21)/100)</f>
        <v>5.28776470588236</v>
      </c>
      <c r="AB21" s="405" t="n">
        <f aca="false">+$D21*($J21-$G21)/100</f>
        <v>-35.3837647058824</v>
      </c>
      <c r="AC21" s="397" t="n">
        <f aca="false">+Z21*L21</f>
        <v>2004.75598764172</v>
      </c>
      <c r="AD21" s="397" t="n">
        <f aca="false">+Z21*M21</f>
        <v>2428.2056979995</v>
      </c>
      <c r="AE21" s="406" t="n">
        <f aca="false">+AA21/X21</f>
        <v>0.0180427223050174</v>
      </c>
      <c r="AF21" s="404" t="n">
        <f aca="false">+D21*E21/100</f>
        <v>18.9264705882353</v>
      </c>
      <c r="AK21" s="408" t="n">
        <f aca="false">AJ21*Z21</f>
        <v>0</v>
      </c>
      <c r="AL21" s="409"/>
    </row>
    <row r="22" customFormat="false" ht="13.8" hidden="false" customHeight="false" outlineLevel="0" collapsed="false">
      <c r="A22" s="397" t="s">
        <v>363</v>
      </c>
      <c r="B22" s="398" t="s">
        <v>364</v>
      </c>
      <c r="C22" s="399" t="s">
        <v>435</v>
      </c>
      <c r="D22" s="400" t="n">
        <v>429.411764705882</v>
      </c>
      <c r="E22" s="401" t="n">
        <v>10.75</v>
      </c>
      <c r="F22" s="401" t="s">
        <v>436</v>
      </c>
      <c r="G22" s="402" t="n">
        <v>165.5</v>
      </c>
      <c r="H22" s="401" t="n">
        <v>133.03</v>
      </c>
      <c r="I22" s="401" t="n">
        <v>133.254</v>
      </c>
      <c r="J22" s="401" t="n">
        <v>133.125</v>
      </c>
      <c r="K22" s="403" t="n">
        <f aca="false">IF(AF22="","",AF22/Z22)</f>
        <v>0.0807511737089202</v>
      </c>
      <c r="L22" s="401" t="n">
        <v>6.90179889106164</v>
      </c>
      <c r="M22" s="401" t="n">
        <v>6.14410061838271</v>
      </c>
      <c r="N22" s="401" t="s">
        <v>392</v>
      </c>
      <c r="O22" s="401" t="s">
        <v>437</v>
      </c>
      <c r="P22" s="401" t="s">
        <v>392</v>
      </c>
      <c r="Q22" s="401" t="s">
        <v>438</v>
      </c>
      <c r="R22" s="401" t="s">
        <v>376</v>
      </c>
      <c r="S22" s="401" t="s">
        <v>372</v>
      </c>
      <c r="T22" s="402" t="s">
        <v>439</v>
      </c>
      <c r="U22" s="402"/>
      <c r="V22" s="402" t="s">
        <v>413</v>
      </c>
      <c r="W22" s="400" t="n">
        <f aca="false">+D22*G22/100</f>
        <v>710.676470588235</v>
      </c>
      <c r="X22" s="400" t="n">
        <f aca="false">+D22*G22/100</f>
        <v>710.676470588235</v>
      </c>
      <c r="Y22" s="397"/>
      <c r="Z22" s="404" t="n">
        <f aca="false">+D22*J22/100</f>
        <v>571.654411764706</v>
      </c>
      <c r="AA22" s="405" t="n">
        <f aca="false">IF(+I22=0,AB22,D22*(J22-I22)/100)</f>
        <v>-0.553941176470548</v>
      </c>
      <c r="AB22" s="405" t="n">
        <f aca="false">+$D22*($J22-$G22)/100</f>
        <v>-139.022058823529</v>
      </c>
      <c r="AC22" s="397" t="n">
        <f aca="false">+Z22*L22</f>
        <v>3945.44378518814</v>
      </c>
      <c r="AD22" s="397" t="n">
        <f aca="false">+Z22*M22</f>
        <v>3512.30222482473</v>
      </c>
      <c r="AE22" s="406" t="n">
        <f aca="false">+AA22/X22</f>
        <v>-0.000779456193353418</v>
      </c>
      <c r="AF22" s="404" t="n">
        <f aca="false">+D22*E22/100</f>
        <v>46.1617647058824</v>
      </c>
      <c r="AK22" s="408" t="n">
        <f aca="false">AJ22*Z22</f>
        <v>0</v>
      </c>
      <c r="AL22" s="409"/>
    </row>
    <row r="23" customFormat="false" ht="13.8" hidden="false" customHeight="false" outlineLevel="0" collapsed="false">
      <c r="A23" s="397" t="s">
        <v>363</v>
      </c>
      <c r="B23" s="398" t="s">
        <v>364</v>
      </c>
      <c r="C23" s="399" t="s">
        <v>440</v>
      </c>
      <c r="D23" s="400" t="n">
        <v>588.235294117647</v>
      </c>
      <c r="E23" s="401" t="n">
        <v>7.25</v>
      </c>
      <c r="F23" s="401" t="s">
        <v>441</v>
      </c>
      <c r="G23" s="402" t="n">
        <v>103.582</v>
      </c>
      <c r="H23" s="401" t="n">
        <v>82.581</v>
      </c>
      <c r="I23" s="401" t="n">
        <v>88.052</v>
      </c>
      <c r="J23" s="401" t="n">
        <v>84.706</v>
      </c>
      <c r="K23" s="403" t="n">
        <f aca="false">IF(AF23="","",AF23/Z23)</f>
        <v>0.0855901589025571</v>
      </c>
      <c r="L23" s="401" t="n">
        <v>11.0619846842312</v>
      </c>
      <c r="M23" s="401" t="n">
        <v>3.75897091797691</v>
      </c>
      <c r="N23" s="401" t="s">
        <v>368</v>
      </c>
      <c r="O23" s="401" t="s">
        <v>442</v>
      </c>
      <c r="P23" s="401" t="s">
        <v>416</v>
      </c>
      <c r="Q23" s="401" t="s">
        <v>443</v>
      </c>
      <c r="R23" s="401" t="s">
        <v>394</v>
      </c>
      <c r="S23" s="401" t="s">
        <v>372</v>
      </c>
      <c r="T23" s="402" t="s">
        <v>373</v>
      </c>
      <c r="U23" s="402"/>
      <c r="V23" s="402" t="s">
        <v>420</v>
      </c>
      <c r="W23" s="400" t="n">
        <f aca="false">+D23*G23/100</f>
        <v>609.305882352941</v>
      </c>
      <c r="X23" s="400" t="n">
        <f aca="false">+D23*G23/100</f>
        <v>609.305882352941</v>
      </c>
      <c r="Y23" s="397"/>
      <c r="Z23" s="404" t="n">
        <f aca="false">+D23*J23/100</f>
        <v>498.270588235294</v>
      </c>
      <c r="AA23" s="405" t="n">
        <f aca="false">IF(+I23=0,AB23,D23*(J23-I23)/100)</f>
        <v>-19.6823529411765</v>
      </c>
      <c r="AB23" s="405" t="n">
        <f aca="false">+$D23*($J23-$G23)/100</f>
        <v>-111.035294117647</v>
      </c>
      <c r="AC23" s="397" t="n">
        <f aca="false">+Z23*L23</f>
        <v>5511.86161566168</v>
      </c>
      <c r="AD23" s="397" t="n">
        <f aca="false">+Z23*M23</f>
        <v>1872.98465045972</v>
      </c>
      <c r="AE23" s="406"/>
      <c r="AF23" s="404" t="n">
        <f aca="false">+D23*E23/100</f>
        <v>42.6470588235294</v>
      </c>
      <c r="AJ23" s="407" t="n">
        <v>0.6</v>
      </c>
      <c r="AK23" s="408" t="n">
        <f aca="false">AJ23*Z23</f>
        <v>298.962352941176</v>
      </c>
      <c r="AL23" s="409"/>
    </row>
    <row r="24" customFormat="false" ht="13.8" hidden="false" customHeight="false" outlineLevel="0" collapsed="false">
      <c r="A24" s="397" t="s">
        <v>363</v>
      </c>
      <c r="B24" s="398" t="s">
        <v>364</v>
      </c>
      <c r="C24" s="399" t="s">
        <v>444</v>
      </c>
      <c r="D24" s="400" t="n">
        <v>291.176470588235</v>
      </c>
      <c r="E24" s="401" t="n">
        <v>6.625</v>
      </c>
      <c r="F24" s="401" t="s">
        <v>445</v>
      </c>
      <c r="G24" s="402" t="n">
        <v>104.88</v>
      </c>
      <c r="H24" s="401" t="n">
        <v>57.39</v>
      </c>
      <c r="I24" s="401" t="n">
        <v>74.284</v>
      </c>
      <c r="J24" s="401" t="n">
        <v>75.03</v>
      </c>
      <c r="K24" s="403" t="n">
        <f aca="false">IF(AF24="","",AF24/Z24)</f>
        <v>0.0882980141276823</v>
      </c>
      <c r="L24" s="401" t="n">
        <v>8.79248459950131</v>
      </c>
      <c r="M24" s="401" t="n">
        <v>11.5012205967888</v>
      </c>
      <c r="N24" s="401" t="s">
        <v>392</v>
      </c>
      <c r="O24" s="401" t="s">
        <v>430</v>
      </c>
      <c r="P24" s="401" t="s">
        <v>431</v>
      </c>
      <c r="Q24" s="401" t="s">
        <v>400</v>
      </c>
      <c r="R24" s="401" t="s">
        <v>432</v>
      </c>
      <c r="S24" s="401" t="s">
        <v>372</v>
      </c>
      <c r="T24" s="402" t="s">
        <v>446</v>
      </c>
      <c r="U24" s="402"/>
      <c r="V24" s="402" t="s">
        <v>374</v>
      </c>
      <c r="W24" s="400" t="n">
        <f aca="false">+D24*G24/100</f>
        <v>305.385882352941</v>
      </c>
      <c r="X24" s="400" t="n">
        <f aca="false">+D24*G24/100</f>
        <v>305.385882352941</v>
      </c>
      <c r="Y24" s="397"/>
      <c r="Z24" s="404" t="n">
        <f aca="false">+D24*J24/100</f>
        <v>218.469705882353</v>
      </c>
      <c r="AA24" s="405" t="n">
        <f aca="false">IF(+I24=0,AB24,D24*(J24-I24)/100)</f>
        <v>2.17217647058822</v>
      </c>
      <c r="AB24" s="405" t="n">
        <f aca="false">+$D24*($J24-$G24)/100</f>
        <v>-86.9161764705882</v>
      </c>
      <c r="AC24" s="397" t="n">
        <f aca="false">+Z24*L24</f>
        <v>1920.89152442817</v>
      </c>
      <c r="AD24" s="397" t="n">
        <f aca="false">+Z24*M24</f>
        <v>2512.6682810685</v>
      </c>
      <c r="AE24" s="406" t="n">
        <f aca="false">+AA24/X24</f>
        <v>0.00711289092295953</v>
      </c>
      <c r="AF24" s="404" t="n">
        <f aca="false">+D24*E24/100</f>
        <v>19.2904411764706</v>
      </c>
      <c r="AG24" s="413" t="n">
        <v>45099</v>
      </c>
      <c r="AJ24" s="407" t="n">
        <v>0.5</v>
      </c>
      <c r="AK24" s="408" t="n">
        <f aca="false">AJ24*Z24</f>
        <v>109.234852941176</v>
      </c>
      <c r="AL24" s="409"/>
    </row>
    <row r="25" customFormat="false" ht="13.8" hidden="false" customHeight="false" outlineLevel="0" collapsed="false">
      <c r="A25" s="397" t="s">
        <v>363</v>
      </c>
      <c r="B25" s="398" t="s">
        <v>364</v>
      </c>
      <c r="C25" s="399" t="s">
        <v>447</v>
      </c>
      <c r="D25" s="400" t="n">
        <v>1470.58823529412</v>
      </c>
      <c r="E25" s="401" t="n">
        <v>9.625</v>
      </c>
      <c r="F25" s="410" t="n">
        <v>47528</v>
      </c>
      <c r="G25" s="402" t="n">
        <v>97.3</v>
      </c>
      <c r="H25" s="401"/>
      <c r="I25" s="401" t="n">
        <v>100.312</v>
      </c>
      <c r="J25" s="402" t="n">
        <v>102.125</v>
      </c>
      <c r="K25" s="411" t="n">
        <f aca="false">IF(AF25="","",AF25/Z25)</f>
        <v>0.0942472460220318</v>
      </c>
      <c r="L25" s="401" t="n">
        <v>8.96173250803094</v>
      </c>
      <c r="M25" s="401" t="n">
        <v>2.56504478185941</v>
      </c>
      <c r="N25" s="401"/>
      <c r="O25" s="401" t="s">
        <v>448</v>
      </c>
      <c r="P25" s="401"/>
      <c r="Q25" s="401" t="s">
        <v>419</v>
      </c>
      <c r="R25" s="401" t="s">
        <v>449</v>
      </c>
      <c r="S25" s="401" t="s">
        <v>372</v>
      </c>
      <c r="T25" s="402" t="s">
        <v>377</v>
      </c>
      <c r="U25" s="402"/>
      <c r="V25" s="402" t="s">
        <v>420</v>
      </c>
      <c r="W25" s="400" t="n">
        <f aca="false">+D25*G25/100</f>
        <v>1430.88235294118</v>
      </c>
      <c r="X25" s="400" t="n">
        <f aca="false">+D25*G25/100</f>
        <v>1430.88235294118</v>
      </c>
      <c r="Y25" s="397"/>
      <c r="Z25" s="404" t="n">
        <f aca="false">+D25*J25/100</f>
        <v>1501.83823529412</v>
      </c>
      <c r="AA25" s="405" t="n">
        <f aca="false">IF(+I25=0,AB25,D25*(J25-I25)/100)</f>
        <v>26.6617647058824</v>
      </c>
      <c r="AB25" s="405" t="n">
        <f aca="false">+$D25*($J25-$G25)/100</f>
        <v>70.9558823529412</v>
      </c>
      <c r="AC25" s="397" t="n">
        <f aca="false">+Z25*L25</f>
        <v>13459.0725350391</v>
      </c>
      <c r="AD25" s="397" t="n">
        <f aca="false">+Z25*M25</f>
        <v>3852.28232863812</v>
      </c>
      <c r="AE25" s="406" t="n">
        <f aca="false">+AA25/X25</f>
        <v>0.0186330935251799</v>
      </c>
      <c r="AF25" s="404" t="n">
        <f aca="false">+D25*E25/100</f>
        <v>141.544117647059</v>
      </c>
      <c r="AG25" s="413" t="n">
        <v>45904</v>
      </c>
      <c r="AJ25" s="415" t="n">
        <v>0.4</v>
      </c>
      <c r="AK25" s="408" t="n">
        <f aca="false">AJ25*Z25</f>
        <v>600.735294117647</v>
      </c>
      <c r="AL25" s="409"/>
    </row>
    <row r="26" customFormat="false" ht="13.8" hidden="false" customHeight="false" outlineLevel="0" collapsed="false">
      <c r="A26" s="397" t="s">
        <v>19</v>
      </c>
      <c r="B26" s="398"/>
      <c r="C26" s="399"/>
      <c r="D26" s="400"/>
      <c r="E26" s="401"/>
      <c r="F26" s="410"/>
      <c r="G26" s="402"/>
      <c r="H26" s="401"/>
      <c r="I26" s="401"/>
      <c r="J26" s="402"/>
      <c r="K26" s="411"/>
      <c r="L26" s="401"/>
      <c r="M26" s="401"/>
      <c r="N26" s="401"/>
      <c r="O26" s="401"/>
      <c r="P26" s="401"/>
      <c r="Q26" s="401"/>
      <c r="R26" s="401"/>
      <c r="S26" s="401"/>
      <c r="T26" s="402"/>
      <c r="U26" s="402"/>
      <c r="V26" s="402"/>
      <c r="W26" s="400"/>
      <c r="X26" s="400"/>
      <c r="Y26" s="397"/>
      <c r="Z26" s="404"/>
      <c r="AA26" s="405"/>
      <c r="AB26" s="405"/>
      <c r="AC26" s="397"/>
      <c r="AD26" s="397"/>
      <c r="AE26" s="406"/>
      <c r="AF26" s="404"/>
      <c r="AJ26" s="407"/>
      <c r="AK26" s="408"/>
    </row>
    <row r="27" customFormat="false" ht="13.8" hidden="false" customHeight="false" outlineLevel="0" collapsed="false">
      <c r="A27" s="397"/>
      <c r="B27" s="398"/>
      <c r="C27" s="399"/>
      <c r="D27" s="418" t="n">
        <f aca="false">SUM(D4:D26)</f>
        <v>68644.1176470588</v>
      </c>
      <c r="E27" s="401"/>
      <c r="F27" s="410"/>
      <c r="G27" s="402"/>
      <c r="H27" s="401"/>
      <c r="I27" s="401"/>
      <c r="J27" s="402"/>
      <c r="K27" s="411"/>
      <c r="L27" s="401"/>
      <c r="M27" s="401"/>
      <c r="N27" s="401"/>
      <c r="O27" s="401"/>
      <c r="P27" s="401"/>
      <c r="Q27" s="401"/>
      <c r="R27" s="401"/>
      <c r="S27" s="401"/>
      <c r="T27" s="402"/>
      <c r="U27" s="402"/>
      <c r="V27" s="402"/>
      <c r="W27" s="400"/>
      <c r="X27" s="400"/>
      <c r="Y27" s="397"/>
      <c r="Z27" s="418" t="n">
        <f aca="false">SUM(Z4:Z26)</f>
        <v>67826.1955294117</v>
      </c>
      <c r="AA27" s="418" t="n">
        <f aca="false">SUM(AA4:AA26)</f>
        <v>208.166076470586</v>
      </c>
      <c r="AB27" s="418" t="n">
        <f aca="false">SUM(AB4:AB26)</f>
        <v>77.0573541176468</v>
      </c>
      <c r="AC27" s="418" t="n">
        <f aca="false">SUM(AC4:AC26)</f>
        <v>294119.053068147</v>
      </c>
      <c r="AD27" s="418" t="n">
        <f aca="false">SUM(AD4:AD26)</f>
        <v>91320.7838041939</v>
      </c>
      <c r="AE27" s="406"/>
      <c r="AF27" s="418" t="n">
        <f aca="false">SUM(AF4:AF26)</f>
        <v>2955.55090284186</v>
      </c>
      <c r="AJ27" s="407"/>
      <c r="AK27" s="408"/>
    </row>
    <row r="28" customFormat="false" ht="13.8" hidden="false" customHeight="false" outlineLevel="0" collapsed="false">
      <c r="A28" s="397"/>
      <c r="B28" s="398"/>
      <c r="C28" s="399"/>
      <c r="D28" s="400"/>
      <c r="E28" s="401"/>
      <c r="F28" s="410"/>
      <c r="G28" s="402"/>
      <c r="H28" s="401"/>
      <c r="I28" s="401"/>
      <c r="J28" s="402"/>
      <c r="K28" s="411"/>
      <c r="L28" s="401"/>
      <c r="M28" s="401"/>
      <c r="N28" s="401"/>
      <c r="O28" s="401"/>
      <c r="P28" s="401"/>
      <c r="Q28" s="401"/>
      <c r="R28" s="401"/>
      <c r="S28" s="401"/>
      <c r="T28" s="402"/>
      <c r="U28" s="402"/>
      <c r="V28" s="402"/>
      <c r="W28" s="400"/>
      <c r="X28" s="400"/>
      <c r="Y28" s="397"/>
      <c r="Z28" s="418"/>
      <c r="AA28" s="418"/>
      <c r="AB28" s="418"/>
      <c r="AC28" s="418"/>
      <c r="AD28" s="418"/>
      <c r="AE28" s="406"/>
      <c r="AF28" s="418" t="n">
        <f aca="false">AF27/360*AE31</f>
        <v>1100.12172494669</v>
      </c>
      <c r="AJ28" s="407"/>
      <c r="AK28" s="408"/>
    </row>
    <row r="29" customFormat="false" ht="13.8" hidden="false" customHeight="false" outlineLevel="0" collapsed="false">
      <c r="A29" s="397"/>
      <c r="B29" s="398"/>
      <c r="C29" s="399"/>
      <c r="D29" s="400"/>
      <c r="E29" s="401"/>
      <c r="F29" s="410"/>
      <c r="G29" s="402"/>
      <c r="H29" s="401"/>
      <c r="I29" s="401"/>
      <c r="J29" s="402"/>
      <c r="K29" s="411"/>
      <c r="L29" s="401"/>
      <c r="M29" s="401"/>
      <c r="N29" s="401"/>
      <c r="O29" s="401"/>
      <c r="P29" s="401"/>
      <c r="Q29" s="401"/>
      <c r="R29" s="401"/>
      <c r="S29" s="401"/>
      <c r="T29" s="402"/>
      <c r="U29" s="402"/>
      <c r="V29" s="402"/>
      <c r="W29" s="400"/>
      <c r="X29" s="400"/>
      <c r="Y29" s="397"/>
      <c r="Z29" s="418"/>
      <c r="AA29" s="418"/>
      <c r="AB29" s="390" t="s">
        <v>450</v>
      </c>
      <c r="AC29" s="391" t="n">
        <f aca="false">AC27/Z27</f>
        <v>4.33636371275767</v>
      </c>
      <c r="AD29" s="418"/>
      <c r="AE29" s="419" t="n">
        <f aca="true">TODAY()</f>
        <v>46156</v>
      </c>
      <c r="AF29" s="418"/>
      <c r="AJ29" s="407"/>
      <c r="AK29" s="408"/>
    </row>
    <row r="30" customFormat="false" ht="13.8" hidden="false" customHeight="false" outlineLevel="0" collapsed="false">
      <c r="A30" s="397"/>
      <c r="B30" s="398"/>
      <c r="C30" s="399"/>
      <c r="D30" s="400"/>
      <c r="E30" s="401"/>
      <c r="F30" s="410"/>
      <c r="G30" s="402"/>
      <c r="H30" s="401"/>
      <c r="I30" s="401"/>
      <c r="J30" s="402"/>
      <c r="K30" s="411"/>
      <c r="L30" s="401"/>
      <c r="M30" s="401"/>
      <c r="N30" s="401"/>
      <c r="O30" s="401"/>
      <c r="P30" s="401"/>
      <c r="Q30" s="401"/>
      <c r="R30" s="401"/>
      <c r="S30" s="401"/>
      <c r="T30" s="402"/>
      <c r="U30" s="402"/>
      <c r="V30" s="402"/>
      <c r="W30" s="400"/>
      <c r="X30" s="400"/>
      <c r="Y30" s="397"/>
      <c r="Z30" s="418"/>
      <c r="AA30" s="418"/>
      <c r="AB30" s="390" t="s">
        <v>451</v>
      </c>
      <c r="AC30" s="391" t="n">
        <f aca="false">AD27/Z27</f>
        <v>1.34639401622628</v>
      </c>
      <c r="AD30" s="418"/>
      <c r="AE30" s="419" t="n">
        <v>46022</v>
      </c>
      <c r="AF30" s="418"/>
      <c r="AJ30" s="407"/>
      <c r="AK30" s="408"/>
    </row>
    <row r="31" customFormat="false" ht="13.8" hidden="false" customHeight="false" outlineLevel="0" collapsed="false">
      <c r="A31" s="397"/>
      <c r="B31" s="398"/>
      <c r="C31" s="399"/>
      <c r="D31" s="400"/>
      <c r="E31" s="401"/>
      <c r="F31" s="410"/>
      <c r="G31" s="402"/>
      <c r="H31" s="401"/>
      <c r="I31" s="401"/>
      <c r="J31" s="402"/>
      <c r="K31" s="411"/>
      <c r="L31" s="401"/>
      <c r="M31" s="401"/>
      <c r="N31" s="401"/>
      <c r="O31" s="401"/>
      <c r="P31" s="401"/>
      <c r="Q31" s="401"/>
      <c r="R31" s="401"/>
      <c r="S31" s="401"/>
      <c r="T31" s="402"/>
      <c r="U31" s="402"/>
      <c r="V31" s="402"/>
      <c r="W31" s="400"/>
      <c r="X31" s="400"/>
      <c r="Y31" s="397"/>
      <c r="Z31" s="418"/>
      <c r="AA31" s="418"/>
      <c r="AB31" s="390"/>
      <c r="AC31" s="391"/>
      <c r="AD31" s="418"/>
      <c r="AE31" s="420" t="n">
        <f aca="false">AE29-AE30</f>
        <v>134</v>
      </c>
      <c r="AF31" s="418"/>
      <c r="AJ31" s="407"/>
      <c r="AK31" s="408"/>
    </row>
    <row r="32" customFormat="false" ht="13.8" hidden="false" customHeight="false" outlineLevel="0" collapsed="false">
      <c r="A32" s="397"/>
      <c r="B32" s="398"/>
      <c r="C32" s="399"/>
      <c r="D32" s="400"/>
      <c r="E32" s="401"/>
      <c r="F32" s="410"/>
      <c r="G32" s="402"/>
      <c r="H32" s="401"/>
      <c r="I32" s="401"/>
      <c r="J32" s="402"/>
      <c r="K32" s="411"/>
      <c r="L32" s="401"/>
      <c r="M32" s="401"/>
      <c r="N32" s="401"/>
      <c r="O32" s="401"/>
      <c r="P32" s="401"/>
      <c r="Q32" s="401"/>
      <c r="R32" s="401"/>
      <c r="S32" s="401"/>
      <c r="T32" s="402"/>
      <c r="U32" s="402"/>
      <c r="V32" s="402"/>
      <c r="W32" s="400"/>
      <c r="X32" s="400"/>
      <c r="Y32" s="397"/>
      <c r="Z32" s="418"/>
      <c r="AA32" s="418"/>
      <c r="AB32" s="390"/>
      <c r="AC32" s="391"/>
      <c r="AD32" s="418"/>
      <c r="AE32" s="406"/>
      <c r="AF32" s="418"/>
      <c r="AJ32" s="407"/>
      <c r="AK32" s="408"/>
    </row>
    <row r="33" customFormat="false" ht="17.35" hidden="false" customHeight="false" outlineLevel="0" collapsed="false">
      <c r="A33" s="389" t="s">
        <v>452</v>
      </c>
      <c r="B33" s="389"/>
      <c r="C33" s="389"/>
      <c r="D33" s="389"/>
      <c r="E33" s="389"/>
      <c r="F33" s="389"/>
      <c r="G33" s="389"/>
      <c r="H33" s="389"/>
      <c r="I33" s="389"/>
      <c r="J33" s="389"/>
      <c r="K33" s="389"/>
      <c r="AB33" s="390"/>
      <c r="AC33" s="391"/>
    </row>
    <row r="34" customFormat="false" ht="13.8" hidden="false" customHeight="false" outlineLevel="0" collapsed="false">
      <c r="A34" s="393" t="s">
        <v>329</v>
      </c>
      <c r="B34" s="393" t="s">
        <v>330</v>
      </c>
      <c r="C34" s="394" t="s">
        <v>331</v>
      </c>
      <c r="D34" s="394" t="s">
        <v>332</v>
      </c>
      <c r="E34" s="395" t="s">
        <v>333</v>
      </c>
      <c r="F34" s="395" t="s">
        <v>334</v>
      </c>
      <c r="G34" s="393" t="s">
        <v>335</v>
      </c>
      <c r="H34" s="393" t="s">
        <v>336</v>
      </c>
      <c r="I34" s="393" t="s">
        <v>453</v>
      </c>
      <c r="J34" s="393" t="s">
        <v>338</v>
      </c>
      <c r="K34" s="393" t="s">
        <v>339</v>
      </c>
      <c r="L34" s="393" t="s">
        <v>340</v>
      </c>
      <c r="M34" s="395" t="s">
        <v>341</v>
      </c>
      <c r="N34" s="393" t="s">
        <v>342</v>
      </c>
      <c r="O34" s="393" t="s">
        <v>343</v>
      </c>
      <c r="P34" s="393" t="s">
        <v>344</v>
      </c>
      <c r="Q34" s="395" t="s">
        <v>345</v>
      </c>
      <c r="R34" s="395" t="s">
        <v>346</v>
      </c>
      <c r="S34" s="393" t="s">
        <v>347</v>
      </c>
      <c r="T34" s="393" t="s">
        <v>348</v>
      </c>
      <c r="U34" s="393" t="s">
        <v>349</v>
      </c>
      <c r="V34" s="393" t="s">
        <v>350</v>
      </c>
      <c r="W34" s="393" t="s">
        <v>332</v>
      </c>
      <c r="X34" s="393" t="s">
        <v>351</v>
      </c>
      <c r="Y34" s="393" t="s">
        <v>352</v>
      </c>
      <c r="Z34" s="393" t="s">
        <v>129</v>
      </c>
      <c r="AA34" s="393" t="s">
        <v>10</v>
      </c>
      <c r="AB34" s="393" t="s">
        <v>353</v>
      </c>
      <c r="AC34" s="393" t="s">
        <v>354</v>
      </c>
      <c r="AD34" s="393" t="s">
        <v>355</v>
      </c>
      <c r="AE34" s="393" t="s">
        <v>356</v>
      </c>
      <c r="AF34" s="393" t="s">
        <v>357</v>
      </c>
      <c r="AG34" s="393" t="s">
        <v>358</v>
      </c>
      <c r="AH34" s="344" t="s">
        <v>359</v>
      </c>
      <c r="AI34" s="344" t="s">
        <v>360</v>
      </c>
      <c r="AJ34" s="388" t="s">
        <v>361</v>
      </c>
      <c r="AK34" s="408"/>
    </row>
    <row r="35" customFormat="false" ht="13.8" hidden="false" customHeight="false" outlineLevel="0" collapsed="false">
      <c r="A35" s="397" t="s">
        <v>363</v>
      </c>
      <c r="B35" s="398" t="s">
        <v>364</v>
      </c>
      <c r="C35" s="399" t="s">
        <v>447</v>
      </c>
      <c r="D35" s="400" t="n">
        <v>294.117647058824</v>
      </c>
      <c r="E35" s="401" t="n">
        <v>12.75</v>
      </c>
      <c r="F35" s="401" t="s">
        <v>454</v>
      </c>
      <c r="G35" s="402" t="n">
        <v>61.45537</v>
      </c>
      <c r="H35" s="401" t="n">
        <v>5.246</v>
      </c>
      <c r="I35" s="401" t="n">
        <v>13.16</v>
      </c>
      <c r="J35" s="401" t="n">
        <v>41.35</v>
      </c>
      <c r="K35" s="421" t="str">
        <f aca="false">IF(AF35="","",AF35/Z35)</f>
        <v/>
      </c>
      <c r="L35" s="401" t="n">
        <v>72.9446764689055</v>
      </c>
      <c r="M35" s="401" t="n">
        <v>0</v>
      </c>
      <c r="N35" s="401" t="s">
        <v>368</v>
      </c>
      <c r="O35" s="401" t="s">
        <v>368</v>
      </c>
      <c r="P35" s="401" t="s">
        <v>369</v>
      </c>
      <c r="Q35" s="401" t="s">
        <v>400</v>
      </c>
      <c r="R35" s="401" t="s">
        <v>455</v>
      </c>
      <c r="S35" s="401" t="s">
        <v>372</v>
      </c>
      <c r="T35" s="402" t="s">
        <v>373</v>
      </c>
      <c r="U35" s="402"/>
      <c r="V35" s="402" t="s">
        <v>374</v>
      </c>
      <c r="W35" s="400" t="n">
        <f aca="false">+D35*J35/100</f>
        <v>121.617647058824</v>
      </c>
      <c r="X35" s="400" t="n">
        <f aca="false">+D35*G35/100</f>
        <v>180.751088235294</v>
      </c>
      <c r="Y35" s="397"/>
      <c r="Z35" s="404" t="n">
        <f aca="false">+D35*J35/100</f>
        <v>121.617647058824</v>
      </c>
      <c r="AA35" s="405" t="n">
        <f aca="false">IF(+I35=0,AB35,W35*(J35-I35)/100)</f>
        <v>34.2840147058824</v>
      </c>
      <c r="AB35" s="405" t="n">
        <f aca="false">+$W35*($J35-$G35)/100</f>
        <v>-24.4516779264706</v>
      </c>
      <c r="AC35" s="397" t="n">
        <f aca="false">+Z35*L35</f>
        <v>8871.35991761542</v>
      </c>
      <c r="AD35" s="397"/>
      <c r="AE35" s="406" t="n">
        <f aca="false">+AA35/X35</f>
        <v>0.189675287936595</v>
      </c>
      <c r="AF35" s="404"/>
      <c r="AJ35" s="407" t="n">
        <v>0</v>
      </c>
      <c r="AK35" s="408" t="n">
        <f aca="false">AJ35*Z35</f>
        <v>0</v>
      </c>
      <c r="AL35" s="409"/>
    </row>
    <row r="36" customFormat="false" ht="13.8" hidden="false" customHeight="false" outlineLevel="0" collapsed="false">
      <c r="A36" s="397" t="s">
        <v>363</v>
      </c>
      <c r="B36" s="398" t="s">
        <v>364</v>
      </c>
      <c r="C36" s="399" t="s">
        <v>456</v>
      </c>
      <c r="D36" s="400" t="n">
        <v>294.117647058824</v>
      </c>
      <c r="E36" s="401" t="n">
        <v>8.25</v>
      </c>
      <c r="F36" s="401" t="s">
        <v>457</v>
      </c>
      <c r="G36" s="402" t="n">
        <v>85.405</v>
      </c>
      <c r="H36" s="401" t="n">
        <v>0.404</v>
      </c>
      <c r="I36" s="401" t="n">
        <v>0.221</v>
      </c>
      <c r="J36" s="401" t="n">
        <v>0.113</v>
      </c>
      <c r="K36" s="421" t="str">
        <f aca="false">IF(AF36="","",AF36/Z36)</f>
        <v/>
      </c>
      <c r="L36" s="401" t="n">
        <v>4166.66666666667</v>
      </c>
      <c r="M36" s="401" t="n">
        <v>0</v>
      </c>
      <c r="N36" s="401" t="s">
        <v>367</v>
      </c>
      <c r="O36" s="401" t="s">
        <v>458</v>
      </c>
      <c r="P36" s="401" t="s">
        <v>368</v>
      </c>
      <c r="Q36" s="401" t="s">
        <v>459</v>
      </c>
      <c r="R36" s="401" t="s">
        <v>394</v>
      </c>
      <c r="S36" s="401" t="s">
        <v>372</v>
      </c>
      <c r="T36" s="402" t="s">
        <v>395</v>
      </c>
      <c r="U36" s="402"/>
      <c r="V36" s="402" t="s">
        <v>374</v>
      </c>
      <c r="W36" s="400" t="n">
        <f aca="false">+D36*G36/100</f>
        <v>251.191176470588</v>
      </c>
      <c r="X36" s="400" t="n">
        <f aca="false">+D36*G36/100</f>
        <v>251.191176470588</v>
      </c>
      <c r="Y36" s="397"/>
      <c r="Z36" s="404" t="n">
        <f aca="false">+D36*J36/100</f>
        <v>0.332352941176471</v>
      </c>
      <c r="AA36" s="405" t="n">
        <f aca="false">IF(+I36=0,AB36,W36*(J36-I36)/100)</f>
        <v>-0.271286470588235</v>
      </c>
      <c r="AB36" s="405" t="n">
        <f aca="false">+$W36*($J36-$G36)/100</f>
        <v>-214.245978235294</v>
      </c>
      <c r="AC36" s="397" t="n">
        <f aca="false">+Z36*L36</f>
        <v>1384.80392156863</v>
      </c>
      <c r="AD36" s="397" t="n">
        <f aca="false">+Z36*M36</f>
        <v>0</v>
      </c>
      <c r="AE36" s="406" t="n">
        <f aca="false">+AA36/X36</f>
        <v>-0.00108</v>
      </c>
      <c r="AF36" s="404"/>
      <c r="AK36" s="408" t="n">
        <f aca="false">AJ36*Z36</f>
        <v>0</v>
      </c>
      <c r="AL36" s="409"/>
    </row>
    <row r="37" customFormat="false" ht="13.8" hidden="false" customHeight="false" outlineLevel="0" collapsed="false">
      <c r="A37" s="397" t="s">
        <v>363</v>
      </c>
      <c r="B37" s="398" t="s">
        <v>364</v>
      </c>
      <c r="C37" s="399" t="s">
        <v>460</v>
      </c>
      <c r="D37" s="400" t="n">
        <v>588.235294117647</v>
      </c>
      <c r="E37" s="401" t="n">
        <v>5.25</v>
      </c>
      <c r="F37" s="401" t="s">
        <v>461</v>
      </c>
      <c r="G37" s="402" t="n">
        <v>93.5</v>
      </c>
      <c r="H37" s="401" t="n">
        <v>14.102</v>
      </c>
      <c r="I37" s="401" t="n">
        <v>33.854</v>
      </c>
      <c r="J37" s="401" t="n">
        <v>6.875</v>
      </c>
      <c r="K37" s="421" t="str">
        <f aca="false">IF(AF37="","",AF37/Z37)</f>
        <v/>
      </c>
      <c r="L37" s="401" t="n">
        <v>59.4563986409966</v>
      </c>
      <c r="M37" s="401" t="n">
        <v>0</v>
      </c>
      <c r="N37" s="401" t="s">
        <v>368</v>
      </c>
      <c r="O37" s="401" t="s">
        <v>368</v>
      </c>
      <c r="P37" s="401" t="s">
        <v>369</v>
      </c>
      <c r="Q37" s="401" t="s">
        <v>459</v>
      </c>
      <c r="R37" s="401" t="s">
        <v>462</v>
      </c>
      <c r="S37" s="401" t="s">
        <v>372</v>
      </c>
      <c r="T37" s="402" t="s">
        <v>395</v>
      </c>
      <c r="U37" s="402"/>
      <c r="V37" s="402" t="s">
        <v>427</v>
      </c>
      <c r="W37" s="400" t="n">
        <f aca="false">+D37*G37/100</f>
        <v>550</v>
      </c>
      <c r="X37" s="400" t="n">
        <f aca="false">+D37*G37/100</f>
        <v>550</v>
      </c>
      <c r="Y37" s="397"/>
      <c r="Z37" s="404" t="n">
        <f aca="false">+D37*J37/100</f>
        <v>40.4411764705882</v>
      </c>
      <c r="AA37" s="405" t="n">
        <f aca="false">IF(+I37=0,AB37,W37*(J37-I37)/100)</f>
        <v>-148.3845</v>
      </c>
      <c r="AB37" s="405" t="n">
        <f aca="false">+$W37*($J37-$G37)/100</f>
        <v>-476.4375</v>
      </c>
      <c r="AC37" s="397" t="n">
        <f aca="false">+Z37*L37</f>
        <v>2404.48670974619</v>
      </c>
      <c r="AD37" s="397" t="n">
        <f aca="false">+Z37*M37</f>
        <v>0</v>
      </c>
      <c r="AE37" s="406" t="n">
        <f aca="false">+AA37/X37</f>
        <v>-0.26979</v>
      </c>
      <c r="AF37" s="404"/>
      <c r="AJ37" s="407" t="n">
        <v>0</v>
      </c>
      <c r="AK37" s="408" t="n">
        <f aca="false">AJ37*Z37</f>
        <v>0</v>
      </c>
      <c r="AL37" s="409"/>
    </row>
    <row r="38" customFormat="false" ht="13.8" hidden="false" customHeight="false" outlineLevel="0" collapsed="false">
      <c r="A38" s="397" t="s">
        <v>363</v>
      </c>
      <c r="B38" s="398" t="s">
        <v>364</v>
      </c>
      <c r="C38" s="399" t="s">
        <v>463</v>
      </c>
      <c r="D38" s="400" t="n">
        <v>735.294117647059</v>
      </c>
      <c r="E38" s="401" t="n">
        <v>6.75</v>
      </c>
      <c r="F38" s="401" t="s">
        <v>464</v>
      </c>
      <c r="G38" s="402" t="n">
        <v>95.55862</v>
      </c>
      <c r="H38" s="401" t="n">
        <v>5.558</v>
      </c>
      <c r="I38" s="401" t="n">
        <v>3.488</v>
      </c>
      <c r="J38" s="401" t="n">
        <v>3</v>
      </c>
      <c r="K38" s="421" t="str">
        <f aca="false">IF(AF38="","",AF38/Z38)</f>
        <v/>
      </c>
      <c r="L38" s="401" t="n">
        <v>162.650602409639</v>
      </c>
      <c r="M38" s="401" t="n">
        <v>0</v>
      </c>
      <c r="N38" s="401" t="s">
        <v>367</v>
      </c>
      <c r="O38" s="401" t="s">
        <v>458</v>
      </c>
      <c r="P38" s="401" t="s">
        <v>368</v>
      </c>
      <c r="Q38" s="401" t="s">
        <v>459</v>
      </c>
      <c r="R38" s="401" t="s">
        <v>411</v>
      </c>
      <c r="S38" s="401" t="s">
        <v>372</v>
      </c>
      <c r="T38" s="402" t="s">
        <v>412</v>
      </c>
      <c r="U38" s="402"/>
      <c r="V38" s="402" t="s">
        <v>374</v>
      </c>
      <c r="W38" s="400" t="n">
        <f aca="false">+D38*G38/100</f>
        <v>702.636911764706</v>
      </c>
      <c r="X38" s="400" t="n">
        <f aca="false">+D38*G38/100</f>
        <v>702.636911764706</v>
      </c>
      <c r="Y38" s="397"/>
      <c r="Z38" s="404" t="n">
        <f aca="false">+D38*J38/100</f>
        <v>22.0588235294118</v>
      </c>
      <c r="AA38" s="405" t="n">
        <f aca="false">IF(+I38=0,AB38,W38*(J38-I38)/100)</f>
        <v>-3.42886812941176</v>
      </c>
      <c r="AB38" s="405" t="n">
        <f aca="false">+$W38*($J38-$G38)/100</f>
        <v>-650.35102914003</v>
      </c>
      <c r="AC38" s="397" t="n">
        <f aca="false">+Z38*L38</f>
        <v>3587.88093550673</v>
      </c>
      <c r="AD38" s="397" t="n">
        <f aca="false">+Z38*M38</f>
        <v>0</v>
      </c>
      <c r="AE38" s="406" t="n">
        <f aca="false">+AA38/X38</f>
        <v>-0.00488</v>
      </c>
      <c r="AF38" s="404"/>
      <c r="AJ38" s="407" t="n">
        <v>0</v>
      </c>
      <c r="AK38" s="408" t="n">
        <f aca="false">AJ38*Z38</f>
        <v>0</v>
      </c>
      <c r="AL38" s="409"/>
    </row>
    <row r="39" customFormat="false" ht="13.8" hidden="false" customHeight="false" outlineLevel="0" collapsed="false">
      <c r="A39" s="397" t="s">
        <v>363</v>
      </c>
      <c r="B39" s="398" t="s">
        <v>364</v>
      </c>
      <c r="C39" s="399" t="s">
        <v>465</v>
      </c>
      <c r="D39" s="400" t="n">
        <v>735.294117647059</v>
      </c>
      <c r="E39" s="401" t="n">
        <v>6.75</v>
      </c>
      <c r="F39" s="401" t="s">
        <v>464</v>
      </c>
      <c r="G39" s="402" t="n">
        <v>96.15</v>
      </c>
      <c r="H39" s="401" t="n">
        <v>5.558</v>
      </c>
      <c r="I39" s="401" t="n">
        <v>3.488</v>
      </c>
      <c r="J39" s="401" t="n">
        <v>3</v>
      </c>
      <c r="K39" s="421" t="str">
        <f aca="false">IF(AF39="","",AF39/Z39)</f>
        <v/>
      </c>
      <c r="L39" s="401" t="n">
        <v>162.650602409639</v>
      </c>
      <c r="M39" s="401" t="n">
        <v>0</v>
      </c>
      <c r="N39" s="401" t="s">
        <v>367</v>
      </c>
      <c r="O39" s="401" t="s">
        <v>458</v>
      </c>
      <c r="P39" s="401" t="s">
        <v>368</v>
      </c>
      <c r="Q39" s="401" t="s">
        <v>459</v>
      </c>
      <c r="R39" s="401" t="s">
        <v>411</v>
      </c>
      <c r="S39" s="401" t="s">
        <v>372</v>
      </c>
      <c r="T39" s="402" t="s">
        <v>412</v>
      </c>
      <c r="U39" s="402"/>
      <c r="V39" s="402" t="s">
        <v>374</v>
      </c>
      <c r="W39" s="400" t="n">
        <f aca="false">+D39*G39/100</f>
        <v>706.985294117647</v>
      </c>
      <c r="X39" s="400" t="n">
        <f aca="false">+D39*G39/100</f>
        <v>706.985294117647</v>
      </c>
      <c r="Y39" s="397"/>
      <c r="Z39" s="404" t="n">
        <f aca="false">+D39*J39/100</f>
        <v>22.0588235294118</v>
      </c>
      <c r="AA39" s="405" t="n">
        <f aca="false">IF(+I39=0,AB39,W39*(J39-I39)/100)</f>
        <v>-3.45008823529412</v>
      </c>
      <c r="AB39" s="405" t="n">
        <f aca="false">+$W39*($J39-$G39)/100</f>
        <v>-658.556801470588</v>
      </c>
      <c r="AC39" s="397" t="n">
        <f aca="false">+Z39*L39</f>
        <v>3587.88093550673</v>
      </c>
      <c r="AD39" s="397" t="n">
        <f aca="false">+Z39*M39</f>
        <v>0</v>
      </c>
      <c r="AE39" s="406" t="n">
        <f aca="false">+AA39/X39</f>
        <v>-0.00488</v>
      </c>
      <c r="AF39" s="404"/>
      <c r="AJ39" s="407" t="n">
        <v>0</v>
      </c>
      <c r="AK39" s="408" t="n">
        <f aca="false">AJ39*Z39</f>
        <v>0</v>
      </c>
      <c r="AL39" s="409"/>
    </row>
    <row r="40" customFormat="false" ht="13.8" hidden="false" customHeight="false" outlineLevel="0" collapsed="false">
      <c r="A40" s="397" t="s">
        <v>363</v>
      </c>
      <c r="B40" s="398" t="s">
        <v>364</v>
      </c>
      <c r="C40" s="399" t="s">
        <v>466</v>
      </c>
      <c r="D40" s="400" t="n">
        <v>441.176470588235</v>
      </c>
      <c r="E40" s="401" t="n">
        <v>12</v>
      </c>
      <c r="F40" s="401" t="s">
        <v>467</v>
      </c>
      <c r="G40" s="402" t="n">
        <v>0</v>
      </c>
      <c r="H40" s="401" t="n">
        <v>0.378</v>
      </c>
      <c r="I40" s="401" t="n">
        <v>0.378</v>
      </c>
      <c r="J40" s="401" t="n">
        <v>0.216</v>
      </c>
      <c r="K40" s="421" t="str">
        <f aca="false">IF(AF40="","",AF40/Z40)</f>
        <v/>
      </c>
      <c r="L40" s="401" t="n">
        <v>3174.60317460318</v>
      </c>
      <c r="M40" s="401" t="n">
        <v>0</v>
      </c>
      <c r="N40" s="401" t="s">
        <v>368</v>
      </c>
      <c r="O40" s="401" t="s">
        <v>458</v>
      </c>
      <c r="P40" s="401" t="s">
        <v>368</v>
      </c>
      <c r="Q40" s="401" t="s">
        <v>468</v>
      </c>
      <c r="R40" s="401" t="s">
        <v>469</v>
      </c>
      <c r="S40" s="401" t="s">
        <v>470</v>
      </c>
      <c r="T40" s="402" t="s">
        <v>395</v>
      </c>
      <c r="U40" s="402"/>
      <c r="V40" s="402" t="s">
        <v>420</v>
      </c>
      <c r="W40" s="400" t="n">
        <f aca="false">+D40*G40/100</f>
        <v>0</v>
      </c>
      <c r="X40" s="400" t="n">
        <f aca="false">+D40*G40/100</f>
        <v>0</v>
      </c>
      <c r="Y40" s="397"/>
      <c r="Z40" s="404" t="n">
        <f aca="false">+D40*J40/100</f>
        <v>0.952941176470588</v>
      </c>
      <c r="AA40" s="405" t="n">
        <f aca="false">IF(+I40=0,AB40,W40*(J40-I40)/100)</f>
        <v>-0</v>
      </c>
      <c r="AB40" s="405" t="n">
        <f aca="false">+$W40*($J40-$G40)/100</f>
        <v>0</v>
      </c>
      <c r="AC40" s="397" t="n">
        <f aca="false">+Z40*L40</f>
        <v>3025.21008403361</v>
      </c>
      <c r="AD40" s="397" t="n">
        <f aca="false">+Z40*M40</f>
        <v>0</v>
      </c>
      <c r="AE40" s="406" t="e">
        <f aca="false">+AA40/X40</f>
        <v>#DIV/0!</v>
      </c>
      <c r="AF40" s="404"/>
      <c r="AK40" s="408" t="n">
        <f aca="false">AJ40*Z40</f>
        <v>0</v>
      </c>
      <c r="AL40" s="409"/>
    </row>
    <row r="41" customFormat="false" ht="13.8" hidden="false" customHeight="false" outlineLevel="0" collapsed="false">
      <c r="A41" s="397" t="s">
        <v>363</v>
      </c>
      <c r="B41" s="398" t="s">
        <v>364</v>
      </c>
      <c r="C41" s="399" t="s">
        <v>471</v>
      </c>
      <c r="D41" s="400" t="n">
        <v>1470.58823529412</v>
      </c>
      <c r="E41" s="401" t="n">
        <v>7.121</v>
      </c>
      <c r="F41" s="401" t="s">
        <v>472</v>
      </c>
      <c r="G41" s="402" t="n">
        <v>104</v>
      </c>
      <c r="H41" s="401" t="n">
        <v>23.415</v>
      </c>
      <c r="I41" s="401" t="n">
        <v>23.722</v>
      </c>
      <c r="J41" s="401" t="n">
        <v>15.809</v>
      </c>
      <c r="K41" s="421" t="str">
        <f aca="false">IF(AF41="","",AF41/Z41)</f>
        <v/>
      </c>
      <c r="L41" s="401" t="n">
        <v>38.3261571582347</v>
      </c>
      <c r="M41" s="401" t="n">
        <v>0</v>
      </c>
      <c r="N41" s="401" t="s">
        <v>367</v>
      </c>
      <c r="O41" s="401" t="s">
        <v>368</v>
      </c>
      <c r="P41" s="401" t="s">
        <v>369</v>
      </c>
      <c r="Q41" s="401" t="s">
        <v>459</v>
      </c>
      <c r="R41" s="401" t="s">
        <v>462</v>
      </c>
      <c r="S41" s="401" t="s">
        <v>372</v>
      </c>
      <c r="T41" s="402" t="s">
        <v>395</v>
      </c>
      <c r="U41" s="402"/>
      <c r="V41" s="401" t="s">
        <v>374</v>
      </c>
      <c r="W41" s="400" t="n">
        <f aca="false">+D41*G41/100</f>
        <v>1529.41176470588</v>
      </c>
      <c r="X41" s="400" t="n">
        <f aca="false">+D41*G41/100</f>
        <v>1529.41176470588</v>
      </c>
      <c r="Y41" s="397"/>
      <c r="Z41" s="404" t="n">
        <f aca="false">+D41*J41/100</f>
        <v>232.485294117647</v>
      </c>
      <c r="AA41" s="405" t="n">
        <f aca="false">IF(+I41=0,AB41,W41*(J41-I41)/100)</f>
        <v>-121.022352941176</v>
      </c>
      <c r="AB41" s="405" t="n">
        <f aca="false">+$W41*($J41-$G41)/100</f>
        <v>-1348.80352941176</v>
      </c>
      <c r="AC41" s="397" t="n">
        <f aca="false">+Z41*L41</f>
        <v>8910.26791933135</v>
      </c>
      <c r="AD41" s="397" t="n">
        <f aca="false">+Z41*M41</f>
        <v>0</v>
      </c>
      <c r="AE41" s="406" t="n">
        <f aca="false">+AA41/X41</f>
        <v>-0.07913</v>
      </c>
      <c r="AF41" s="404"/>
      <c r="AJ41" s="407" t="n">
        <v>0</v>
      </c>
      <c r="AK41" s="408" t="n">
        <f aca="false">AJ41*Z41</f>
        <v>0</v>
      </c>
      <c r="AL41" s="409"/>
    </row>
    <row r="42" customFormat="false" ht="13.8" hidden="false" customHeight="false" outlineLevel="0" collapsed="false">
      <c r="A42" s="397" t="s">
        <v>363</v>
      </c>
      <c r="B42" s="398" t="s">
        <v>364</v>
      </c>
      <c r="C42" s="399" t="s">
        <v>473</v>
      </c>
      <c r="D42" s="400" t="n">
        <v>294.117647058824</v>
      </c>
      <c r="E42" s="401" t="n">
        <v>9.75</v>
      </c>
      <c r="F42" s="401" t="s">
        <v>474</v>
      </c>
      <c r="G42" s="402" t="n">
        <v>48.99444</v>
      </c>
      <c r="H42" s="401" t="n">
        <v>4.82</v>
      </c>
      <c r="I42" s="401" t="n">
        <v>12.671</v>
      </c>
      <c r="J42" s="401" t="n">
        <v>39.05</v>
      </c>
      <c r="K42" s="421" t="str">
        <f aca="false">IF(AF42="","",AF42/Z42)</f>
        <v/>
      </c>
      <c r="L42" s="401" t="n">
        <v>52.6567094347917</v>
      </c>
      <c r="M42" s="401" t="n">
        <v>2.92798945355003</v>
      </c>
      <c r="N42" s="401" t="s">
        <v>368</v>
      </c>
      <c r="O42" s="401" t="s">
        <v>458</v>
      </c>
      <c r="P42" s="401" t="s">
        <v>369</v>
      </c>
      <c r="Q42" s="401" t="s">
        <v>400</v>
      </c>
      <c r="R42" s="401" t="s">
        <v>455</v>
      </c>
      <c r="S42" s="401" t="s">
        <v>372</v>
      </c>
      <c r="T42" s="402" t="s">
        <v>373</v>
      </c>
      <c r="U42" s="402"/>
      <c r="V42" s="402" t="s">
        <v>374</v>
      </c>
      <c r="W42" s="400" t="n">
        <f aca="false">+D42*G42/100</f>
        <v>144.101294117647</v>
      </c>
      <c r="X42" s="400" t="n">
        <f aca="false">+D42*G42/100</f>
        <v>144.101294117647</v>
      </c>
      <c r="Y42" s="397"/>
      <c r="Z42" s="404" t="n">
        <f aca="false">+D42*J42/100</f>
        <v>114.852941176471</v>
      </c>
      <c r="AA42" s="405" t="n">
        <f aca="false">IF(+I42=0,AB42,W42*(J42-I42)/100)</f>
        <v>38.0124803752941</v>
      </c>
      <c r="AB42" s="405" t="n">
        <f aca="false">+$W42*($J42-$G42)/100</f>
        <v>-14.3300667327529</v>
      </c>
      <c r="AC42" s="397"/>
      <c r="AD42" s="397"/>
      <c r="AE42" s="406"/>
      <c r="AF42" s="404"/>
      <c r="AJ42" s="407" t="n">
        <v>0</v>
      </c>
      <c r="AK42" s="408" t="n">
        <f aca="false">AJ42*Z42</f>
        <v>0</v>
      </c>
      <c r="AL42" s="409"/>
    </row>
    <row r="43" customFormat="false" ht="13.8" hidden="false" customHeight="false" outlineLevel="0" collapsed="false">
      <c r="A43" s="397" t="s">
        <v>363</v>
      </c>
      <c r="B43" s="398" t="s">
        <v>364</v>
      </c>
      <c r="C43" s="399" t="s">
        <v>475</v>
      </c>
      <c r="D43" s="400" t="n">
        <v>2941.17647058824</v>
      </c>
      <c r="E43" s="401" t="n">
        <v>4.7</v>
      </c>
      <c r="F43" s="401" t="s">
        <v>476</v>
      </c>
      <c r="G43" s="402" t="n">
        <v>98.88</v>
      </c>
      <c r="H43" s="401" t="n">
        <v>22.724</v>
      </c>
      <c r="I43" s="401" t="n">
        <v>35.583</v>
      </c>
      <c r="J43" s="401" t="s">
        <v>368</v>
      </c>
      <c r="K43" s="421" t="str">
        <f aca="false">IF(AF43="","",AF43/Z43)</f>
        <v/>
      </c>
      <c r="L43" s="401" t="n">
        <v>0</v>
      </c>
      <c r="M43" s="401" t="n">
        <v>0</v>
      </c>
      <c r="N43" s="401" t="s">
        <v>367</v>
      </c>
      <c r="O43" s="401" t="s">
        <v>368</v>
      </c>
      <c r="P43" s="401" t="s">
        <v>369</v>
      </c>
      <c r="Q43" s="401" t="s">
        <v>459</v>
      </c>
      <c r="R43" s="401" t="s">
        <v>462</v>
      </c>
      <c r="S43" s="401" t="s">
        <v>372</v>
      </c>
      <c r="T43" s="402" t="s">
        <v>395</v>
      </c>
      <c r="U43" s="402"/>
      <c r="V43" s="402" t="s">
        <v>374</v>
      </c>
      <c r="W43" s="400" t="n">
        <f aca="false">+D43*G43/100</f>
        <v>2908.23529411765</v>
      </c>
      <c r="X43" s="400" t="n">
        <f aca="false">+D43*G43/100</f>
        <v>2908.23529411765</v>
      </c>
      <c r="Y43" s="397"/>
      <c r="Z43" s="404" t="n">
        <v>0</v>
      </c>
      <c r="AA43" s="405" t="n">
        <v>0</v>
      </c>
      <c r="AB43" s="405" t="n">
        <v>0</v>
      </c>
      <c r="AC43" s="397" t="n">
        <f aca="false">+Z43*L43</f>
        <v>0</v>
      </c>
      <c r="AD43" s="397" t="n">
        <f aca="false">+Z43*M43</f>
        <v>0</v>
      </c>
      <c r="AE43" s="406" t="n">
        <f aca="false">+AA43/X43</f>
        <v>0</v>
      </c>
      <c r="AF43" s="404"/>
      <c r="AJ43" s="407" t="n">
        <v>0</v>
      </c>
      <c r="AK43" s="408" t="n">
        <f aca="false">AJ43*Z43</f>
        <v>0</v>
      </c>
      <c r="AL43" s="409"/>
    </row>
    <row r="44" customFormat="false" ht="13.8" hidden="false" customHeight="false" outlineLevel="0" collapsed="false">
      <c r="A44" s="397" t="s">
        <v>363</v>
      </c>
      <c r="B44" s="398" t="s">
        <v>364</v>
      </c>
      <c r="C44" s="399" t="s">
        <v>477</v>
      </c>
      <c r="D44" s="400" t="n">
        <v>1617.64705882353</v>
      </c>
      <c r="E44" s="401" t="n">
        <v>9.375</v>
      </c>
      <c r="F44" s="401" t="s">
        <v>478</v>
      </c>
      <c r="G44" s="402" t="n">
        <v>48.95</v>
      </c>
      <c r="H44" s="401" t="n">
        <v>8.932</v>
      </c>
      <c r="I44" s="401" t="n">
        <v>17.404</v>
      </c>
      <c r="J44" s="401" t="n">
        <v>44.405</v>
      </c>
      <c r="K44" s="421" t="str">
        <f aca="false">IF(AF44="","",AF44/Z44)</f>
        <v/>
      </c>
      <c r="L44" s="401" t="n">
        <v>35.9081758395138</v>
      </c>
      <c r="M44" s="401" t="n">
        <v>4.24225591744669</v>
      </c>
      <c r="N44" s="401" t="s">
        <v>367</v>
      </c>
      <c r="O44" s="401" t="s">
        <v>479</v>
      </c>
      <c r="P44" s="401" t="s">
        <v>369</v>
      </c>
      <c r="Q44" s="401" t="s">
        <v>370</v>
      </c>
      <c r="R44" s="401" t="s">
        <v>455</v>
      </c>
      <c r="S44" s="401" t="s">
        <v>372</v>
      </c>
      <c r="T44" s="402" t="s">
        <v>395</v>
      </c>
      <c r="U44" s="402"/>
      <c r="V44" s="402" t="s">
        <v>374</v>
      </c>
      <c r="W44" s="400" t="n">
        <f aca="false">+D44*G44/100</f>
        <v>791.838235294118</v>
      </c>
      <c r="X44" s="400" t="n">
        <f aca="false">+D44*G44/100</f>
        <v>791.838235294118</v>
      </c>
      <c r="Y44" s="397"/>
      <c r="Z44" s="404" t="n">
        <f aca="false">+D44*J44/100</f>
        <v>718.316176470588</v>
      </c>
      <c r="AA44" s="405" t="n">
        <f aca="false">IF(+I44=0,AB44,W44*(J44-I44)/100)</f>
        <v>213.804241911765</v>
      </c>
      <c r="AB44" s="405" t="n">
        <f aca="false">+$W44*($J44-$G44)/100</f>
        <v>-35.9890477941177</v>
      </c>
      <c r="AC44" s="397" t="n">
        <f aca="false">+Z44*L44</f>
        <v>25793.4235730731</v>
      </c>
      <c r="AD44" s="397" t="n">
        <f aca="false">+Z44*M44</f>
        <v>3047.28105023004</v>
      </c>
      <c r="AE44" s="406" t="n">
        <f aca="false">+AA44/X44</f>
        <v>0.27001</v>
      </c>
      <c r="AF44" s="404"/>
      <c r="AK44" s="408" t="n">
        <f aca="false">AJ44*Z44</f>
        <v>0</v>
      </c>
      <c r="AL44" s="409"/>
    </row>
    <row r="45" customFormat="false" ht="13.8" hidden="false" customHeight="false" outlineLevel="0" collapsed="false">
      <c r="A45" s="397" t="s">
        <v>363</v>
      </c>
      <c r="B45" s="398" t="s">
        <v>364</v>
      </c>
      <c r="C45" s="399" t="s">
        <v>480</v>
      </c>
      <c r="D45" s="400" t="n">
        <v>882.352941176471</v>
      </c>
      <c r="E45" s="401" t="n">
        <v>9.5</v>
      </c>
      <c r="F45" s="401" t="s">
        <v>445</v>
      </c>
      <c r="G45" s="402" t="n">
        <v>92.65</v>
      </c>
      <c r="H45" s="401" t="n">
        <v>15.49</v>
      </c>
      <c r="I45" s="401" t="n">
        <v>17.913</v>
      </c>
      <c r="J45" s="401" t="n">
        <v>13.101</v>
      </c>
      <c r="K45" s="421" t="str">
        <f aca="false">IF(AF45="","",AF45/Z45)</f>
        <v/>
      </c>
      <c r="L45" s="401" t="n">
        <v>67.7585996646431</v>
      </c>
      <c r="M45" s="401" t="n">
        <v>2.23138303539561</v>
      </c>
      <c r="N45" s="401" t="s">
        <v>368</v>
      </c>
      <c r="O45" s="401" t="s">
        <v>367</v>
      </c>
      <c r="P45" s="401" t="s">
        <v>368</v>
      </c>
      <c r="Q45" s="401" t="s">
        <v>459</v>
      </c>
      <c r="R45" s="401" t="s">
        <v>462</v>
      </c>
      <c r="S45" s="401" t="s">
        <v>372</v>
      </c>
      <c r="T45" s="402" t="s">
        <v>446</v>
      </c>
      <c r="U45" s="402"/>
      <c r="V45" s="402" t="s">
        <v>413</v>
      </c>
      <c r="W45" s="400" t="n">
        <f aca="false">+D45*G45/100</f>
        <v>817.5</v>
      </c>
      <c r="X45" s="400" t="n">
        <f aca="false">+D45*G45/100</f>
        <v>817.5</v>
      </c>
      <c r="Y45" s="397"/>
      <c r="Z45" s="404" t="n">
        <f aca="false">+D45*J45/100</f>
        <v>115.597058823529</v>
      </c>
      <c r="AA45" s="405" t="n">
        <f aca="false">IF(+I45=0,AB45,W45*(J45-I45)/100)</f>
        <v>-39.3381</v>
      </c>
      <c r="AB45" s="405" t="n">
        <f aca="false">+$W45*($J45-$G45)/100</f>
        <v>-650.313075</v>
      </c>
      <c r="AC45" s="397" t="n">
        <f aca="false">+Z45*L45</f>
        <v>7832.69483123373</v>
      </c>
      <c r="AD45" s="397" t="n">
        <f aca="false">+Z45*M45</f>
        <v>257.941316000452</v>
      </c>
      <c r="AE45" s="406" t="n">
        <f aca="false">+AA45/X45</f>
        <v>-0.04812</v>
      </c>
      <c r="AF45" s="404"/>
      <c r="AJ45" s="415" t="n">
        <v>0</v>
      </c>
      <c r="AK45" s="408" t="n">
        <f aca="false">AJ45*Z45</f>
        <v>0</v>
      </c>
      <c r="AL45" s="409"/>
    </row>
    <row r="46" customFormat="false" ht="13.8" hidden="false" customHeight="false" outlineLevel="0" collapsed="false">
      <c r="A46" s="397" t="s">
        <v>363</v>
      </c>
      <c r="B46" s="398" t="s">
        <v>364</v>
      </c>
      <c r="C46" s="399" t="s">
        <v>481</v>
      </c>
      <c r="D46" s="422" t="n">
        <v>588.235294117647</v>
      </c>
      <c r="E46" s="417" t="n">
        <v>9.5</v>
      </c>
      <c r="F46" s="417" t="s">
        <v>445</v>
      </c>
      <c r="G46" s="417" t="n">
        <v>103.75</v>
      </c>
      <c r="H46" s="417" t="n">
        <v>15.49</v>
      </c>
      <c r="I46" s="417" t="n">
        <v>17.913</v>
      </c>
      <c r="J46" s="417" t="n">
        <v>13.101</v>
      </c>
      <c r="K46" s="423" t="str">
        <f aca="false">IF(AF46="","",AF46/Z46)</f>
        <v/>
      </c>
      <c r="L46" s="417" t="n">
        <v>67.7585996646431</v>
      </c>
      <c r="M46" s="417" t="n">
        <v>2.23138303539561</v>
      </c>
      <c r="N46" s="417" t="s">
        <v>368</v>
      </c>
      <c r="O46" s="417" t="s">
        <v>367</v>
      </c>
      <c r="P46" s="417" t="s">
        <v>368</v>
      </c>
      <c r="Q46" s="417" t="s">
        <v>459</v>
      </c>
      <c r="R46" s="417" t="s">
        <v>462</v>
      </c>
      <c r="S46" s="417" t="s">
        <v>372</v>
      </c>
      <c r="T46" s="417" t="s">
        <v>446</v>
      </c>
      <c r="U46" s="417"/>
      <c r="V46" s="417" t="s">
        <v>413</v>
      </c>
      <c r="W46" s="422" t="n">
        <f aca="false">+D46*G46/100</f>
        <v>610.294117647059</v>
      </c>
      <c r="X46" s="422" t="n">
        <f aca="false">+D46*G46/100</f>
        <v>610.294117647059</v>
      </c>
      <c r="Y46" s="424"/>
      <c r="Z46" s="425" t="n">
        <f aca="false">+D46*J46/100</f>
        <v>77.0647058823529</v>
      </c>
      <c r="AA46" s="426" t="n">
        <f aca="false">IF(+I46=0,AB46,W46*(J46-I46)/100)</f>
        <v>-29.3673529411765</v>
      </c>
      <c r="AB46" s="426" t="n">
        <f aca="false">+$W46*($J46-$G46)/100</f>
        <v>-553.225514705882</v>
      </c>
      <c r="AC46" s="424" t="n">
        <f aca="false">+Z46*L46</f>
        <v>5221.79655415582</v>
      </c>
      <c r="AD46" s="424" t="n">
        <f aca="false">+Z46*M46</f>
        <v>171.960877333635</v>
      </c>
      <c r="AE46" s="427" t="n">
        <f aca="false">+AA46/X46</f>
        <v>-0.04812</v>
      </c>
      <c r="AF46" s="425"/>
      <c r="AK46" s="408" t="n">
        <f aca="false">AJ46*Z46</f>
        <v>0</v>
      </c>
      <c r="AL46" s="409"/>
    </row>
    <row r="47" customFormat="false" ht="13.8" hidden="false" customHeight="false" outlineLevel="0" collapsed="false">
      <c r="A47" s="397" t="s">
        <v>363</v>
      </c>
      <c r="B47" s="398" t="s">
        <v>364</v>
      </c>
      <c r="C47" s="399" t="s">
        <v>482</v>
      </c>
      <c r="D47" s="400" t="n">
        <v>1126.47058823529</v>
      </c>
      <c r="E47" s="401" t="n">
        <v>9.25</v>
      </c>
      <c r="F47" s="401" t="s">
        <v>483</v>
      </c>
      <c r="G47" s="402" t="n">
        <v>51.875</v>
      </c>
      <c r="H47" s="401" t="n">
        <v>8.921</v>
      </c>
      <c r="I47" s="401" t="n">
        <v>19.39</v>
      </c>
      <c r="J47" s="401" t="n">
        <v>44.004</v>
      </c>
      <c r="K47" s="421" t="str">
        <f aca="false">IF(AF47="","",AF47/Z47)</f>
        <v/>
      </c>
      <c r="L47" s="401" t="n">
        <v>109.626684937137</v>
      </c>
      <c r="M47" s="401" t="n">
        <v>1.74478207990034</v>
      </c>
      <c r="N47" s="401" t="s">
        <v>367</v>
      </c>
      <c r="O47" s="401" t="s">
        <v>479</v>
      </c>
      <c r="P47" s="401" t="s">
        <v>369</v>
      </c>
      <c r="Q47" s="401" t="s">
        <v>370</v>
      </c>
      <c r="R47" s="401" t="s">
        <v>455</v>
      </c>
      <c r="S47" s="401" t="s">
        <v>372</v>
      </c>
      <c r="T47" s="402" t="s">
        <v>395</v>
      </c>
      <c r="U47" s="402"/>
      <c r="V47" s="402" t="s">
        <v>374</v>
      </c>
      <c r="W47" s="400" t="n">
        <f aca="false">+D47*G47/100</f>
        <v>584.356617647059</v>
      </c>
      <c r="X47" s="400" t="n">
        <f aca="false">+D47*G47/100</f>
        <v>584.356617647059</v>
      </c>
      <c r="Y47" s="397"/>
      <c r="Z47" s="404" t="n">
        <f aca="false">+D47*J47/100</f>
        <v>495.692117647059</v>
      </c>
      <c r="AA47" s="405" t="n">
        <f aca="false">IF(+I47=0,AB47,W47*(J47-I47)/100)</f>
        <v>143.833537867647</v>
      </c>
      <c r="AB47" s="405" t="n">
        <f aca="false">+$W47*($J47-$G47)/100</f>
        <v>-45.994709375</v>
      </c>
      <c r="AC47" s="397" t="n">
        <f aca="false">+Z47*L47</f>
        <v>54341.0836071164</v>
      </c>
      <c r="AD47" s="397" t="n">
        <f aca="false">+Z47*M47</f>
        <v>864.874724018438</v>
      </c>
      <c r="AE47" s="406" t="n">
        <f aca="false">+AA47/X47</f>
        <v>0.24614</v>
      </c>
      <c r="AF47" s="404"/>
      <c r="AJ47" s="407" t="n">
        <v>0</v>
      </c>
      <c r="AK47" s="408" t="n">
        <f aca="false">AJ47*Z47</f>
        <v>0</v>
      </c>
      <c r="AL47" s="409"/>
    </row>
    <row r="48" customFormat="false" ht="13.8" hidden="false" customHeight="false" outlineLevel="0" collapsed="false">
      <c r="A48" s="397" t="s">
        <v>363</v>
      </c>
      <c r="B48" s="398" t="s">
        <v>364</v>
      </c>
      <c r="C48" s="399" t="s">
        <v>484</v>
      </c>
      <c r="D48" s="400" t="n">
        <v>1029.41176470588</v>
      </c>
      <c r="E48" s="401" t="s">
        <v>485</v>
      </c>
      <c r="F48" s="401" t="s">
        <v>486</v>
      </c>
      <c r="G48" s="402" t="n">
        <v>43.375</v>
      </c>
      <c r="H48" s="401" t="n">
        <v>9.003</v>
      </c>
      <c r="I48" s="401" t="n">
        <v>14.763</v>
      </c>
      <c r="J48" s="401" t="n">
        <v>38.789</v>
      </c>
      <c r="K48" s="421" t="str">
        <f aca="false">IF(AF48="","",AF48/Z48)</f>
        <v/>
      </c>
      <c r="L48" s="401" t="n">
        <v>34.0048340477207</v>
      </c>
      <c r="M48" s="401" t="n">
        <v>4.09344910705614</v>
      </c>
      <c r="N48" s="401" t="s">
        <v>367</v>
      </c>
      <c r="O48" s="401" t="s">
        <v>458</v>
      </c>
      <c r="P48" s="401" t="s">
        <v>369</v>
      </c>
      <c r="Q48" s="401" t="s">
        <v>370</v>
      </c>
      <c r="R48" s="401" t="s">
        <v>455</v>
      </c>
      <c r="S48" s="401" t="s">
        <v>372</v>
      </c>
      <c r="T48" s="402" t="s">
        <v>395</v>
      </c>
      <c r="U48" s="402"/>
      <c r="V48" s="402" t="s">
        <v>374</v>
      </c>
      <c r="W48" s="400" t="n">
        <f aca="false">+D48*G48/100</f>
        <v>446.507352941177</v>
      </c>
      <c r="X48" s="400" t="n">
        <f aca="false">+D48*G48/100</f>
        <v>446.507352941177</v>
      </c>
      <c r="Y48" s="397"/>
      <c r="Z48" s="404" t="n">
        <f aca="false">+D48*J48/100</f>
        <v>399.298529411765</v>
      </c>
      <c r="AA48" s="405" t="n">
        <f aca="false">IF(+I48=0,AB48,W48*(J48-I48)/100)</f>
        <v>107.277856617647</v>
      </c>
      <c r="AB48" s="405" t="n">
        <f aca="false">+$W48*($J48-$G48)/100</f>
        <v>-20.4768272058823</v>
      </c>
      <c r="AC48" s="397" t="n">
        <f aca="false">+Z48*L48</f>
        <v>13578.080228146</v>
      </c>
      <c r="AD48" s="397" t="n">
        <f aca="false">+Z48*M48</f>
        <v>1634.50820866942</v>
      </c>
      <c r="AE48" s="406" t="n">
        <f aca="false">+AA48/X48</f>
        <v>0.24026</v>
      </c>
      <c r="AF48" s="404"/>
      <c r="AK48" s="408" t="n">
        <f aca="false">AJ48*Z48</f>
        <v>0</v>
      </c>
      <c r="AL48" s="409"/>
    </row>
    <row r="49" customFormat="false" ht="13.8" hidden="false" customHeight="false" outlineLevel="0" collapsed="false">
      <c r="A49" s="397" t="s">
        <v>363</v>
      </c>
      <c r="B49" s="398" t="s">
        <v>364</v>
      </c>
      <c r="C49" s="399" t="s">
        <v>487</v>
      </c>
      <c r="D49" s="400" t="n">
        <v>2205.88235294118</v>
      </c>
      <c r="E49" s="401" t="n">
        <v>4.95</v>
      </c>
      <c r="F49" s="401" t="s">
        <v>488</v>
      </c>
      <c r="G49" s="402" t="n">
        <v>93.99</v>
      </c>
      <c r="H49" s="401" t="n">
        <v>69.681</v>
      </c>
      <c r="I49" s="401" t="n">
        <v>75.737</v>
      </c>
      <c r="J49" s="401" t="n">
        <v>86.92</v>
      </c>
      <c r="K49" s="421" t="str">
        <f aca="false">IF(AF49="","",AF49/Z49)</f>
        <v/>
      </c>
      <c r="L49" s="401" t="n">
        <v>14.9138878693435</v>
      </c>
      <c r="M49" s="401" t="n">
        <v>1.47359647386937</v>
      </c>
      <c r="N49" s="401" t="s">
        <v>367</v>
      </c>
      <c r="O49" s="401" t="s">
        <v>458</v>
      </c>
      <c r="P49" s="401" t="s">
        <v>369</v>
      </c>
      <c r="Q49" s="401" t="s">
        <v>489</v>
      </c>
      <c r="R49" s="401" t="s">
        <v>462</v>
      </c>
      <c r="S49" s="401" t="s">
        <v>372</v>
      </c>
      <c r="T49" s="402" t="s">
        <v>395</v>
      </c>
      <c r="U49" s="402"/>
      <c r="V49" s="402" t="s">
        <v>374</v>
      </c>
      <c r="W49" s="400" t="n">
        <f aca="false">+D49*G49/100</f>
        <v>2073.30882352941</v>
      </c>
      <c r="X49" s="400" t="n">
        <f aca="false">+D49*G49/100</f>
        <v>2073.30882352941</v>
      </c>
      <c r="Y49" s="397"/>
      <c r="Z49" s="404" t="n">
        <f aca="false">+D49*J49/100</f>
        <v>1917.35294117647</v>
      </c>
      <c r="AA49" s="405" t="n">
        <f aca="false">IF(+I49=0,AB49,W49*(J49-I49)/100)</f>
        <v>231.858125735294</v>
      </c>
      <c r="AB49" s="405" t="n">
        <f aca="false">+$W49*($J49-$G49)/100</f>
        <v>-146.582933823529</v>
      </c>
      <c r="AC49" s="397" t="n">
        <f aca="false">+Z49*L49</f>
        <v>28595.1867706619</v>
      </c>
      <c r="AD49" s="397" t="n">
        <f aca="false">+Z49*M49</f>
        <v>2825.40453328071</v>
      </c>
      <c r="AE49" s="406" t="n">
        <f aca="false">+AA49/X49</f>
        <v>0.11183</v>
      </c>
      <c r="AF49" s="404"/>
      <c r="AJ49" s="407" t="n">
        <v>0</v>
      </c>
      <c r="AK49" s="408" t="n">
        <f aca="false">AJ49*Z49</f>
        <v>0</v>
      </c>
      <c r="AL49" s="409"/>
    </row>
    <row r="50" customFormat="false" ht="13.8" hidden="false" customHeight="false" outlineLevel="0" collapsed="false">
      <c r="A50" s="397" t="s">
        <v>363</v>
      </c>
      <c r="B50" s="398" t="s">
        <v>364</v>
      </c>
      <c r="C50" s="399" t="s">
        <v>490</v>
      </c>
      <c r="D50" s="400" t="n">
        <v>588.235294117647</v>
      </c>
      <c r="E50" s="401" t="n">
        <v>7.375</v>
      </c>
      <c r="F50" s="401" t="s">
        <v>491</v>
      </c>
      <c r="G50" s="402" t="n">
        <v>102.11</v>
      </c>
      <c r="H50" s="401" t="n">
        <v>19.586</v>
      </c>
      <c r="I50" s="401" t="n">
        <v>23</v>
      </c>
      <c r="J50" s="401" t="s">
        <v>368</v>
      </c>
      <c r="K50" s="421" t="str">
        <f aca="false">IF(AF50="","",AF50/Z50)</f>
        <v/>
      </c>
      <c r="L50" s="401" t="n">
        <v>0</v>
      </c>
      <c r="M50" s="401" t="n">
        <v>0</v>
      </c>
      <c r="N50" s="401" t="s">
        <v>398</v>
      </c>
      <c r="O50" s="401" t="s">
        <v>368</v>
      </c>
      <c r="P50" s="401" t="s">
        <v>492</v>
      </c>
      <c r="Q50" s="401" t="s">
        <v>370</v>
      </c>
      <c r="R50" s="401" t="s">
        <v>493</v>
      </c>
      <c r="S50" s="401" t="s">
        <v>372</v>
      </c>
      <c r="T50" s="402" t="s">
        <v>373</v>
      </c>
      <c r="U50" s="402"/>
      <c r="V50" s="402" t="s">
        <v>374</v>
      </c>
      <c r="W50" s="400" t="n">
        <f aca="false">+D50*G50/100</f>
        <v>600.647058823529</v>
      </c>
      <c r="X50" s="400" t="n">
        <f aca="false">+D50*G50/100</f>
        <v>600.647058823529</v>
      </c>
      <c r="Y50" s="397"/>
      <c r="Z50" s="404" t="n">
        <v>0</v>
      </c>
      <c r="AA50" s="405" t="n">
        <v>0</v>
      </c>
      <c r="AB50" s="405" t="n">
        <v>0</v>
      </c>
      <c r="AC50" s="397"/>
      <c r="AD50" s="397" t="n">
        <f aca="false">+Z50*M50</f>
        <v>0</v>
      </c>
      <c r="AE50" s="406" t="n">
        <f aca="false">+AA50/X50</f>
        <v>0</v>
      </c>
      <c r="AF50" s="404"/>
      <c r="AJ50" s="407" t="n">
        <v>0</v>
      </c>
      <c r="AK50" s="408" t="n">
        <f aca="false">AJ50*Z50</f>
        <v>0</v>
      </c>
      <c r="AL50" s="409"/>
    </row>
    <row r="51" customFormat="false" ht="13.8" hidden="false" customHeight="false" outlineLevel="0" collapsed="false">
      <c r="A51" s="397" t="s">
        <v>363</v>
      </c>
      <c r="B51" s="398" t="s">
        <v>364</v>
      </c>
      <c r="C51" s="399" t="s">
        <v>494</v>
      </c>
      <c r="D51" s="400" t="n">
        <v>1470.58823529412</v>
      </c>
      <c r="E51" s="401" t="n">
        <v>4.95</v>
      </c>
      <c r="F51" s="401" t="s">
        <v>495</v>
      </c>
      <c r="G51" s="402" t="n">
        <v>103.45</v>
      </c>
      <c r="H51" s="401" t="n">
        <v>74.1</v>
      </c>
      <c r="I51" s="401" t="n">
        <v>72.802</v>
      </c>
      <c r="J51" s="401" t="n">
        <v>81.862</v>
      </c>
      <c r="K51" s="421" t="str">
        <f aca="false">IF(AF51="","",AF51/Z51)</f>
        <v/>
      </c>
      <c r="L51" s="401" t="n">
        <v>14.4558444517917</v>
      </c>
      <c r="M51" s="401" t="n">
        <v>2.28841708739708</v>
      </c>
      <c r="N51" s="401" t="s">
        <v>367</v>
      </c>
      <c r="O51" s="401" t="s">
        <v>458</v>
      </c>
      <c r="P51" s="401" t="s">
        <v>369</v>
      </c>
      <c r="Q51" s="401" t="s">
        <v>489</v>
      </c>
      <c r="R51" s="401" t="s">
        <v>462</v>
      </c>
      <c r="S51" s="401" t="s">
        <v>372</v>
      </c>
      <c r="T51" s="402" t="s">
        <v>395</v>
      </c>
      <c r="U51" s="402"/>
      <c r="V51" s="402" t="s">
        <v>374</v>
      </c>
      <c r="W51" s="400" t="n">
        <f aca="false">+D51*G51/100</f>
        <v>1521.32352941176</v>
      </c>
      <c r="X51" s="400" t="n">
        <f aca="false">+D51*G51/100</f>
        <v>1521.32352941176</v>
      </c>
      <c r="Y51" s="397"/>
      <c r="Z51" s="404" t="n">
        <f aca="false">+D51*J51/100</f>
        <v>1203.85294117647</v>
      </c>
      <c r="AA51" s="405" t="n">
        <f aca="false">IF(+I51=0,AB51,W51*(J51-I51)/100)</f>
        <v>137.831911764706</v>
      </c>
      <c r="AB51" s="405" t="n">
        <f aca="false">+$W51*($J51-$G51)/100</f>
        <v>-328.423323529412</v>
      </c>
      <c r="AC51" s="397" t="n">
        <f aca="false">+Z51*L51</f>
        <v>17402.710860479</v>
      </c>
      <c r="AD51" s="397" t="n">
        <f aca="false">+Z51*M51</f>
        <v>2754.91764130147</v>
      </c>
      <c r="AE51" s="406" t="n">
        <f aca="false">+AA51/X51</f>
        <v>0.0905999999999999</v>
      </c>
      <c r="AF51" s="404"/>
      <c r="AJ51" s="407" t="n">
        <v>0</v>
      </c>
      <c r="AK51" s="408" t="n">
        <f aca="false">AJ51*Z51</f>
        <v>0</v>
      </c>
      <c r="AL51" s="409"/>
    </row>
    <row r="52" customFormat="false" ht="13.8" hidden="false" customHeight="false" outlineLevel="0" collapsed="false">
      <c r="A52" s="397" t="s">
        <v>363</v>
      </c>
      <c r="B52" s="398" t="s">
        <v>364</v>
      </c>
      <c r="C52" s="399" t="s">
        <v>496</v>
      </c>
      <c r="D52" s="400" t="n">
        <v>882.352941176471</v>
      </c>
      <c r="E52" s="401" t="n">
        <v>6.25</v>
      </c>
      <c r="F52" s="401" t="s">
        <v>497</v>
      </c>
      <c r="G52" s="402" t="n">
        <v>110</v>
      </c>
      <c r="H52" s="401" t="n">
        <v>24.036</v>
      </c>
      <c r="I52" s="401" t="n">
        <v>24.464</v>
      </c>
      <c r="J52" s="401" t="n">
        <v>21.875</v>
      </c>
      <c r="K52" s="421" t="str">
        <f aca="false">IF(AF52="","",AF52/Z52)</f>
        <v/>
      </c>
      <c r="L52" s="401" t="n">
        <v>29.7406212667754</v>
      </c>
      <c r="M52" s="401" t="n">
        <v>5.16416704979014</v>
      </c>
      <c r="N52" s="401" t="s">
        <v>367</v>
      </c>
      <c r="O52" s="401" t="s">
        <v>458</v>
      </c>
      <c r="P52" s="401" t="s">
        <v>369</v>
      </c>
      <c r="Q52" s="401" t="s">
        <v>459</v>
      </c>
      <c r="R52" s="401" t="s">
        <v>462</v>
      </c>
      <c r="S52" s="401" t="s">
        <v>372</v>
      </c>
      <c r="T52" s="402" t="s">
        <v>498</v>
      </c>
      <c r="U52" s="402"/>
      <c r="V52" s="402" t="s">
        <v>374</v>
      </c>
      <c r="W52" s="400" t="n">
        <f aca="false">+D52*G52/100</f>
        <v>970.588235294118</v>
      </c>
      <c r="X52" s="400" t="n">
        <f aca="false">+D52*G52/100</f>
        <v>970.588235294118</v>
      </c>
      <c r="Y52" s="397"/>
      <c r="Z52" s="404" t="n">
        <f aca="false">+D52*J52/100</f>
        <v>193.014705882353</v>
      </c>
      <c r="AA52" s="405" t="n">
        <f aca="false">IF(+I52=0,AB52,W52*(J52-I52)/100)</f>
        <v>-25.1285294117647</v>
      </c>
      <c r="AB52" s="405" t="n">
        <f aca="false">+$W52*($J52-$G52)/100</f>
        <v>-855.330882352941</v>
      </c>
      <c r="AC52" s="397" t="n">
        <f aca="false">+Z52*L52</f>
        <v>5740.37726656511</v>
      </c>
      <c r="AD52" s="397" t="n">
        <f aca="false">+Z52*M52</f>
        <v>996.760184242581</v>
      </c>
      <c r="AE52" s="406" t="n">
        <f aca="false">+AA52/X52</f>
        <v>-0.02589</v>
      </c>
      <c r="AF52" s="404"/>
      <c r="AJ52" s="407" t="n">
        <v>0</v>
      </c>
      <c r="AK52" s="408" t="n">
        <f aca="false">AJ52*Z52</f>
        <v>0</v>
      </c>
      <c r="AL52" s="409"/>
    </row>
    <row r="53" customFormat="false" ht="13.8" hidden="false" customHeight="false" outlineLevel="0" collapsed="false">
      <c r="A53" s="397" t="s">
        <v>363</v>
      </c>
      <c r="B53" s="398" t="s">
        <v>364</v>
      </c>
      <c r="C53" s="399" t="s">
        <v>499</v>
      </c>
      <c r="D53" s="400" t="n">
        <v>2647.05882352941</v>
      </c>
      <c r="E53" s="401" t="n">
        <v>7.288</v>
      </c>
      <c r="F53" s="401" t="s">
        <v>500</v>
      </c>
      <c r="G53" s="402" t="n">
        <v>109.9</v>
      </c>
      <c r="H53" s="401" t="n">
        <v>78.157</v>
      </c>
      <c r="I53" s="401" t="n">
        <v>80.235</v>
      </c>
      <c r="J53" s="401" t="n">
        <v>71.529</v>
      </c>
      <c r="K53" s="421" t="str">
        <f aca="false">IF(AF53="","",AF53/Z53)</f>
        <v/>
      </c>
      <c r="L53" s="401" t="n">
        <v>10.9582976782697</v>
      </c>
      <c r="M53" s="401" t="n">
        <v>7.52003189242855</v>
      </c>
      <c r="N53" s="401" t="s">
        <v>367</v>
      </c>
      <c r="O53" s="401" t="s">
        <v>458</v>
      </c>
      <c r="P53" s="401" t="s">
        <v>369</v>
      </c>
      <c r="Q53" s="401" t="s">
        <v>489</v>
      </c>
      <c r="R53" s="401" t="s">
        <v>462</v>
      </c>
      <c r="S53" s="401" t="s">
        <v>372</v>
      </c>
      <c r="T53" s="402" t="s">
        <v>395</v>
      </c>
      <c r="U53" s="402"/>
      <c r="V53" s="402" t="s">
        <v>374</v>
      </c>
      <c r="W53" s="400" t="n">
        <f aca="false">+D53*G53/100</f>
        <v>2909.11764705882</v>
      </c>
      <c r="X53" s="400" t="n">
        <f aca="false">+D53*G53/100</f>
        <v>2909.11764705882</v>
      </c>
      <c r="Y53" s="397"/>
      <c r="Z53" s="404" t="n">
        <f aca="false">+D53*J53/100</f>
        <v>1893.41470588235</v>
      </c>
      <c r="AA53" s="405" t="n">
        <f aca="false">IF(+I53=0,AB53,W53*(J53-I53)/100)</f>
        <v>-253.267782352941</v>
      </c>
      <c r="AB53" s="405" t="n">
        <f aca="false">+$W53*($J53-$G53)/100</f>
        <v>-1116.25753235294</v>
      </c>
      <c r="AC53" s="397" t="n">
        <f aca="false">+Z53*L53</f>
        <v>20748.6019754723</v>
      </c>
      <c r="AD53" s="397" t="n">
        <f aca="false">+Z53*M53</f>
        <v>14238.5389738285</v>
      </c>
      <c r="AE53" s="406" t="n">
        <f aca="false">+AA53/X53</f>
        <v>-0.08706</v>
      </c>
      <c r="AF53" s="404"/>
      <c r="AJ53" s="415" t="n">
        <v>0</v>
      </c>
      <c r="AK53" s="408" t="n">
        <f aca="false">AJ53*Z53</f>
        <v>0</v>
      </c>
      <c r="AL53" s="409"/>
    </row>
    <row r="54" customFormat="false" ht="13.8" hidden="false" customHeight="false" outlineLevel="0" collapsed="false">
      <c r="A54" s="397" t="s">
        <v>363</v>
      </c>
      <c r="B54" s="398" t="s">
        <v>364</v>
      </c>
      <c r="C54" s="399" t="s">
        <v>501</v>
      </c>
      <c r="D54" s="400" t="n">
        <v>294.117647058824</v>
      </c>
      <c r="E54" s="401" t="n">
        <v>11.75</v>
      </c>
      <c r="F54" s="401" t="s">
        <v>502</v>
      </c>
      <c r="G54" s="402" t="n">
        <v>100.005</v>
      </c>
      <c r="H54" s="401" t="n">
        <v>0</v>
      </c>
      <c r="I54" s="401" t="n">
        <v>0</v>
      </c>
      <c r="J54" s="401" t="s">
        <v>368</v>
      </c>
      <c r="K54" s="421" t="str">
        <f aca="false">IF(AF54="","",AF54/Z54)</f>
        <v/>
      </c>
      <c r="L54" s="401" t="n">
        <v>0</v>
      </c>
      <c r="M54" s="401" t="n">
        <v>0</v>
      </c>
      <c r="N54" s="401" t="s">
        <v>368</v>
      </c>
      <c r="O54" s="401" t="s">
        <v>368</v>
      </c>
      <c r="P54" s="401" t="s">
        <v>369</v>
      </c>
      <c r="Q54" s="401" t="s">
        <v>459</v>
      </c>
      <c r="R54" s="401" t="s">
        <v>462</v>
      </c>
      <c r="S54" s="401" t="s">
        <v>372</v>
      </c>
      <c r="T54" s="402" t="s">
        <v>395</v>
      </c>
      <c r="U54" s="402"/>
      <c r="V54" s="402" t="s">
        <v>427</v>
      </c>
      <c r="W54" s="400" t="n">
        <f aca="false">+D54*G54/100</f>
        <v>294.132352941176</v>
      </c>
      <c r="X54" s="400" t="n">
        <f aca="false">+D54*G54/100</f>
        <v>294.132352941176</v>
      </c>
      <c r="Y54" s="397"/>
      <c r="Z54" s="404" t="n">
        <v>0</v>
      </c>
      <c r="AA54" s="405"/>
      <c r="AB54" s="405"/>
      <c r="AC54" s="397"/>
      <c r="AD54" s="397"/>
      <c r="AE54" s="406"/>
      <c r="AF54" s="404"/>
      <c r="AG54" s="428"/>
      <c r="AK54" s="408" t="n">
        <f aca="false">AJ54*Z54</f>
        <v>0</v>
      </c>
      <c r="AL54" s="409"/>
    </row>
    <row r="55" customFormat="false" ht="12.75" hidden="false" customHeight="false" outlineLevel="0" collapsed="false">
      <c r="A55" s="344" t="s">
        <v>19</v>
      </c>
    </row>
    <row r="56" customFormat="false" ht="12.75" hidden="false" customHeight="false" outlineLevel="0" collapsed="false">
      <c r="D56" s="418" t="n">
        <f aca="false">SUM(D35:D54)</f>
        <v>21126.4705882353</v>
      </c>
      <c r="Y56" s="418"/>
      <c r="Z56" s="418" t="n">
        <f aca="false">SUM(Z35:Z54)</f>
        <v>7568.40388235294</v>
      </c>
      <c r="AA56" s="418" t="n">
        <f aca="false">SUM(AA35:AA54)</f>
        <v>283.243308495882</v>
      </c>
      <c r="AB56" s="418" t="n">
        <f aca="false">SUM(AB35:AB54)</f>
        <v>-7139.77042905661</v>
      </c>
      <c r="AC56" s="418" t="n">
        <f aca="false">SUM(AC35:AC54)</f>
        <v>211025.846090212</v>
      </c>
      <c r="AD56" s="418" t="n">
        <f aca="false">SUM(AD4:AD55)</f>
        <v>209433.755117293</v>
      </c>
      <c r="AE56" s="418"/>
      <c r="AF56" s="418" t="n">
        <f aca="false">SUM(AF35:AF54)</f>
        <v>0</v>
      </c>
    </row>
    <row r="58" customFormat="false" ht="17.35" hidden="false" customHeight="false" outlineLevel="0" collapsed="false">
      <c r="A58" s="389" t="s">
        <v>503</v>
      </c>
      <c r="B58" s="389"/>
      <c r="C58" s="389"/>
      <c r="D58" s="389"/>
      <c r="E58" s="389"/>
      <c r="F58" s="389"/>
      <c r="G58" s="389"/>
      <c r="H58" s="389"/>
      <c r="I58" s="389"/>
      <c r="J58" s="389"/>
      <c r="K58" s="389"/>
      <c r="AB58" s="390"/>
      <c r="AC58" s="391"/>
    </row>
    <row r="59" customFormat="false" ht="12.75" hidden="false" customHeight="false" outlineLevel="0" collapsed="false">
      <c r="AB59" s="390"/>
      <c r="AC59" s="391"/>
    </row>
    <row r="60" customFormat="false" ht="12.75" hidden="false" customHeight="false" outlineLevel="0" collapsed="false">
      <c r="A60" s="388" t="s">
        <v>329</v>
      </c>
      <c r="B60" s="388" t="s">
        <v>358</v>
      </c>
      <c r="C60" s="388" t="s">
        <v>504</v>
      </c>
      <c r="D60" s="388" t="s">
        <v>330</v>
      </c>
      <c r="F60" s="388" t="s">
        <v>505</v>
      </c>
      <c r="G60" s="388" t="s">
        <v>335</v>
      </c>
      <c r="H60" s="388" t="s">
        <v>506</v>
      </c>
      <c r="I60" s="388" t="s">
        <v>507</v>
      </c>
      <c r="J60" s="388" t="s">
        <v>129</v>
      </c>
      <c r="K60" s="388" t="s">
        <v>508</v>
      </c>
      <c r="L60" s="388" t="s">
        <v>10</v>
      </c>
      <c r="M60" s="388" t="s">
        <v>509</v>
      </c>
      <c r="P60" s="388" t="s">
        <v>361</v>
      </c>
      <c r="R60" s="388" t="s">
        <v>510</v>
      </c>
      <c r="S60" s="388"/>
    </row>
    <row r="61" customFormat="false" ht="12.75" hidden="false" customHeight="false" outlineLevel="0" collapsed="false">
      <c r="A61" s="344" t="s">
        <v>70</v>
      </c>
      <c r="B61" s="428" t="n">
        <v>44299</v>
      </c>
      <c r="C61" s="344" t="s">
        <v>511</v>
      </c>
      <c r="D61" s="344" t="s">
        <v>512</v>
      </c>
      <c r="F61" s="429" t="n">
        <v>49152.12</v>
      </c>
      <c r="G61" s="429" t="n">
        <v>40.69</v>
      </c>
      <c r="H61" s="429" t="n">
        <v>49.99</v>
      </c>
      <c r="I61" s="429" t="n">
        <v>50.13</v>
      </c>
      <c r="J61" s="429" t="n">
        <f aca="false">I61*F61</f>
        <v>2463995.7756</v>
      </c>
      <c r="L61" s="430" t="n">
        <f aca="false">(I61-H61)*F61</f>
        <v>6881.29680000003</v>
      </c>
      <c r="M61" s="414" t="n">
        <f aca="false">(I61-G61)*F61</f>
        <v>463996.0128</v>
      </c>
      <c r="N61" s="344" t="s">
        <v>513</v>
      </c>
      <c r="O61" s="344" t="s">
        <v>514</v>
      </c>
      <c r="P61" s="407" t="n">
        <v>0.75</v>
      </c>
      <c r="Q61" s="408" t="n">
        <f aca="false">P61*J61</f>
        <v>1847996.8317</v>
      </c>
      <c r="R61" s="344" t="s">
        <v>515</v>
      </c>
    </row>
    <row r="62" customFormat="false" ht="12.75" hidden="false" customHeight="false" outlineLevel="0" collapsed="false">
      <c r="A62" s="344" t="s">
        <v>70</v>
      </c>
      <c r="B62" s="428" t="n">
        <v>45063</v>
      </c>
      <c r="C62" s="344" t="s">
        <v>516</v>
      </c>
      <c r="D62" s="344" t="s">
        <v>512</v>
      </c>
      <c r="F62" s="429" t="n">
        <v>213675.214</v>
      </c>
      <c r="G62" s="431" t="n">
        <v>9.36</v>
      </c>
      <c r="H62" s="429" t="n">
        <v>9.7</v>
      </c>
      <c r="I62" s="429" t="n">
        <v>9.73</v>
      </c>
      <c r="J62" s="429" t="n">
        <f aca="false">I62*F62</f>
        <v>2079059.83222</v>
      </c>
      <c r="K62" s="432" t="n">
        <v>114230.82</v>
      </c>
      <c r="L62" s="430" t="n">
        <f aca="false">(I62-H62)*F62</f>
        <v>6410.25642000024</v>
      </c>
      <c r="M62" s="414" t="n">
        <f aca="false">(I62-G62)*F62</f>
        <v>79059.8291800002</v>
      </c>
      <c r="N62" s="344" t="s">
        <v>517</v>
      </c>
      <c r="O62" s="344" t="s">
        <v>514</v>
      </c>
      <c r="P62" s="407" t="n">
        <v>0.8</v>
      </c>
      <c r="Q62" s="408" t="n">
        <f aca="false">P62*J62</f>
        <v>1663247.865776</v>
      </c>
      <c r="R62" s="344" t="s">
        <v>515</v>
      </c>
    </row>
    <row r="63" customFormat="false" ht="12.75" hidden="false" customHeight="false" outlineLevel="0" collapsed="false">
      <c r="A63" s="344" t="s">
        <v>70</v>
      </c>
      <c r="B63" s="428" t="n">
        <v>45847</v>
      </c>
      <c r="C63" s="344" t="s">
        <v>518</v>
      </c>
      <c r="D63" s="344" t="s">
        <v>512</v>
      </c>
      <c r="F63" s="429" t="n">
        <v>61349.693</v>
      </c>
      <c r="G63" s="429" t="n">
        <v>24.45</v>
      </c>
      <c r="H63" s="429" t="n">
        <v>24.73</v>
      </c>
      <c r="I63" s="429" t="n">
        <v>24.62</v>
      </c>
      <c r="J63" s="429" t="n">
        <f aca="false">I63*F63</f>
        <v>1510429.44166</v>
      </c>
      <c r="K63" s="432" t="n">
        <f aca="false">36796.8+33535.49+32638.18+32805.98</f>
        <v>135776.45</v>
      </c>
      <c r="L63" s="430" t="n">
        <f aca="false">(I63-H63)*F63</f>
        <v>-6748.46622999997</v>
      </c>
      <c r="M63" s="414" t="n">
        <f aca="false">(I63-G63)*F63</f>
        <v>10429.4478100001</v>
      </c>
      <c r="N63" s="344" t="s">
        <v>517</v>
      </c>
      <c r="O63" s="344" t="s">
        <v>514</v>
      </c>
      <c r="P63" s="407" t="n">
        <v>0.5</v>
      </c>
      <c r="Q63" s="408" t="n">
        <f aca="false">P63*J63</f>
        <v>755214.72083</v>
      </c>
      <c r="R63" s="344" t="s">
        <v>515</v>
      </c>
      <c r="S63" s="433"/>
    </row>
    <row r="64" customFormat="false" ht="12.75" hidden="false" customHeight="false" outlineLevel="0" collapsed="false">
      <c r="A64" s="344" t="s">
        <v>70</v>
      </c>
      <c r="B64" s="428" t="n">
        <v>45848</v>
      </c>
      <c r="C64" s="344" t="s">
        <v>519</v>
      </c>
      <c r="D64" s="344" t="s">
        <v>512</v>
      </c>
      <c r="F64" s="429" t="n">
        <v>31276.06</v>
      </c>
      <c r="G64" s="429" t="n">
        <v>47.96</v>
      </c>
      <c r="H64" s="429" t="n">
        <v>49.99</v>
      </c>
      <c r="I64" s="429" t="n">
        <v>50.27</v>
      </c>
      <c r="J64" s="429" t="n">
        <f aca="false">I64*F64</f>
        <v>1572247.5362</v>
      </c>
      <c r="L64" s="430" t="n">
        <f aca="false">(I64-H64)*F64</f>
        <v>8757.29680000004</v>
      </c>
      <c r="M64" s="414" t="n">
        <f aca="false">(I64-G64)*F64</f>
        <v>72247.6986000001</v>
      </c>
      <c r="N64" s="344" t="s">
        <v>513</v>
      </c>
      <c r="O64" s="344" t="s">
        <v>514</v>
      </c>
      <c r="P64" s="407" t="n">
        <v>0.75</v>
      </c>
      <c r="Q64" s="408" t="n">
        <f aca="false">P64*J64</f>
        <v>1179185.65215</v>
      </c>
      <c r="R64" s="344" t="s">
        <v>515</v>
      </c>
    </row>
    <row r="65" customFormat="false" ht="12.75" hidden="false" customHeight="false" outlineLevel="0" collapsed="false">
      <c r="A65" s="344" t="s">
        <v>19</v>
      </c>
    </row>
    <row r="66" customFormat="false" ht="12.75" hidden="false" customHeight="false" outlineLevel="0" collapsed="false">
      <c r="J66" s="434" t="n">
        <f aca="false">SUM(J61:J65)</f>
        <v>7625732.58568</v>
      </c>
      <c r="K66" s="435" t="n">
        <f aca="false">SUM(K61:K65)</f>
        <v>250007.27</v>
      </c>
      <c r="L66" s="434" t="n">
        <f aca="false">SUM(L61:L65)</f>
        <v>15300.3837900003</v>
      </c>
      <c r="M66" s="434" t="n">
        <f aca="false">SUM(M61:M65)</f>
        <v>625732.988390001</v>
      </c>
    </row>
    <row r="67" customFormat="false" ht="12.75" hidden="false" customHeight="false" outlineLevel="0" collapsed="false">
      <c r="J67" s="434"/>
      <c r="K67" s="435"/>
    </row>
    <row r="68" customFormat="false" ht="12.75" hidden="false" customHeight="false" outlineLevel="0" collapsed="false">
      <c r="J68" s="434"/>
      <c r="K68" s="435"/>
    </row>
    <row r="69" customFormat="false" ht="12.75" hidden="false" customHeight="false" outlineLevel="0" collapsed="false">
      <c r="J69" s="434"/>
      <c r="K69" s="435"/>
    </row>
    <row r="71" customFormat="false" ht="17.35" hidden="false" customHeight="false" outlineLevel="0" collapsed="false">
      <c r="A71" s="389" t="s">
        <v>520</v>
      </c>
      <c r="B71" s="389"/>
      <c r="C71" s="389"/>
      <c r="D71" s="389"/>
      <c r="E71" s="389"/>
      <c r="F71" s="389"/>
      <c r="G71" s="389"/>
      <c r="H71" s="389"/>
      <c r="I71" s="389"/>
      <c r="J71" s="389"/>
      <c r="K71" s="389"/>
    </row>
    <row r="72" customFormat="false" ht="12.75" hidden="false" customHeight="false" outlineLevel="0" collapsed="false">
      <c r="B72" s="414"/>
      <c r="E72" s="414"/>
      <c r="G72" s="436"/>
      <c r="V72" s="344" t="s">
        <v>521</v>
      </c>
      <c r="W72" s="344" t="s">
        <v>56</v>
      </c>
      <c r="X72" s="344" t="s">
        <v>146</v>
      </c>
      <c r="Y72" s="344" t="s">
        <v>522</v>
      </c>
    </row>
    <row r="73" customFormat="false" ht="12.75" hidden="false" customHeight="false" outlineLevel="0" collapsed="false">
      <c r="A73" s="388" t="s">
        <v>329</v>
      </c>
      <c r="B73" s="388" t="s">
        <v>25</v>
      </c>
      <c r="C73" s="388" t="s">
        <v>504</v>
      </c>
      <c r="D73" s="388" t="s">
        <v>523</v>
      </c>
      <c r="E73" s="388" t="s">
        <v>505</v>
      </c>
      <c r="F73" s="388" t="s">
        <v>335</v>
      </c>
      <c r="G73" s="388" t="s">
        <v>507</v>
      </c>
      <c r="H73" s="388" t="s">
        <v>524</v>
      </c>
      <c r="I73" s="388" t="s">
        <v>129</v>
      </c>
      <c r="J73" s="388" t="s">
        <v>10</v>
      </c>
      <c r="K73" s="388" t="s">
        <v>525</v>
      </c>
      <c r="L73" s="388" t="s">
        <v>526</v>
      </c>
      <c r="M73" s="388" t="s">
        <v>527</v>
      </c>
      <c r="N73" s="0"/>
    </row>
    <row r="74" customFormat="false" ht="12.75" hidden="false" customHeight="false" outlineLevel="0" collapsed="false">
      <c r="A74" s="344" t="s">
        <v>363</v>
      </c>
      <c r="B74" s="413" t="n">
        <v>46099</v>
      </c>
      <c r="C74" s="344" t="s">
        <v>521</v>
      </c>
      <c r="D74" s="344" t="s">
        <v>528</v>
      </c>
      <c r="E74" s="344" t="n">
        <v>23</v>
      </c>
      <c r="F74" s="437" t="n">
        <v>76.6028</v>
      </c>
      <c r="G74" s="432" t="n">
        <v>76.77</v>
      </c>
      <c r="H74" s="414" t="n">
        <f aca="false">F74*E74</f>
        <v>1761.8644</v>
      </c>
      <c r="I74" s="414" t="n">
        <f aca="false">G74*E74</f>
        <v>1765.71</v>
      </c>
      <c r="J74" s="438" t="n">
        <f aca="false">(G74-F74)*E74</f>
        <v>3.84559999999986</v>
      </c>
      <c r="K74" s="268" t="n">
        <f aca="false">J74/(E74*F74)</f>
        <v>0.00218268783908674</v>
      </c>
      <c r="L74" s="439" t="n">
        <f aca="true">IF(M74="","",M74-TODAY())</f>
        <v>-24</v>
      </c>
      <c r="M74" s="440" t="n">
        <v>46132</v>
      </c>
      <c r="N74" s="0"/>
      <c r="Q74" s="344" t="s">
        <v>147</v>
      </c>
      <c r="R74" s="441" t="e">
        <f aca="false">+X88+Y88</f>
        <v>#VALUE!</v>
      </c>
      <c r="V74" s="441" t="n">
        <f aca="false">IF(V$72=$C74,$I74,0)</f>
        <v>1765.71</v>
      </c>
      <c r="W74" s="344" t="n">
        <f aca="false">IF(W$72=$C74,$H74,0)</f>
        <v>0</v>
      </c>
      <c r="X74" s="344" t="n">
        <f aca="false">IF(X$72=$C74,$I74,0)</f>
        <v>0</v>
      </c>
      <c r="Y74" s="344" t="n">
        <f aca="false">IF(Y$72=$C74,$I74,0)</f>
        <v>0</v>
      </c>
    </row>
    <row r="75" customFormat="false" ht="12.75" hidden="false" customHeight="false" outlineLevel="0" collapsed="false">
      <c r="A75" s="344" t="s">
        <v>363</v>
      </c>
      <c r="B75" s="413" t="n">
        <v>46099</v>
      </c>
      <c r="C75" s="344" t="s">
        <v>56</v>
      </c>
      <c r="D75" s="344" t="s">
        <v>529</v>
      </c>
      <c r="E75" s="344" t="n">
        <v>45</v>
      </c>
      <c r="F75" s="437" t="n">
        <v>4885.886</v>
      </c>
      <c r="G75" s="432" t="n">
        <f aca="false">Hoja1!$H$11</f>
        <v>4720.375</v>
      </c>
      <c r="H75" s="414" t="n">
        <f aca="false">F75*E75</f>
        <v>219864.87</v>
      </c>
      <c r="I75" s="414" t="n">
        <f aca="false">G75*E75</f>
        <v>212416.875</v>
      </c>
      <c r="J75" s="438" t="n">
        <f aca="false">(G75-F75)*E75</f>
        <v>-7447.99500000002</v>
      </c>
      <c r="K75" s="268" t="n">
        <f aca="false">J75/(E75*F75)</f>
        <v>-0.033875329878757</v>
      </c>
      <c r="L75" s="439" t="n">
        <f aca="true">IF(M75="","",M75-TODAY())</f>
        <v>-24</v>
      </c>
      <c r="M75" s="440" t="n">
        <v>46132</v>
      </c>
      <c r="N75" s="0"/>
    </row>
    <row r="76" customFormat="false" ht="12.75" hidden="false" customHeight="false" outlineLevel="0" collapsed="false">
      <c r="A76" s="344" t="s">
        <v>363</v>
      </c>
      <c r="B76" s="413" t="n">
        <v>46099</v>
      </c>
      <c r="C76" s="344" t="s">
        <v>56</v>
      </c>
      <c r="D76" s="344" t="s">
        <v>529</v>
      </c>
      <c r="E76" s="344" t="n">
        <v>45</v>
      </c>
      <c r="F76" s="437" t="n">
        <v>4876.8528</v>
      </c>
      <c r="G76" s="432" t="n">
        <f aca="false">Hoja1!$H$11</f>
        <v>4720.375</v>
      </c>
      <c r="H76" s="414" t="n">
        <f aca="false">F76*E76</f>
        <v>219458.376</v>
      </c>
      <c r="I76" s="414" t="n">
        <f aca="false">G76*E76</f>
        <v>212416.875</v>
      </c>
      <c r="J76" s="438" t="n">
        <f aca="false">(G76-F76)*E76</f>
        <v>-7041.50099999999</v>
      </c>
      <c r="K76" s="268" t="n">
        <f aca="false">J76/(E76*F76)</f>
        <v>-0.0320858156719431</v>
      </c>
      <c r="L76" s="439" t="n">
        <f aca="true">IF(M76="","",M76-TODAY())</f>
        <v>-24</v>
      </c>
      <c r="M76" s="440" t="n">
        <v>46132</v>
      </c>
      <c r="N76" s="0"/>
    </row>
    <row r="77" customFormat="false" ht="12.75" hidden="false" customHeight="false" outlineLevel="0" collapsed="false">
      <c r="A77" s="344" t="s">
        <v>363</v>
      </c>
      <c r="B77" s="413" t="n">
        <v>46051</v>
      </c>
      <c r="C77" s="344" t="s">
        <v>146</v>
      </c>
      <c r="D77" s="344" t="s">
        <v>530</v>
      </c>
      <c r="E77" s="344" t="n">
        <v>45</v>
      </c>
      <c r="F77" s="437" t="n">
        <v>99.74</v>
      </c>
      <c r="G77" s="432" t="n">
        <f aca="false">Hoja1!$H$77</f>
        <v>83.12</v>
      </c>
      <c r="H77" s="414" t="n">
        <f aca="false">F77*E77</f>
        <v>4488.3</v>
      </c>
      <c r="I77" s="414" t="n">
        <f aca="false">G77*E77</f>
        <v>3740.4</v>
      </c>
      <c r="J77" s="438" t="n">
        <f aca="false">(G77-F77)*E77</f>
        <v>-747.9</v>
      </c>
      <c r="K77" s="268" t="n">
        <f aca="false">J77/(E77*F77)</f>
        <v>-0.166633246440746</v>
      </c>
      <c r="L77" s="439" t="str">
        <f aca="true">IF(M77="","",M77-TODAY())</f>
        <v/>
      </c>
      <c r="M77" s="440"/>
      <c r="N77" s="0"/>
      <c r="V77" s="344" t="n">
        <f aca="false">IF(V$72=$C77,$I77,0)</f>
        <v>0</v>
      </c>
      <c r="W77" s="344" t="n">
        <f aca="false">IF(W$72=$C77,$H77,0)</f>
        <v>0</v>
      </c>
      <c r="X77" s="441" t="n">
        <f aca="false">IF(X$72=$C77,$I77,0)</f>
        <v>3740.4</v>
      </c>
      <c r="Y77" s="344" t="n">
        <f aca="false">IF(Y$72=$C77,$I77,0)</f>
        <v>0</v>
      </c>
    </row>
    <row r="78" customFormat="false" ht="12.75" hidden="false" customHeight="false" outlineLevel="0" collapsed="false">
      <c r="A78" s="344" t="s">
        <v>363</v>
      </c>
      <c r="B78" s="413" t="n">
        <v>46052</v>
      </c>
      <c r="C78" s="344" t="s">
        <v>146</v>
      </c>
      <c r="D78" s="344" t="s">
        <v>530</v>
      </c>
      <c r="E78" s="344" t="n">
        <v>45</v>
      </c>
      <c r="F78" s="437" t="n">
        <v>87.7199</v>
      </c>
      <c r="G78" s="432" t="n">
        <f aca="false">Hoja1!$H$77</f>
        <v>83.12</v>
      </c>
      <c r="H78" s="414" t="n">
        <f aca="false">F78*E78</f>
        <v>3947.3955</v>
      </c>
      <c r="I78" s="414" t="n">
        <f aca="false">G78*E78</f>
        <v>3740.4</v>
      </c>
      <c r="J78" s="438" t="n">
        <f aca="false">(G78-F78)*E78</f>
        <v>-206.9955</v>
      </c>
      <c r="K78" s="268" t="n">
        <f aca="false">J78/(E78*F78)</f>
        <v>-0.052438500271888</v>
      </c>
      <c r="L78" s="439" t="str">
        <f aca="true">IF(M78="","",M78-TODAY())</f>
        <v/>
      </c>
      <c r="M78" s="440"/>
      <c r="N78" s="0"/>
      <c r="V78" s="344" t="n">
        <f aca="false">IF(V$72=$C78,$I78,0)</f>
        <v>0</v>
      </c>
      <c r="W78" s="344" t="n">
        <f aca="false">IF(W$72=$C78,$H78,0)</f>
        <v>0</v>
      </c>
      <c r="X78" s="441" t="n">
        <f aca="false">IF(X$72=$C78,$I78,0)</f>
        <v>3740.4</v>
      </c>
      <c r="Y78" s="344" t="n">
        <f aca="false">IF(Y$72=$C78,$I78,0)</f>
        <v>0</v>
      </c>
    </row>
    <row r="79" customFormat="false" ht="12.75" hidden="false" customHeight="false" outlineLevel="0" collapsed="false">
      <c r="A79" s="344" t="s">
        <v>363</v>
      </c>
      <c r="B79" s="413" t="n">
        <v>46055</v>
      </c>
      <c r="C79" s="344" t="s">
        <v>146</v>
      </c>
      <c r="D79" s="344" t="s">
        <v>530</v>
      </c>
      <c r="E79" s="344" t="n">
        <v>45</v>
      </c>
      <c r="F79" s="437" t="n">
        <v>84.2387</v>
      </c>
      <c r="G79" s="432" t="n">
        <f aca="false">Hoja1!$H$77</f>
        <v>83.12</v>
      </c>
      <c r="H79" s="414" t="n">
        <f aca="false">F79*E79</f>
        <v>3790.7415</v>
      </c>
      <c r="I79" s="414" t="n">
        <f aca="false">G79*E79</f>
        <v>3740.4</v>
      </c>
      <c r="J79" s="438" t="n">
        <f aca="false">(G79-F79)*E79</f>
        <v>-50.3414999999995</v>
      </c>
      <c r="K79" s="268" t="n">
        <f aca="false">J79/(E79*F79)</f>
        <v>-0.0132801194700297</v>
      </c>
      <c r="L79" s="439" t="str">
        <f aca="true">IF(M79="","",M79-TODAY())</f>
        <v/>
      </c>
      <c r="M79" s="440"/>
      <c r="N79" s="0"/>
      <c r="V79" s="344" t="n">
        <f aca="false">IF(V$72=$C79,$I79,0)</f>
        <v>0</v>
      </c>
      <c r="W79" s="344" t="n">
        <f aca="false">IF(W$72=$C79,$H79,0)</f>
        <v>0</v>
      </c>
      <c r="X79" s="441" t="n">
        <f aca="false">IF(X$72=$C79,$I79,0)</f>
        <v>3740.4</v>
      </c>
      <c r="Y79" s="344" t="n">
        <f aca="false">IF(Y$72=$C79,$I79,0)</f>
        <v>0</v>
      </c>
    </row>
    <row r="80" customFormat="false" ht="12.75" hidden="false" customHeight="false" outlineLevel="0" collapsed="false">
      <c r="A80" s="344" t="s">
        <v>363</v>
      </c>
      <c r="B80" s="413" t="n">
        <v>46051</v>
      </c>
      <c r="C80" s="344" t="s">
        <v>522</v>
      </c>
      <c r="D80" s="344" t="s">
        <v>531</v>
      </c>
      <c r="E80" s="344" t="n">
        <v>45</v>
      </c>
      <c r="F80" s="437" t="n">
        <v>39.8699</v>
      </c>
      <c r="G80" s="432" t="n">
        <f aca="false">Hoja1!$H$82</f>
        <v>36.335</v>
      </c>
      <c r="H80" s="414" t="n">
        <f aca="false">F80*E80</f>
        <v>1794.1455</v>
      </c>
      <c r="I80" s="414" t="n">
        <f aca="false">G80*E80</f>
        <v>1635.075</v>
      </c>
      <c r="J80" s="438" t="n">
        <f aca="false">(G80-F80)*E80</f>
        <v>-159.0705</v>
      </c>
      <c r="K80" s="268" t="n">
        <f aca="false">J80/(E80*F80)</f>
        <v>-0.0886608694779771</v>
      </c>
      <c r="L80" s="439"/>
      <c r="M80" s="440"/>
      <c r="N80" s="0"/>
      <c r="V80" s="344" t="n">
        <f aca="false">IF(V$72=$C80,$I80,0)</f>
        <v>0</v>
      </c>
      <c r="W80" s="344" t="n">
        <f aca="false">IF(W$72=$C80,$H80,0)</f>
        <v>0</v>
      </c>
      <c r="X80" s="344" t="n">
        <f aca="false">IF(X$72=$C80,$I80,0)</f>
        <v>0</v>
      </c>
      <c r="Y80" s="441" t="n">
        <f aca="false">IF(Y$72=$C80,$I80,0)</f>
        <v>1635.075</v>
      </c>
    </row>
    <row r="81" customFormat="false" ht="12.75" hidden="false" customHeight="false" outlineLevel="0" collapsed="false">
      <c r="A81" s="344" t="s">
        <v>363</v>
      </c>
      <c r="B81" s="413" t="n">
        <v>46052</v>
      </c>
      <c r="C81" s="344" t="s">
        <v>522</v>
      </c>
      <c r="D81" s="344" t="s">
        <v>531</v>
      </c>
      <c r="E81" s="344" t="n">
        <v>45</v>
      </c>
      <c r="F81" s="437" t="n">
        <v>36.419</v>
      </c>
      <c r="G81" s="432" t="n">
        <f aca="false">Hoja1!$H$82</f>
        <v>36.335</v>
      </c>
      <c r="H81" s="414" t="n">
        <f aca="false">F81*E81</f>
        <v>1638.855</v>
      </c>
      <c r="I81" s="414" t="n">
        <f aca="false">G81*E81</f>
        <v>1635.075</v>
      </c>
      <c r="J81" s="438" t="n">
        <f aca="false">(G81-F81)*E81</f>
        <v>-3.77999999999982</v>
      </c>
      <c r="K81" s="268" t="n">
        <f aca="false">J81/(E81*F81)</f>
        <v>-0.00230648837145435</v>
      </c>
      <c r="L81" s="439"/>
      <c r="M81" s="440"/>
      <c r="N81" s="0"/>
      <c r="V81" s="344" t="n">
        <f aca="false">IF(V$72=$C81,$I81,0)</f>
        <v>0</v>
      </c>
      <c r="W81" s="344" t="n">
        <f aca="false">IF(W$72=$C81,$H81,0)</f>
        <v>0</v>
      </c>
      <c r="X81" s="344" t="n">
        <f aca="false">IF(X$72=$C81,$I81,0)</f>
        <v>0</v>
      </c>
      <c r="Y81" s="441" t="n">
        <f aca="false">IF(Y$72=$C81,$I81,0)</f>
        <v>1635.075</v>
      </c>
    </row>
    <row r="82" customFormat="false" ht="12.75" hidden="false" customHeight="false" outlineLevel="0" collapsed="false">
      <c r="A82" s="344" t="s">
        <v>363</v>
      </c>
      <c r="B82" s="413" t="n">
        <v>46052</v>
      </c>
      <c r="C82" s="344" t="s">
        <v>522</v>
      </c>
      <c r="D82" s="344" t="s">
        <v>531</v>
      </c>
      <c r="E82" s="344" t="n">
        <v>45</v>
      </c>
      <c r="F82" s="437" t="n">
        <v>37.2</v>
      </c>
      <c r="G82" s="432" t="n">
        <f aca="false">Hoja1!$H$82</f>
        <v>36.335</v>
      </c>
      <c r="H82" s="414" t="n">
        <f aca="false">F82*E82</f>
        <v>1674</v>
      </c>
      <c r="I82" s="414" t="n">
        <f aca="false">G82*E82</f>
        <v>1635.075</v>
      </c>
      <c r="J82" s="438" t="n">
        <f aca="false">(G82-F82)*E82</f>
        <v>-38.9250000000001</v>
      </c>
      <c r="K82" s="268" t="n">
        <f aca="false">J82/(E82*F82)</f>
        <v>-0.0232526881720431</v>
      </c>
      <c r="L82" s="439"/>
      <c r="M82" s="440"/>
      <c r="N82" s="0"/>
      <c r="V82" s="344" t="n">
        <f aca="false">IF(V$72=$C82,$I82,0)</f>
        <v>0</v>
      </c>
      <c r="W82" s="344" t="n">
        <f aca="false">IF(W$72=$C82,$H82,0)</f>
        <v>0</v>
      </c>
      <c r="X82" s="344" t="n">
        <f aca="false">IF(X$72=$C82,$I82,0)</f>
        <v>0</v>
      </c>
      <c r="Y82" s="441" t="n">
        <f aca="false">IF(Y$72=$C82,$I82,0)</f>
        <v>1635.075</v>
      </c>
    </row>
    <row r="83" customFormat="false" ht="12.75" hidden="false" customHeight="false" outlineLevel="0" collapsed="false">
      <c r="A83" s="344" t="s">
        <v>363</v>
      </c>
      <c r="B83" s="413" t="n">
        <v>46055</v>
      </c>
      <c r="C83" s="344" t="s">
        <v>522</v>
      </c>
      <c r="D83" s="344" t="s">
        <v>531</v>
      </c>
      <c r="E83" s="344" t="n">
        <v>45</v>
      </c>
      <c r="F83" s="437" t="n">
        <f aca="false">(35.7206+35.7641)/2</f>
        <v>35.74235</v>
      </c>
      <c r="G83" s="432" t="n">
        <f aca="false">Hoja1!$H$82</f>
        <v>36.335</v>
      </c>
      <c r="H83" s="414" t="n">
        <f aca="false">F83*E83</f>
        <v>1608.40575</v>
      </c>
      <c r="I83" s="414" t="n">
        <f aca="false">G83*E83</f>
        <v>1635.075</v>
      </c>
      <c r="J83" s="438" t="n">
        <f aca="false">(G83-F83)*E83</f>
        <v>26.66925</v>
      </c>
      <c r="K83" s="268" t="n">
        <f aca="false">J83/(E83*F83)</f>
        <v>0.0165811705162083</v>
      </c>
      <c r="L83" s="439"/>
      <c r="M83" s="440"/>
      <c r="N83" s="0"/>
      <c r="V83" s="344" t="n">
        <f aca="false">IF(V$72=$C83,$I83,0)</f>
        <v>0</v>
      </c>
      <c r="W83" s="344" t="n">
        <f aca="false">IF(W$72=$C83,$H83,0)</f>
        <v>0</v>
      </c>
      <c r="X83" s="344" t="n">
        <f aca="false">IF(X$72=$C83,$I83,0)</f>
        <v>0</v>
      </c>
      <c r="Y83" s="441" t="n">
        <f aca="false">IF(Y$72=$C83,$I83,0)</f>
        <v>1635.075</v>
      </c>
    </row>
    <row r="84" customFormat="false" ht="12.75" hidden="false" customHeight="false" outlineLevel="0" collapsed="false">
      <c r="A84" s="344" t="s">
        <v>363</v>
      </c>
      <c r="B84" s="413" t="n">
        <v>46059</v>
      </c>
      <c r="C84" s="344" t="s">
        <v>146</v>
      </c>
      <c r="D84" s="344" t="s">
        <v>530</v>
      </c>
      <c r="E84" s="344" t="n">
        <v>45</v>
      </c>
      <c r="F84" s="437" t="n">
        <v>84.4695</v>
      </c>
      <c r="G84" s="432" t="n">
        <f aca="false">Hoja1!$H$77</f>
        <v>83.12</v>
      </c>
      <c r="H84" s="414" t="n">
        <f aca="false">F84*E84</f>
        <v>3801.1275</v>
      </c>
      <c r="I84" s="414" t="n">
        <f aca="false">G84*E84</f>
        <v>3740.4</v>
      </c>
      <c r="J84" s="438" t="n">
        <f aca="false">(G84-F84)*E84</f>
        <v>-60.7274999999996</v>
      </c>
      <c r="K84" s="268" t="n">
        <f aca="false">J84/(E84*F84)</f>
        <v>-0.0159761807516322</v>
      </c>
      <c r="L84" s="439"/>
      <c r="M84" s="440"/>
      <c r="N84" s="0"/>
      <c r="V84" s="344" t="n">
        <f aca="false">IF(V$72=$C84,$I84,0)</f>
        <v>0</v>
      </c>
      <c r="W84" s="344" t="n">
        <f aca="false">IF(W$72=$C84,$H84,0)</f>
        <v>0</v>
      </c>
      <c r="X84" s="441" t="n">
        <f aca="false">IF(X$72=$C84,$I84,0)</f>
        <v>3740.4</v>
      </c>
      <c r="Y84" s="344" t="n">
        <f aca="false">IF(Y$72=$C84,$I84,0)</f>
        <v>0</v>
      </c>
    </row>
    <row r="85" customFormat="false" ht="12.75" hidden="false" customHeight="false" outlineLevel="0" collapsed="false">
      <c r="A85" s="344" t="s">
        <v>363</v>
      </c>
      <c r="B85" s="413" t="n">
        <v>46056</v>
      </c>
      <c r="C85" s="344" t="s">
        <v>522</v>
      </c>
      <c r="D85" s="344" t="s">
        <v>531</v>
      </c>
      <c r="E85" s="344" t="n">
        <v>45</v>
      </c>
      <c r="F85" s="344" t="n">
        <v>37.2499</v>
      </c>
      <c r="G85" s="432" t="n">
        <f aca="false">Hoja1!$H$82</f>
        <v>36.335</v>
      </c>
      <c r="H85" s="414" t="n">
        <f aca="false">F85*E85</f>
        <v>1676.2455</v>
      </c>
      <c r="I85" s="414" t="n">
        <f aca="false">G85*E85</f>
        <v>1635.075</v>
      </c>
      <c r="J85" s="438" t="n">
        <f aca="false">(G85-F85)*E85</f>
        <v>-41.1704999999998</v>
      </c>
      <c r="K85" s="268" t="n">
        <f aca="false">J85/(E85*F85)</f>
        <v>-0.0245611397614489</v>
      </c>
      <c r="L85" s="439"/>
      <c r="M85" s="440"/>
      <c r="N85" s="0"/>
      <c r="V85" s="344" t="n">
        <f aca="false">IF(V$72=$C85,$I85,0)</f>
        <v>0</v>
      </c>
      <c r="W85" s="344" t="n">
        <f aca="false">IF(W$72=$C85,$H85,0)</f>
        <v>0</v>
      </c>
      <c r="X85" s="344" t="n">
        <f aca="false">IF(X$72=$C85,$I85,0)</f>
        <v>0</v>
      </c>
      <c r="Y85" s="441" t="n">
        <f aca="false">IF(Y$72=$C85,$I85,0)</f>
        <v>1635.075</v>
      </c>
    </row>
    <row r="86" customFormat="false" ht="12.75" hidden="false" customHeight="false" outlineLevel="0" collapsed="false">
      <c r="A86" s="344" t="s">
        <v>19</v>
      </c>
      <c r="B86" s="413"/>
      <c r="E86" s="414"/>
      <c r="I86" s="414"/>
      <c r="J86" s="414"/>
      <c r="K86" s="438"/>
      <c r="L86" s="268"/>
      <c r="N86" s="414"/>
      <c r="V86" s="344" t="n">
        <f aca="false">IF(V$72=$C86,$J86,0)</f>
        <v>0</v>
      </c>
      <c r="W86" s="344" t="n">
        <f aca="false">IF(W$72=$C86,$J86,0)</f>
        <v>0</v>
      </c>
      <c r="X86" s="344" t="n">
        <f aca="false">IF(X$72=$C86,$J86,0)</f>
        <v>0</v>
      </c>
      <c r="Y86" s="344" t="n">
        <f aca="false">IF(Y$72=$C86,$J86,0)</f>
        <v>0</v>
      </c>
    </row>
    <row r="87" customFormat="false" ht="12.75" hidden="false" customHeight="false" outlineLevel="0" collapsed="false">
      <c r="B87" s="413"/>
      <c r="D87" s="414" t="n">
        <v>500000</v>
      </c>
      <c r="E87" s="442" t="n">
        <f aca="false">D87/G78</f>
        <v>6015.39942252166</v>
      </c>
      <c r="F87" s="438" t="n">
        <f aca="false">SUM(F74:F86)</f>
        <v>10381.99085</v>
      </c>
      <c r="I87" s="438" t="n">
        <f aca="false">SUM(I74:I86)</f>
        <v>449736.435</v>
      </c>
      <c r="J87" s="438" t="n">
        <f aca="false">SUM(J74:J86)</f>
        <v>-15767.89165</v>
      </c>
      <c r="K87" s="438" t="n">
        <f aca="false">SUM(K74:K86)</f>
        <v>-0.434306519912624</v>
      </c>
      <c r="L87" s="268"/>
      <c r="N87" s="414"/>
      <c r="V87" s="344" t="n">
        <f aca="false">SUM(V74:V86)</f>
        <v>1765.71</v>
      </c>
      <c r="W87" s="344" t="n">
        <f aca="false">SUM(W74:W86)</f>
        <v>0</v>
      </c>
      <c r="X87" s="344" t="n">
        <f aca="false">SUM(X74:X86)</f>
        <v>14961.6</v>
      </c>
      <c r="Y87" s="344" t="n">
        <f aca="false">SUM(Y74:Y86)</f>
        <v>8175.375</v>
      </c>
    </row>
    <row r="88" customFormat="false" ht="12.75" hidden="false" customHeight="false" outlineLevel="0" collapsed="false">
      <c r="B88" s="413"/>
      <c r="D88" s="414" t="n">
        <v>500000</v>
      </c>
      <c r="E88" s="414" t="n">
        <f aca="false">D88/G82</f>
        <v>13760.8366588689</v>
      </c>
      <c r="F88" s="441"/>
      <c r="I88" s="414"/>
      <c r="J88" s="414"/>
      <c r="K88" s="438"/>
      <c r="L88" s="268"/>
      <c r="N88" s="414"/>
      <c r="V88" s="344" t="str">
        <f aca="false">+V72</f>
        <v>XAGUSD</v>
      </c>
      <c r="W88" s="344" t="str">
        <f aca="false">+W72</f>
        <v>XAUUSD</v>
      </c>
      <c r="X88" s="344" t="str">
        <f aca="false">+X72</f>
        <v>COPX</v>
      </c>
      <c r="Y88" s="344" t="str">
        <f aca="false">+Y72</f>
        <v>CPER</v>
      </c>
    </row>
    <row r="89" customFormat="false" ht="12.75" hidden="false" customHeight="false" outlineLevel="0" collapsed="false">
      <c r="B89" s="413"/>
      <c r="E89" s="414"/>
      <c r="F89" s="441"/>
      <c r="H89" s="344" t="n">
        <v>5000</v>
      </c>
      <c r="I89" s="414" t="n">
        <f aca="false">+H89*G82</f>
        <v>181675</v>
      </c>
      <c r="J89" s="414"/>
      <c r="K89" s="438"/>
      <c r="L89" s="268"/>
      <c r="N89" s="414"/>
      <c r="V89" s="414" t="n">
        <f aca="false">+V87</f>
        <v>1765.71</v>
      </c>
      <c r="W89" s="414" t="n">
        <f aca="false">+W87</f>
        <v>0</v>
      </c>
      <c r="X89" s="414" t="n">
        <f aca="false">+X87</f>
        <v>14961.6</v>
      </c>
      <c r="Y89" s="414" t="n">
        <f aca="false">+Y87</f>
        <v>8175.375</v>
      </c>
    </row>
    <row r="90" customFormat="false" ht="12.75" hidden="false" customHeight="false" outlineLevel="0" collapsed="false">
      <c r="B90" s="413"/>
      <c r="E90" s="414"/>
      <c r="I90" s="414"/>
      <c r="J90" s="414"/>
      <c r="K90" s="438"/>
      <c r="L90" s="268"/>
      <c r="N90" s="414"/>
      <c r="V90" s="268" t="n">
        <f aca="false">+V89/$J87</f>
        <v>-0.111981363088578</v>
      </c>
      <c r="W90" s="268" t="n">
        <f aca="false">+W89/$J87</f>
        <v>-0</v>
      </c>
      <c r="X90" s="268" t="n">
        <f aca="false">+X89/$J87</f>
        <v>-0.948864967625523</v>
      </c>
      <c r="Y90" s="268" t="n">
        <f aca="false">+Y89/$J87</f>
        <v>-0.518482444036835</v>
      </c>
    </row>
    <row r="91" customFormat="false" ht="17.35" hidden="false" customHeight="false" outlineLevel="0" collapsed="false">
      <c r="A91" s="389" t="s">
        <v>532</v>
      </c>
      <c r="B91" s="389"/>
      <c r="C91" s="389"/>
      <c r="D91" s="389"/>
      <c r="E91" s="389"/>
      <c r="F91" s="389"/>
      <c r="G91" s="389"/>
      <c r="H91" s="389"/>
      <c r="I91" s="389"/>
      <c r="J91" s="389"/>
      <c r="K91" s="389"/>
    </row>
    <row r="92" customFormat="false" ht="12.75" hidden="false" customHeight="false" outlineLevel="0" collapsed="false">
      <c r="B92" s="413"/>
      <c r="E92" s="414"/>
      <c r="I92" s="414"/>
      <c r="J92" s="414"/>
      <c r="K92" s="438"/>
      <c r="L92" s="268"/>
      <c r="N92" s="414"/>
      <c r="V92" s="344" t="s">
        <v>120</v>
      </c>
      <c r="W92" s="344" t="s">
        <v>533</v>
      </c>
      <c r="X92" s="344" t="s">
        <v>200</v>
      </c>
      <c r="Y92" s="344" t="s">
        <v>262</v>
      </c>
      <c r="Z92" s="344" t="s">
        <v>534</v>
      </c>
      <c r="AA92" s="344" t="s">
        <v>535</v>
      </c>
      <c r="AB92" s="344" t="s">
        <v>143</v>
      </c>
      <c r="AC92" s="344" t="s">
        <v>71</v>
      </c>
      <c r="AD92" s="344" t="s">
        <v>536</v>
      </c>
      <c r="AE92" s="344" t="s">
        <v>73</v>
      </c>
      <c r="AF92" s="344" t="s">
        <v>112</v>
      </c>
      <c r="AG92" s="344" t="s">
        <v>312</v>
      </c>
      <c r="AH92" s="344" t="s">
        <v>97</v>
      </c>
      <c r="AI92" s="344" t="s">
        <v>145</v>
      </c>
      <c r="AJ92" s="344" t="s">
        <v>86</v>
      </c>
      <c r="AK92" s="344" t="s">
        <v>306</v>
      </c>
      <c r="AL92" s="344" t="s">
        <v>537</v>
      </c>
      <c r="AM92" s="344" t="s">
        <v>538</v>
      </c>
      <c r="AN92" s="344" t="s">
        <v>194</v>
      </c>
      <c r="AO92" s="344" t="s">
        <v>278</v>
      </c>
      <c r="AP92" s="344" t="s">
        <v>539</v>
      </c>
      <c r="AQ92" s="344" t="s">
        <v>183</v>
      </c>
      <c r="AR92" s="344" t="s">
        <v>540</v>
      </c>
      <c r="AS92" s="344" t="s">
        <v>230</v>
      </c>
      <c r="AT92" s="344" t="s">
        <v>208</v>
      </c>
      <c r="AU92" s="344" t="s">
        <v>541</v>
      </c>
      <c r="AV92" s="344" t="s">
        <v>542</v>
      </c>
      <c r="AW92" s="344" t="s">
        <v>543</v>
      </c>
      <c r="AX92" s="344" t="s">
        <v>544</v>
      </c>
      <c r="AY92" s="344" t="s">
        <v>116</v>
      </c>
      <c r="AZ92" s="344" t="s">
        <v>545</v>
      </c>
    </row>
    <row r="93" customFormat="false" ht="12.75" hidden="false" customHeight="false" outlineLevel="0" collapsed="false">
      <c r="A93" s="388" t="s">
        <v>329</v>
      </c>
      <c r="B93" s="388" t="s">
        <v>25</v>
      </c>
      <c r="C93" s="388" t="s">
        <v>504</v>
      </c>
      <c r="D93" s="388" t="s">
        <v>523</v>
      </c>
      <c r="E93" s="388" t="s">
        <v>546</v>
      </c>
      <c r="F93" s="388" t="s">
        <v>505</v>
      </c>
      <c r="G93" s="388" t="s">
        <v>335</v>
      </c>
      <c r="H93" s="388" t="s">
        <v>507</v>
      </c>
      <c r="I93" s="388" t="s">
        <v>524</v>
      </c>
      <c r="J93" s="388" t="s">
        <v>129</v>
      </c>
      <c r="K93" s="388" t="s">
        <v>10</v>
      </c>
      <c r="L93" s="388" t="s">
        <v>353</v>
      </c>
      <c r="M93" s="388" t="s">
        <v>525</v>
      </c>
      <c r="N93" s="388" t="s">
        <v>547</v>
      </c>
      <c r="O93" s="438" t="s">
        <v>361</v>
      </c>
      <c r="P93" s="388" t="s">
        <v>548</v>
      </c>
    </row>
    <row r="94" customFormat="false" ht="12.75" hidden="false" customHeight="false" outlineLevel="0" collapsed="false">
      <c r="A94" s="344" t="s">
        <v>70</v>
      </c>
      <c r="B94" s="413" t="n">
        <v>46091</v>
      </c>
      <c r="C94" s="344" t="s">
        <v>121</v>
      </c>
      <c r="D94" s="344" t="s">
        <v>120</v>
      </c>
      <c r="E94" s="433" t="n">
        <v>230.82</v>
      </c>
      <c r="F94" s="344" t="n">
        <v>12</v>
      </c>
      <c r="G94" s="443" t="n">
        <v>213.91</v>
      </c>
      <c r="H94" s="443" t="n">
        <v>210.1601</v>
      </c>
      <c r="I94" s="414" t="n">
        <f aca="false">G94*F94</f>
        <v>2566.92</v>
      </c>
      <c r="J94" s="414" t="n">
        <f aca="false">H94*F94</f>
        <v>2521.9212</v>
      </c>
      <c r="K94" s="414" t="n">
        <f aca="false">(H94-E94)*F94</f>
        <v>-247.9188</v>
      </c>
      <c r="L94" s="444" t="n">
        <f aca="false">(H94-G94)*F94</f>
        <v>-44.9988</v>
      </c>
      <c r="M94" s="268" t="n">
        <f aca="false">+(H94-E94)/E94</f>
        <v>-0.0895065418941166</v>
      </c>
      <c r="N94" s="408" t="n">
        <f aca="false">F94*E94</f>
        <v>2769.84</v>
      </c>
      <c r="O94" s="414"/>
      <c r="V94" s="344" t="n">
        <f aca="false">IF(V$92=$D94,$J94,0)</f>
        <v>2521.9212</v>
      </c>
      <c r="W94" s="344" t="n">
        <f aca="false">IF(W$92=$D94,$J94,0)</f>
        <v>0</v>
      </c>
      <c r="X94" s="344" t="n">
        <f aca="false">IF(X$92=$D94,$J94,0)</f>
        <v>0</v>
      </c>
      <c r="Y94" s="344" t="n">
        <f aca="false">IF(Y$92=$D94,$J94,0)</f>
        <v>0</v>
      </c>
      <c r="Z94" s="344" t="n">
        <f aca="false">IF(Z$92=$D94,$J94,0)</f>
        <v>0</v>
      </c>
      <c r="AA94" s="344" t="n">
        <f aca="false">IF(AA$92=$D94,$J94,0)</f>
        <v>0</v>
      </c>
      <c r="AB94" s="344" t="n">
        <f aca="false">IF(AB$92=$D94,$J94,0)</f>
        <v>0</v>
      </c>
      <c r="AC94" s="344" t="n">
        <f aca="false">IF(AC$92=$D94,$J94,0)</f>
        <v>0</v>
      </c>
      <c r="AD94" s="344" t="n">
        <f aca="false">IF(AD$92=$D94,$J94,0)</f>
        <v>0</v>
      </c>
      <c r="AE94" s="344" t="n">
        <f aca="false">IF(AE$92=$D94,$J94,0)</f>
        <v>0</v>
      </c>
      <c r="AF94" s="344" t="n">
        <f aca="false">IF(AF$92=$D94,$J94,0)</f>
        <v>0</v>
      </c>
      <c r="AG94" s="344" t="n">
        <f aca="false">IF(AG$92=$D94,$J94,0)</f>
        <v>0</v>
      </c>
      <c r="AH94" s="344" t="n">
        <f aca="false">IF(AH$92=$D94,$J94,0)</f>
        <v>0</v>
      </c>
      <c r="AI94" s="344" t="n">
        <f aca="false">IF(AI$92=$D94,$J94,0)</f>
        <v>0</v>
      </c>
      <c r="AJ94" s="344" t="n">
        <f aca="false">IF(AJ$92=$D94,$J94,0)</f>
        <v>0</v>
      </c>
      <c r="AK94" s="344" t="n">
        <f aca="false">IF(AK$92=$D94,$J94,0)</f>
        <v>0</v>
      </c>
      <c r="AL94" s="344" t="n">
        <f aca="false">IF(AL$92=$D94,$J94,0)</f>
        <v>0</v>
      </c>
      <c r="AM94" s="344" t="n">
        <f aca="false">IF(AM$92=$D94,$J94,0)</f>
        <v>0</v>
      </c>
      <c r="AN94" s="344" t="n">
        <f aca="false">IF(AN$92=$D94,$J94,0)</f>
        <v>0</v>
      </c>
      <c r="AO94" s="344" t="n">
        <f aca="false">IF(AO$92=$D94,$J94,0)</f>
        <v>0</v>
      </c>
      <c r="AP94" s="344" t="n">
        <f aca="false">IF(AP$92=$D94,$J94,0)</f>
        <v>0</v>
      </c>
      <c r="AQ94" s="344" t="n">
        <f aca="false">IF(AQ$92=$D94,$J94,0)</f>
        <v>0</v>
      </c>
      <c r="AR94" s="344" t="n">
        <f aca="false">IF(AR$92=$D94,$J94,0)</f>
        <v>0</v>
      </c>
      <c r="AS94" s="344" t="n">
        <f aca="false">IF(AS$92=$D94,$J94,0)</f>
        <v>0</v>
      </c>
      <c r="AT94" s="344" t="n">
        <f aca="false">IF(AT$92=$D94,$J94,0)</f>
        <v>0</v>
      </c>
      <c r="AU94" s="344" t="n">
        <f aca="false">IF(AU$92=$D94,$J94,0)</f>
        <v>0</v>
      </c>
      <c r="AV94" s="344" t="n">
        <f aca="false">IF(AV$92=$D94,$J94,0)</f>
        <v>0</v>
      </c>
      <c r="AW94" s="344" t="n">
        <f aca="false">IF(AW$92=$D94,$J94,0)</f>
        <v>0</v>
      </c>
      <c r="AX94" s="344" t="n">
        <f aca="false">IF(AX$92=$D94,$J94,0)</f>
        <v>0</v>
      </c>
      <c r="AY94" s="344" t="n">
        <f aca="false">IF(AY$92=$D94,$J94,0)</f>
        <v>0</v>
      </c>
      <c r="AZ94" s="344" t="n">
        <f aca="false">IF(AZ$92=$D94,$J94,0)</f>
        <v>0</v>
      </c>
    </row>
    <row r="95" customFormat="false" ht="12.75" hidden="false" customHeight="false" outlineLevel="0" collapsed="false">
      <c r="A95" s="344" t="s">
        <v>70</v>
      </c>
      <c r="B95" s="413" t="n">
        <v>45883</v>
      </c>
      <c r="C95" s="344" t="s">
        <v>121</v>
      </c>
      <c r="D95" s="344" t="s">
        <v>120</v>
      </c>
      <c r="E95" s="433" t="n">
        <v>230.82</v>
      </c>
      <c r="F95" s="344" t="n">
        <v>2</v>
      </c>
      <c r="G95" s="443" t="n">
        <v>228.8007</v>
      </c>
      <c r="H95" s="443" t="n">
        <f aca="false">Hoja1!H30</f>
        <v>236.985</v>
      </c>
      <c r="I95" s="414" t="n">
        <f aca="false">G95*F95</f>
        <v>457.6014</v>
      </c>
      <c r="J95" s="414" t="n">
        <f aca="false">H95*F95</f>
        <v>473.97</v>
      </c>
      <c r="K95" s="414" t="n">
        <f aca="false">(H95-E95)*F95</f>
        <v>12.33</v>
      </c>
      <c r="L95" s="444" t="n">
        <f aca="false">(H95-G95)*F95</f>
        <v>16.3686</v>
      </c>
      <c r="M95" s="268" t="n">
        <f aca="false">+(H95-E95)/E95</f>
        <v>0.0267091239927217</v>
      </c>
      <c r="N95" s="408" t="n">
        <f aca="false">F95*E95</f>
        <v>461.64</v>
      </c>
      <c r="O95" s="42" t="n">
        <v>0.5</v>
      </c>
      <c r="P95" s="441" t="n">
        <f aca="false">O95*J95</f>
        <v>236.985</v>
      </c>
      <c r="V95" s="441" t="n">
        <f aca="false">IF(V$92=$D95,$J95,0)</f>
        <v>473.97</v>
      </c>
      <c r="W95" s="344" t="n">
        <f aca="false">IF(W$92=$D95,$J95,0)</f>
        <v>0</v>
      </c>
      <c r="X95" s="344" t="n">
        <f aca="false">IF(X$92=$D95,$J95,0)</f>
        <v>0</v>
      </c>
      <c r="Y95" s="344" t="n">
        <f aca="false">IF(Y$92=$D95,$J95,0)</f>
        <v>0</v>
      </c>
      <c r="Z95" s="344" t="n">
        <f aca="false">IF(Z$92=$D95,$J95,0)</f>
        <v>0</v>
      </c>
      <c r="AA95" s="344" t="n">
        <f aca="false">IF(AA$92=$D95,$J95,0)</f>
        <v>0</v>
      </c>
      <c r="AB95" s="344" t="n">
        <f aca="false">IF(AB$92=$D95,$J95,0)</f>
        <v>0</v>
      </c>
      <c r="AC95" s="344" t="n">
        <f aca="false">IF(AC$92=$D95,$J95,0)</f>
        <v>0</v>
      </c>
      <c r="AD95" s="344" t="n">
        <f aca="false">IF(AD$92=$D95,$J95,0)</f>
        <v>0</v>
      </c>
      <c r="AE95" s="344" t="n">
        <f aca="false">IF(AE$92=$D95,$J95,0)</f>
        <v>0</v>
      </c>
      <c r="AF95" s="344" t="n">
        <f aca="false">IF(AF$92=$D95,$J95,0)</f>
        <v>0</v>
      </c>
      <c r="AG95" s="344" t="n">
        <f aca="false">IF(AG$92=$D95,$J95,0)</f>
        <v>0</v>
      </c>
      <c r="AH95" s="344" t="n">
        <f aca="false">IF(AH$92=$D95,$J95,0)</f>
        <v>0</v>
      </c>
      <c r="AI95" s="344" t="n">
        <f aca="false">IF(AI$92=$D95,$J95,0)</f>
        <v>0</v>
      </c>
      <c r="AJ95" s="344" t="n">
        <f aca="false">IF(AJ$92=$D95,$J95,0)</f>
        <v>0</v>
      </c>
      <c r="AK95" s="344" t="n">
        <f aca="false">IF(AK$92=$D95,$J95,0)</f>
        <v>0</v>
      </c>
      <c r="AL95" s="344" t="n">
        <f aca="false">IF(AL$92=$D95,$J95,0)</f>
        <v>0</v>
      </c>
      <c r="AM95" s="344" t="n">
        <f aca="false">IF(AM$92=$D95,$J95,0)</f>
        <v>0</v>
      </c>
      <c r="AN95" s="344" t="n">
        <f aca="false">IF(AN$92=$D95,$J95,0)</f>
        <v>0</v>
      </c>
      <c r="AO95" s="344" t="n">
        <f aca="false">IF(AO$92=$D95,$J95,0)</f>
        <v>0</v>
      </c>
      <c r="AP95" s="344" t="n">
        <f aca="false">IF(AP$92=$D95,$J95,0)</f>
        <v>0</v>
      </c>
      <c r="AQ95" s="344" t="n">
        <f aca="false">IF(AQ$92=$D95,$J95,0)</f>
        <v>0</v>
      </c>
      <c r="AR95" s="344" t="n">
        <f aca="false">IF(AR$92=$D95,$J95,0)</f>
        <v>0</v>
      </c>
      <c r="AS95" s="344" t="n">
        <f aca="false">IF(AS$92=$D95,$J95,0)</f>
        <v>0</v>
      </c>
      <c r="AT95" s="344" t="n">
        <f aca="false">IF(AT$92=$D95,$J95,0)</f>
        <v>0</v>
      </c>
      <c r="AU95" s="344" t="n">
        <f aca="false">IF(AU$92=$D95,$J95,0)</f>
        <v>0</v>
      </c>
      <c r="AV95" s="344" t="n">
        <f aca="false">IF(AV$92=$D95,$J95,0)</f>
        <v>0</v>
      </c>
      <c r="AW95" s="344" t="n">
        <f aca="false">IF(AW$92=$D95,$J95,0)</f>
        <v>0</v>
      </c>
      <c r="AX95" s="344" t="n">
        <f aca="false">IF(AX$92=$D95,$J95,0)</f>
        <v>0</v>
      </c>
      <c r="AY95" s="344" t="n">
        <f aca="false">IF(AY$92=$D95,$J95,0)</f>
        <v>0</v>
      </c>
      <c r="AZ95" s="344" t="n">
        <f aca="false">IF(AZ$92=$D95,$J95,0)</f>
        <v>0</v>
      </c>
    </row>
    <row r="96" customFormat="false" ht="12.75" hidden="false" customHeight="false" outlineLevel="0" collapsed="false">
      <c r="A96" s="344" t="s">
        <v>70</v>
      </c>
      <c r="B96" s="413"/>
      <c r="C96" s="344" t="s">
        <v>549</v>
      </c>
      <c r="D96" s="344" t="s">
        <v>533</v>
      </c>
      <c r="E96" s="445" t="n">
        <v>91.41</v>
      </c>
      <c r="F96" s="344" t="n">
        <v>-8</v>
      </c>
      <c r="G96" s="443" t="n">
        <v>90.3386</v>
      </c>
      <c r="H96" s="344" t="n">
        <v>87.1797</v>
      </c>
      <c r="I96" s="414" t="n">
        <f aca="false">G96*F96</f>
        <v>-722.7088</v>
      </c>
      <c r="J96" s="414" t="n">
        <f aca="false">H96*F96</f>
        <v>-697.4376</v>
      </c>
      <c r="K96" s="414" t="n">
        <f aca="false">(H96-E96)*F96</f>
        <v>33.8424</v>
      </c>
      <c r="L96" s="444" t="n">
        <f aca="false">(H96-G96)*F96</f>
        <v>25.2712</v>
      </c>
      <c r="M96" s="268" t="n">
        <f aca="false">+(H96-E96)/E96</f>
        <v>-0.0462783065310141</v>
      </c>
      <c r="N96" s="408" t="n">
        <f aca="false">F96*E96</f>
        <v>-731.28</v>
      </c>
      <c r="O96" s="414"/>
      <c r="V96" s="344" t="n">
        <f aca="false">IF(V$92=$D96,$J96,0)</f>
        <v>0</v>
      </c>
      <c r="W96" s="441" t="n">
        <f aca="false">IF(W$92=$D96,$J96,0)</f>
        <v>-697.4376</v>
      </c>
      <c r="X96" s="344" t="n">
        <f aca="false">IF(X$92=$D96,$J96,0)</f>
        <v>0</v>
      </c>
      <c r="Y96" s="344" t="n">
        <f aca="false">IF(Y$92=$D96,$J96,0)</f>
        <v>0</v>
      </c>
      <c r="Z96" s="344" t="n">
        <f aca="false">IF(Z$92=$D96,$J96,0)</f>
        <v>0</v>
      </c>
      <c r="AA96" s="344" t="n">
        <f aca="false">IF(AA$92=$D96,$J96,0)</f>
        <v>0</v>
      </c>
      <c r="AB96" s="344" t="n">
        <f aca="false">IF(AB$92=$D96,$J96,0)</f>
        <v>0</v>
      </c>
      <c r="AC96" s="344" t="n">
        <f aca="false">IF(AC$92=$D96,$J96,0)</f>
        <v>0</v>
      </c>
      <c r="AD96" s="344" t="n">
        <f aca="false">IF(AD$92=$D96,$J96,0)</f>
        <v>0</v>
      </c>
      <c r="AE96" s="344" t="n">
        <f aca="false">IF(AE$92=$D96,$J96,0)</f>
        <v>0</v>
      </c>
      <c r="AF96" s="344" t="n">
        <f aca="false">IF(AF$92=$D96,$J96,0)</f>
        <v>0</v>
      </c>
      <c r="AG96" s="344" t="n">
        <f aca="false">IF(AG$92=$D96,$J96,0)</f>
        <v>0</v>
      </c>
      <c r="AH96" s="344" t="n">
        <f aca="false">IF(AH$92=$D96,$J96,0)</f>
        <v>0</v>
      </c>
      <c r="AI96" s="344" t="n">
        <f aca="false">IF(AI$92=$D96,$J96,0)</f>
        <v>0</v>
      </c>
      <c r="AJ96" s="344" t="n">
        <f aca="false">IF(AJ$92=$D96,$J96,0)</f>
        <v>0</v>
      </c>
      <c r="AK96" s="344" t="n">
        <f aca="false">IF(AK$92=$D96,$J96,0)</f>
        <v>0</v>
      </c>
      <c r="AL96" s="344" t="n">
        <f aca="false">IF(AL$92=$D96,$J96,0)</f>
        <v>0</v>
      </c>
      <c r="AM96" s="344" t="n">
        <f aca="false">IF(AM$92=$D96,$J96,0)</f>
        <v>0</v>
      </c>
      <c r="AN96" s="344" t="n">
        <f aca="false">IF(AN$92=$D96,$J96,0)</f>
        <v>0</v>
      </c>
      <c r="AO96" s="344" t="n">
        <f aca="false">IF(AO$92=$D96,$J96,0)</f>
        <v>0</v>
      </c>
      <c r="AP96" s="344" t="n">
        <f aca="false">IF(AP$92=$D96,$J96,0)</f>
        <v>0</v>
      </c>
      <c r="AQ96" s="344" t="n">
        <f aca="false">IF(AQ$92=$D96,$J96,0)</f>
        <v>0</v>
      </c>
      <c r="AR96" s="344" t="n">
        <f aca="false">IF(AR$92=$D96,$J96,0)</f>
        <v>0</v>
      </c>
      <c r="AS96" s="344" t="n">
        <f aca="false">IF(AS$92=$D96,$J96,0)</f>
        <v>0</v>
      </c>
      <c r="AT96" s="344" t="n">
        <f aca="false">IF(AT$92=$D96,$J96,0)</f>
        <v>0</v>
      </c>
      <c r="AU96" s="344" t="n">
        <f aca="false">IF(AU$92=$D96,$J96,0)</f>
        <v>0</v>
      </c>
      <c r="AV96" s="344" t="n">
        <f aca="false">IF(AV$92=$D96,$J96,0)</f>
        <v>0</v>
      </c>
      <c r="AW96" s="344" t="n">
        <f aca="false">IF(AW$92=$D96,$J96,0)</f>
        <v>0</v>
      </c>
      <c r="AX96" s="344" t="n">
        <f aca="false">IF(AX$92=$D96,$J96,0)</f>
        <v>0</v>
      </c>
      <c r="AY96" s="344" t="n">
        <f aca="false">IF(AY$92=$D96,$J96,0)</f>
        <v>0</v>
      </c>
      <c r="AZ96" s="344" t="n">
        <f aca="false">IF(AZ$92=$D96,$J96,0)</f>
        <v>0</v>
      </c>
    </row>
    <row r="97" customFormat="false" ht="12.75" hidden="false" customHeight="false" outlineLevel="0" collapsed="false">
      <c r="A97" s="344" t="s">
        <v>70</v>
      </c>
      <c r="B97" s="413" t="n">
        <v>45860</v>
      </c>
      <c r="C97" s="344" t="s">
        <v>550</v>
      </c>
      <c r="D97" s="344" t="s">
        <v>200</v>
      </c>
      <c r="E97" s="433" t="n">
        <v>38</v>
      </c>
      <c r="F97" s="344" t="n">
        <v>-18</v>
      </c>
      <c r="G97" s="443" t="n">
        <v>28.3768</v>
      </c>
      <c r="H97" s="443" t="n">
        <f aca="false">Hoja1!H46</f>
        <v>38.29</v>
      </c>
      <c r="I97" s="414" t="n">
        <f aca="false">G97*F97</f>
        <v>-510.7824</v>
      </c>
      <c r="J97" s="414" t="n">
        <f aca="false">H97*F97</f>
        <v>-689.22</v>
      </c>
      <c r="K97" s="414" t="n">
        <f aca="false">(H97-E97)*F97</f>
        <v>-5.21999999999999</v>
      </c>
      <c r="L97" s="444" t="n">
        <f aca="false">(H97-G97)*F97</f>
        <v>-178.4376</v>
      </c>
      <c r="M97" s="268" t="n">
        <f aca="false">+(H97-E97)/E97</f>
        <v>0.0076315789473684</v>
      </c>
      <c r="N97" s="408" t="n">
        <f aca="false">F97*E97</f>
        <v>-684</v>
      </c>
      <c r="O97" s="414"/>
      <c r="V97" s="344" t="n">
        <f aca="false">IF(V$92=$D97,$J97,0)</f>
        <v>0</v>
      </c>
      <c r="W97" s="344" t="n">
        <f aca="false">IF(W$92=$D97,$J97,0)</f>
        <v>0</v>
      </c>
      <c r="X97" s="441" t="n">
        <f aca="false">IF(X$92=$D97,$J97,0)</f>
        <v>-689.22</v>
      </c>
      <c r="Y97" s="344" t="n">
        <f aca="false">IF(Y$92=$D97,$J97,0)</f>
        <v>0</v>
      </c>
      <c r="Z97" s="344" t="n">
        <f aca="false">IF(Z$92=$D97,$J97,0)</f>
        <v>0</v>
      </c>
      <c r="AA97" s="344" t="n">
        <f aca="false">IF(AA$92=$D97,$J97,0)</f>
        <v>0</v>
      </c>
      <c r="AB97" s="344" t="n">
        <f aca="false">IF(AB$92=$D97,$J97,0)</f>
        <v>0</v>
      </c>
      <c r="AC97" s="344" t="n">
        <f aca="false">IF(AC$92=$D97,$J97,0)</f>
        <v>0</v>
      </c>
      <c r="AD97" s="344" t="n">
        <f aca="false">IF(AD$92=$D97,$J97,0)</f>
        <v>0</v>
      </c>
      <c r="AE97" s="344" t="n">
        <f aca="false">IF(AE$92=$D97,$J97,0)</f>
        <v>0</v>
      </c>
      <c r="AF97" s="344" t="n">
        <f aca="false">IF(AF$92=$D97,$J97,0)</f>
        <v>0</v>
      </c>
      <c r="AG97" s="344" t="n">
        <f aca="false">IF(AG$92=$D97,$J97,0)</f>
        <v>0</v>
      </c>
      <c r="AH97" s="344" t="n">
        <f aca="false">IF(AH$92=$D97,$J97,0)</f>
        <v>0</v>
      </c>
      <c r="AI97" s="344" t="n">
        <f aca="false">IF(AI$92=$D97,$J97,0)</f>
        <v>0</v>
      </c>
      <c r="AJ97" s="344" t="n">
        <f aca="false">IF(AJ$92=$D97,$J97,0)</f>
        <v>0</v>
      </c>
      <c r="AK97" s="344" t="n">
        <f aca="false">IF(AK$92=$D97,$J97,0)</f>
        <v>0</v>
      </c>
      <c r="AL97" s="344" t="n">
        <f aca="false">IF(AL$92=$D97,$J97,0)</f>
        <v>0</v>
      </c>
      <c r="AM97" s="344" t="n">
        <f aca="false">IF(AM$92=$D97,$J97,0)</f>
        <v>0</v>
      </c>
      <c r="AN97" s="344" t="n">
        <f aca="false">IF(AN$92=$D97,$J97,0)</f>
        <v>0</v>
      </c>
      <c r="AO97" s="344" t="n">
        <f aca="false">IF(AO$92=$D97,$J97,0)</f>
        <v>0</v>
      </c>
      <c r="AP97" s="344" t="n">
        <f aca="false">IF(AP$92=$D97,$J97,0)</f>
        <v>0</v>
      </c>
      <c r="AQ97" s="344" t="n">
        <f aca="false">IF(AQ$92=$D97,$J97,0)</f>
        <v>0</v>
      </c>
      <c r="AR97" s="344" t="n">
        <f aca="false">IF(AR$92=$D97,$J97,0)</f>
        <v>0</v>
      </c>
      <c r="AS97" s="344" t="n">
        <f aca="false">IF(AS$92=$D97,$J97,0)</f>
        <v>0</v>
      </c>
      <c r="AT97" s="344" t="n">
        <f aca="false">IF(AT$92=$D97,$J97,0)</f>
        <v>0</v>
      </c>
      <c r="AU97" s="344" t="n">
        <f aca="false">IF(AU$92=$D97,$J97,0)</f>
        <v>0</v>
      </c>
      <c r="AV97" s="344" t="n">
        <f aca="false">IF(AV$92=$D97,$J97,0)</f>
        <v>0</v>
      </c>
      <c r="AW97" s="344" t="n">
        <f aca="false">IF(AW$92=$D97,$J97,0)</f>
        <v>0</v>
      </c>
      <c r="AX97" s="344" t="n">
        <f aca="false">IF(AX$92=$D97,$J97,0)</f>
        <v>0</v>
      </c>
      <c r="AY97" s="344" t="n">
        <f aca="false">IF(AY$92=$D97,$J97,0)</f>
        <v>0</v>
      </c>
      <c r="AZ97" s="344" t="n">
        <f aca="false">IF(AZ$92=$D97,$J97,0)</f>
        <v>0</v>
      </c>
    </row>
    <row r="98" customFormat="false" ht="12.75" hidden="false" customHeight="false" outlineLevel="0" collapsed="false">
      <c r="A98" s="344" t="s">
        <v>70</v>
      </c>
      <c r="B98" s="413" t="n">
        <v>45783</v>
      </c>
      <c r="C98" s="344" t="s">
        <v>551</v>
      </c>
      <c r="D98" s="344" t="s">
        <v>262</v>
      </c>
      <c r="E98" s="445" t="n">
        <v>1070.34</v>
      </c>
      <c r="F98" s="344" t="n">
        <v>-28</v>
      </c>
      <c r="G98" s="433" t="n">
        <v>917.8399</v>
      </c>
      <c r="H98" s="433" t="n">
        <f aca="false">Hoja1!H183</f>
        <v>1002.635</v>
      </c>
      <c r="I98" s="414" t="n">
        <f aca="false">G98*F98</f>
        <v>-25699.5172</v>
      </c>
      <c r="J98" s="414" t="n">
        <f aca="false">H98*F98</f>
        <v>-28073.78</v>
      </c>
      <c r="K98" s="414" t="n">
        <f aca="false">(H98-E98)*F98</f>
        <v>1895.74</v>
      </c>
      <c r="L98" s="444" t="n">
        <f aca="false">(H98-G98)*F98</f>
        <v>-2374.2628</v>
      </c>
      <c r="M98" s="268" t="n">
        <f aca="false">+(H98-E98)/E98</f>
        <v>-0.0632556010239736</v>
      </c>
      <c r="N98" s="408" t="n">
        <f aca="false">F98*E98</f>
        <v>-29969.52</v>
      </c>
      <c r="O98" s="414"/>
      <c r="V98" s="344" t="n">
        <f aca="false">IF(V$92=$D98,$J98,0)</f>
        <v>0</v>
      </c>
      <c r="W98" s="344" t="n">
        <f aca="false">IF(W$92=$D98,$J98,0)</f>
        <v>0</v>
      </c>
      <c r="X98" s="344" t="n">
        <f aca="false">IF(X$92=$D98,$J98,0)</f>
        <v>0</v>
      </c>
      <c r="Y98" s="441" t="n">
        <f aca="false">IF(Y$92=$D98,$J98,0)</f>
        <v>-28073.78</v>
      </c>
      <c r="Z98" s="344" t="n">
        <f aca="false">IF(Z$92=$D98,$J98,0)</f>
        <v>0</v>
      </c>
      <c r="AA98" s="344" t="n">
        <f aca="false">IF(AA$92=$D98,$J98,0)</f>
        <v>0</v>
      </c>
      <c r="AB98" s="344" t="n">
        <f aca="false">IF(AB$92=$D98,$J98,0)</f>
        <v>0</v>
      </c>
      <c r="AC98" s="344" t="n">
        <f aca="false">IF(AC$92=$D98,$J98,0)</f>
        <v>0</v>
      </c>
      <c r="AD98" s="344" t="n">
        <f aca="false">IF(AD$92=$D98,$J98,0)</f>
        <v>0</v>
      </c>
      <c r="AE98" s="344" t="n">
        <f aca="false">IF(AE$92=$D98,$J98,0)</f>
        <v>0</v>
      </c>
      <c r="AF98" s="344" t="n">
        <f aca="false">IF(AF$92=$D98,$J98,0)</f>
        <v>0</v>
      </c>
      <c r="AG98" s="344" t="n">
        <f aca="false">IF(AG$92=$D98,$J98,0)</f>
        <v>0</v>
      </c>
      <c r="AH98" s="344" t="n">
        <f aca="false">IF(AH$92=$D98,$J98,0)</f>
        <v>0</v>
      </c>
      <c r="AI98" s="344" t="n">
        <f aca="false">IF(AI$92=$D98,$J98,0)</f>
        <v>0</v>
      </c>
      <c r="AJ98" s="344" t="n">
        <f aca="false">IF(AJ$92=$D98,$J98,0)</f>
        <v>0</v>
      </c>
      <c r="AK98" s="344" t="n">
        <f aca="false">IF(AK$92=$D98,$J98,0)</f>
        <v>0</v>
      </c>
      <c r="AL98" s="344" t="n">
        <f aca="false">IF(AL$92=$D98,$J98,0)</f>
        <v>0</v>
      </c>
      <c r="AM98" s="344" t="n">
        <f aca="false">IF(AM$92=$D98,$J98,0)</f>
        <v>0</v>
      </c>
      <c r="AN98" s="344" t="n">
        <f aca="false">IF(AN$92=$D98,$J98,0)</f>
        <v>0</v>
      </c>
      <c r="AO98" s="344" t="n">
        <f aca="false">IF(AO$92=$D98,$J98,0)</f>
        <v>0</v>
      </c>
      <c r="AP98" s="344" t="n">
        <f aca="false">IF(AP$92=$D98,$J98,0)</f>
        <v>0</v>
      </c>
      <c r="AQ98" s="344" t="n">
        <f aca="false">IF(AQ$92=$D98,$J98,0)</f>
        <v>0</v>
      </c>
      <c r="AR98" s="344" t="n">
        <f aca="false">IF(AR$92=$D98,$J98,0)</f>
        <v>0</v>
      </c>
      <c r="AS98" s="344" t="n">
        <f aca="false">IF(AS$92=$D98,$J98,0)</f>
        <v>0</v>
      </c>
      <c r="AT98" s="344" t="n">
        <f aca="false">IF(AT$92=$D98,$J98,0)</f>
        <v>0</v>
      </c>
      <c r="AU98" s="344" t="n">
        <f aca="false">IF(AU$92=$D98,$J98,0)</f>
        <v>0</v>
      </c>
      <c r="AV98" s="344" t="n">
        <f aca="false">IF(AV$92=$D98,$J98,0)</f>
        <v>0</v>
      </c>
      <c r="AW98" s="344" t="n">
        <f aca="false">IF(AW$92=$D98,$J98,0)</f>
        <v>0</v>
      </c>
      <c r="AX98" s="344" t="n">
        <f aca="false">IF(AX$92=$D98,$J98,0)</f>
        <v>0</v>
      </c>
      <c r="AY98" s="344" t="n">
        <f aca="false">IF(AY$92=$D98,$J98,0)</f>
        <v>0</v>
      </c>
      <c r="AZ98" s="344" t="n">
        <f aca="false">IF(AZ$92=$D98,$J98,0)</f>
        <v>0</v>
      </c>
    </row>
    <row r="99" customFormat="false" ht="12.75" hidden="false" customHeight="false" outlineLevel="0" collapsed="false">
      <c r="A99" s="344" t="s">
        <v>70</v>
      </c>
      <c r="B99" s="413" t="n">
        <v>45782</v>
      </c>
      <c r="C99" s="344" t="s">
        <v>552</v>
      </c>
      <c r="D99" s="344" t="s">
        <v>534</v>
      </c>
      <c r="E99" s="445" t="n">
        <v>502.65</v>
      </c>
      <c r="F99" s="344" t="n">
        <v>-38</v>
      </c>
      <c r="G99" s="433" t="n">
        <f aca="false">(200*517.415+90*517.72+90*515.5444)/380</f>
        <v>517.0442</v>
      </c>
      <c r="H99" s="433" t="n">
        <f aca="false">Hoja1!H182</f>
        <v>480.04</v>
      </c>
      <c r="I99" s="414" t="n">
        <f aca="false">G99*F99</f>
        <v>-19647.6796</v>
      </c>
      <c r="J99" s="414" t="n">
        <f aca="false">H99*F99</f>
        <v>-18241.52</v>
      </c>
      <c r="K99" s="414" t="n">
        <f aca="false">(H99-E99)*F99</f>
        <v>859.180000000001</v>
      </c>
      <c r="L99" s="444" t="n">
        <f aca="false">(H99-G99)*F99</f>
        <v>1406.1596</v>
      </c>
      <c r="M99" s="268" t="n">
        <f aca="false">+(H99-E99)/E99</f>
        <v>-0.0449815975330747</v>
      </c>
      <c r="N99" s="408" t="n">
        <f aca="false">F99*E99</f>
        <v>-19100.7</v>
      </c>
      <c r="O99" s="414"/>
      <c r="V99" s="344" t="n">
        <f aca="false">IF(V$92=$D99,$J99,0)</f>
        <v>0</v>
      </c>
      <c r="W99" s="344" t="n">
        <f aca="false">IF(W$92=$D99,$J99,0)</f>
        <v>0</v>
      </c>
      <c r="X99" s="344" t="n">
        <f aca="false">IF(X$92=$D99,$J99,0)</f>
        <v>0</v>
      </c>
      <c r="Y99" s="344" t="n">
        <f aca="false">IF(Y$92=$D99,$J99,0)</f>
        <v>0</v>
      </c>
      <c r="Z99" s="441" t="n">
        <f aca="false">IF(Z$92=$D99,$J99,0)</f>
        <v>-18241.52</v>
      </c>
      <c r="AA99" s="344" t="n">
        <f aca="false">IF(AA$92=$D99,$J99,0)</f>
        <v>0</v>
      </c>
      <c r="AB99" s="344" t="n">
        <f aca="false">IF(AB$92=$D99,$J99,0)</f>
        <v>0</v>
      </c>
      <c r="AC99" s="344" t="n">
        <f aca="false">IF(AC$92=$D99,$J99,0)</f>
        <v>0</v>
      </c>
      <c r="AD99" s="344" t="n">
        <f aca="false">IF(AD$92=$D99,$J99,0)</f>
        <v>0</v>
      </c>
      <c r="AE99" s="344" t="n">
        <f aca="false">IF(AE$92=$D99,$J99,0)</f>
        <v>0</v>
      </c>
      <c r="AF99" s="344" t="n">
        <f aca="false">IF(AF$92=$D99,$J99,0)</f>
        <v>0</v>
      </c>
      <c r="AG99" s="344" t="n">
        <f aca="false">IF(AG$92=$D99,$J99,0)</f>
        <v>0</v>
      </c>
      <c r="AH99" s="344" t="n">
        <f aca="false">IF(AH$92=$D99,$J99,0)</f>
        <v>0</v>
      </c>
      <c r="AI99" s="344" t="n">
        <f aca="false">IF(AI$92=$D99,$J99,0)</f>
        <v>0</v>
      </c>
      <c r="AJ99" s="344" t="n">
        <f aca="false">IF(AJ$92=$D99,$J99,0)</f>
        <v>0</v>
      </c>
      <c r="AK99" s="344" t="n">
        <f aca="false">IF(AK$92=$D99,$J99,0)</f>
        <v>0</v>
      </c>
      <c r="AL99" s="344" t="n">
        <f aca="false">IF(AL$92=$D99,$J99,0)</f>
        <v>0</v>
      </c>
      <c r="AM99" s="344" t="n">
        <f aca="false">IF(AM$92=$D99,$J99,0)</f>
        <v>0</v>
      </c>
      <c r="AN99" s="344" t="n">
        <f aca="false">IF(AN$92=$D99,$J99,0)</f>
        <v>0</v>
      </c>
      <c r="AO99" s="344" t="n">
        <f aca="false">IF(AO$92=$D99,$J99,0)</f>
        <v>0</v>
      </c>
      <c r="AP99" s="344" t="n">
        <f aca="false">IF(AP$92=$D99,$J99,0)</f>
        <v>0</v>
      </c>
      <c r="AQ99" s="344" t="n">
        <f aca="false">IF(AQ$92=$D99,$J99,0)</f>
        <v>0</v>
      </c>
      <c r="AR99" s="344" t="n">
        <f aca="false">IF(AR$92=$D99,$J99,0)</f>
        <v>0</v>
      </c>
      <c r="AS99" s="344" t="n">
        <f aca="false">IF(AS$92=$D99,$J99,0)</f>
        <v>0</v>
      </c>
      <c r="AT99" s="344" t="n">
        <f aca="false">IF(AT$92=$D99,$J99,0)</f>
        <v>0</v>
      </c>
      <c r="AU99" s="344" t="n">
        <f aca="false">IF(AU$92=$D99,$J99,0)</f>
        <v>0</v>
      </c>
      <c r="AV99" s="344" t="n">
        <f aca="false">IF(AV$92=$D99,$J99,0)</f>
        <v>0</v>
      </c>
      <c r="AW99" s="344" t="n">
        <f aca="false">IF(AW$92=$D99,$J99,0)</f>
        <v>0</v>
      </c>
      <c r="AX99" s="344" t="n">
        <f aca="false">IF(AX$92=$D99,$J99,0)</f>
        <v>0</v>
      </c>
      <c r="AY99" s="344" t="n">
        <f aca="false">IF(AY$92=$D99,$J99,0)</f>
        <v>0</v>
      </c>
      <c r="AZ99" s="344" t="n">
        <f aca="false">IF(AZ$92=$D99,$J99,0)</f>
        <v>0</v>
      </c>
    </row>
    <row r="100" customFormat="false" ht="12.75" hidden="false" customHeight="false" outlineLevel="0" collapsed="false">
      <c r="A100" s="344" t="s">
        <v>70</v>
      </c>
      <c r="B100" s="413"/>
      <c r="C100" s="344" t="s">
        <v>553</v>
      </c>
      <c r="D100" s="344" t="s">
        <v>535</v>
      </c>
      <c r="E100" s="433" t="n">
        <v>79.3</v>
      </c>
      <c r="F100" s="344" t="n">
        <v>-48</v>
      </c>
      <c r="G100" s="443" t="n">
        <v>229.7046</v>
      </c>
      <c r="H100" s="443" t="n">
        <v>118.7721</v>
      </c>
      <c r="I100" s="414" t="n">
        <f aca="false">G100*F100</f>
        <v>-11025.8208</v>
      </c>
      <c r="J100" s="414" t="n">
        <f aca="false">H100*F100</f>
        <v>-5701.0608</v>
      </c>
      <c r="K100" s="414" t="n">
        <f aca="false">(H100-E100)*F100</f>
        <v>-1894.6608</v>
      </c>
      <c r="L100" s="444" t="n">
        <f aca="false">(H100-G100)*F100</f>
        <v>5324.76</v>
      </c>
      <c r="M100" s="268" t="n">
        <f aca="false">+(H100-E100)/E100</f>
        <v>0.497756620428752</v>
      </c>
      <c r="N100" s="408" t="n">
        <f aca="false">F100*E100</f>
        <v>-3806.4</v>
      </c>
      <c r="O100" s="42" t="n">
        <v>0.5</v>
      </c>
      <c r="P100" s="441" t="n">
        <f aca="false">O100*J100</f>
        <v>-2850.5304</v>
      </c>
      <c r="V100" s="344" t="n">
        <f aca="false">IF(V$92=$D100,$J100,0)</f>
        <v>0</v>
      </c>
      <c r="W100" s="344" t="n">
        <f aca="false">IF(W$92=$D100,$J100,0)</f>
        <v>0</v>
      </c>
      <c r="X100" s="344" t="n">
        <f aca="false">IF(X$92=$D100,$J100,0)</f>
        <v>0</v>
      </c>
      <c r="Y100" s="344" t="n">
        <f aca="false">IF(Y$92=$D100,$J100,0)</f>
        <v>0</v>
      </c>
      <c r="Z100" s="344" t="n">
        <f aca="false">IF(Z$92=$D100,$J100,0)</f>
        <v>0</v>
      </c>
      <c r="AA100" s="441" t="n">
        <f aca="false">IF(AA$92=$D100,$J100,0)</f>
        <v>-5701.0608</v>
      </c>
      <c r="AB100" s="344" t="n">
        <f aca="false">IF(AB$92=$D100,$J100,0)</f>
        <v>0</v>
      </c>
      <c r="AC100" s="344" t="n">
        <f aca="false">IF(AC$92=$D100,$J100,0)</f>
        <v>0</v>
      </c>
      <c r="AD100" s="344" t="n">
        <f aca="false">IF(AD$92=$D100,$J100,0)</f>
        <v>0</v>
      </c>
      <c r="AE100" s="344" t="n">
        <f aca="false">IF(AE$92=$D100,$J100,0)</f>
        <v>0</v>
      </c>
      <c r="AF100" s="344" t="n">
        <f aca="false">IF(AF$92=$D100,$J100,0)</f>
        <v>0</v>
      </c>
      <c r="AG100" s="344" t="n">
        <f aca="false">IF(AG$92=$D100,$J100,0)</f>
        <v>0</v>
      </c>
      <c r="AH100" s="344" t="n">
        <f aca="false">IF(AH$92=$D100,$J100,0)</f>
        <v>0</v>
      </c>
      <c r="AI100" s="344" t="n">
        <f aca="false">IF(AI$92=$D100,$J100,0)</f>
        <v>0</v>
      </c>
      <c r="AJ100" s="344" t="n">
        <f aca="false">IF(AJ$92=$D100,$J100,0)</f>
        <v>0</v>
      </c>
      <c r="AK100" s="344" t="n">
        <f aca="false">IF(AK$92=$D100,$J100,0)</f>
        <v>0</v>
      </c>
      <c r="AL100" s="344" t="n">
        <f aca="false">IF(AL$92=$D100,$J100,0)</f>
        <v>0</v>
      </c>
      <c r="AM100" s="344" t="n">
        <f aca="false">IF(AM$92=$D100,$J100,0)</f>
        <v>0</v>
      </c>
      <c r="AN100" s="344" t="n">
        <f aca="false">IF(AN$92=$D100,$J100,0)</f>
        <v>0</v>
      </c>
      <c r="AO100" s="344" t="n">
        <f aca="false">IF(AO$92=$D100,$J100,0)</f>
        <v>0</v>
      </c>
      <c r="AP100" s="344" t="n">
        <f aca="false">IF(AP$92=$D100,$J100,0)</f>
        <v>0</v>
      </c>
      <c r="AQ100" s="344" t="n">
        <f aca="false">IF(AQ$92=$D100,$J100,0)</f>
        <v>0</v>
      </c>
      <c r="AR100" s="344" t="n">
        <f aca="false">IF(AR$92=$D100,$J100,0)</f>
        <v>0</v>
      </c>
      <c r="AS100" s="344" t="n">
        <f aca="false">IF(AS$92=$D100,$J100,0)</f>
        <v>0</v>
      </c>
      <c r="AT100" s="344" t="n">
        <f aca="false">IF(AT$92=$D100,$J100,0)</f>
        <v>0</v>
      </c>
      <c r="AU100" s="344" t="n">
        <f aca="false">IF(AU$92=$D100,$J100,0)</f>
        <v>0</v>
      </c>
      <c r="AV100" s="344" t="n">
        <f aca="false">IF(AV$92=$D100,$J100,0)</f>
        <v>0</v>
      </c>
      <c r="AW100" s="344" t="n">
        <f aca="false">IF(AW$92=$D100,$J100,0)</f>
        <v>0</v>
      </c>
      <c r="AX100" s="344" t="n">
        <f aca="false">IF(AX$92=$D100,$J100,0)</f>
        <v>0</v>
      </c>
      <c r="AY100" s="344" t="n">
        <f aca="false">IF(AY$92=$D100,$J100,0)</f>
        <v>0</v>
      </c>
      <c r="AZ100" s="344" t="n">
        <f aca="false">IF(AZ$92=$D100,$J100,0)</f>
        <v>0</v>
      </c>
    </row>
    <row r="101" customFormat="false" ht="12.75" hidden="false" customHeight="false" outlineLevel="0" collapsed="false">
      <c r="A101" s="344" t="s">
        <v>70</v>
      </c>
      <c r="B101" s="413" t="n">
        <v>45873</v>
      </c>
      <c r="C101" s="344" t="s">
        <v>141</v>
      </c>
      <c r="D101" s="344" t="s">
        <v>143</v>
      </c>
      <c r="E101" s="433" t="n">
        <v>50.86</v>
      </c>
      <c r="F101" s="344" t="n">
        <v>-58</v>
      </c>
      <c r="G101" s="443" t="n">
        <v>44.17</v>
      </c>
      <c r="H101" s="443" t="n">
        <f aca="false">Hoja1!H174</f>
        <v>49.635</v>
      </c>
      <c r="I101" s="414" t="n">
        <f aca="false">G101*F101</f>
        <v>-2561.86</v>
      </c>
      <c r="J101" s="414" t="n">
        <f aca="false">H101*F101</f>
        <v>-2878.83</v>
      </c>
      <c r="K101" s="414" t="n">
        <f aca="false">(H101-E101)*F101</f>
        <v>71.0499999999997</v>
      </c>
      <c r="L101" s="444" t="n">
        <f aca="false">(H101-G101)*F101</f>
        <v>-316.97</v>
      </c>
      <c r="M101" s="268" t="n">
        <f aca="false">+(H101-E101)/E101</f>
        <v>-0.024085725521038</v>
      </c>
      <c r="N101" s="408" t="n">
        <f aca="false">F101*E101</f>
        <v>-2949.88</v>
      </c>
      <c r="O101" s="42" t="n">
        <v>0.75</v>
      </c>
      <c r="P101" s="441" t="n">
        <f aca="false">O101*J101</f>
        <v>-2159.1225</v>
      </c>
      <c r="V101" s="344" t="n">
        <f aca="false">IF(V$92=$D101,$J101,0)</f>
        <v>0</v>
      </c>
      <c r="W101" s="344" t="n">
        <f aca="false">IF(W$92=$D101,$J101,0)</f>
        <v>0</v>
      </c>
      <c r="X101" s="344" t="n">
        <f aca="false">IF(X$92=$D101,$J101,0)</f>
        <v>0</v>
      </c>
      <c r="Y101" s="344" t="n">
        <f aca="false">IF(Y$92=$D101,$J101,0)</f>
        <v>0</v>
      </c>
      <c r="Z101" s="344" t="n">
        <f aca="false">IF(Z$92=$D101,$J101,0)</f>
        <v>0</v>
      </c>
      <c r="AA101" s="344" t="n">
        <f aca="false">IF(AA$92=$D101,$J101,0)</f>
        <v>0</v>
      </c>
      <c r="AB101" s="441" t="n">
        <f aca="false">IF(AB$92=$D101,$J101,0)</f>
        <v>-2878.83</v>
      </c>
      <c r="AC101" s="344" t="n">
        <f aca="false">IF(AC$92=$D101,$J101,0)</f>
        <v>0</v>
      </c>
      <c r="AD101" s="344" t="n">
        <f aca="false">IF(AD$92=$D101,$J101,0)</f>
        <v>0</v>
      </c>
      <c r="AE101" s="344" t="n">
        <f aca="false">IF(AE$92=$D101,$J101,0)</f>
        <v>0</v>
      </c>
      <c r="AF101" s="344" t="n">
        <f aca="false">IF(AF$92=$D101,$J101,0)</f>
        <v>0</v>
      </c>
      <c r="AG101" s="344" t="n">
        <f aca="false">IF(AG$92=$D101,$J101,0)</f>
        <v>0</v>
      </c>
      <c r="AH101" s="344" t="n">
        <f aca="false">IF(AH$92=$D101,$J101,0)</f>
        <v>0</v>
      </c>
      <c r="AI101" s="344" t="n">
        <f aca="false">IF(AI$92=$D101,$J101,0)</f>
        <v>0</v>
      </c>
      <c r="AJ101" s="344" t="n">
        <f aca="false">IF(AJ$92=$D101,$J101,0)</f>
        <v>0</v>
      </c>
      <c r="AK101" s="344" t="n">
        <f aca="false">IF(AK$92=$D101,$J101,0)</f>
        <v>0</v>
      </c>
      <c r="AL101" s="344" t="n">
        <f aca="false">IF(AL$92=$D101,$J101,0)</f>
        <v>0</v>
      </c>
      <c r="AM101" s="344" t="n">
        <f aca="false">IF(AM$92=$D101,$J101,0)</f>
        <v>0</v>
      </c>
      <c r="AN101" s="344" t="n">
        <f aca="false">IF(AN$92=$D101,$J101,0)</f>
        <v>0</v>
      </c>
      <c r="AO101" s="344" t="n">
        <f aca="false">IF(AO$92=$D101,$J101,0)</f>
        <v>0</v>
      </c>
      <c r="AP101" s="344" t="n">
        <f aca="false">IF(AP$92=$D101,$J101,0)</f>
        <v>0</v>
      </c>
      <c r="AQ101" s="344" t="n">
        <f aca="false">IF(AQ$92=$D101,$J101,0)</f>
        <v>0</v>
      </c>
      <c r="AR101" s="344" t="n">
        <f aca="false">IF(AR$92=$D101,$J101,0)</f>
        <v>0</v>
      </c>
      <c r="AS101" s="344" t="n">
        <f aca="false">IF(AS$92=$D101,$J101,0)</f>
        <v>0</v>
      </c>
      <c r="AT101" s="344" t="n">
        <f aca="false">IF(AT$92=$D101,$J101,0)</f>
        <v>0</v>
      </c>
      <c r="AU101" s="344" t="n">
        <f aca="false">IF(AU$92=$D101,$J101,0)</f>
        <v>0</v>
      </c>
      <c r="AV101" s="344" t="n">
        <f aca="false">IF(AV$92=$D101,$J101,0)</f>
        <v>0</v>
      </c>
      <c r="AW101" s="344" t="n">
        <f aca="false">IF(AW$92=$D101,$J101,0)</f>
        <v>0</v>
      </c>
      <c r="AX101" s="344" t="n">
        <f aca="false">IF(AX$92=$D101,$J101,0)</f>
        <v>0</v>
      </c>
      <c r="AY101" s="344" t="n">
        <f aca="false">IF(AY$92=$D101,$J101,0)</f>
        <v>0</v>
      </c>
      <c r="AZ101" s="344" t="n">
        <f aca="false">IF(AZ$92=$D101,$J101,0)</f>
        <v>0</v>
      </c>
    </row>
    <row r="102" customFormat="false" ht="12.75" hidden="false" customHeight="false" outlineLevel="0" collapsed="false">
      <c r="A102" s="344" t="s">
        <v>70</v>
      </c>
      <c r="B102" s="413" t="n">
        <v>45940</v>
      </c>
      <c r="C102" s="344" t="s">
        <v>141</v>
      </c>
      <c r="D102" s="344" t="s">
        <v>143</v>
      </c>
      <c r="E102" s="433" t="n">
        <v>50.86</v>
      </c>
      <c r="F102" s="344" t="n">
        <v>-68</v>
      </c>
      <c r="G102" s="443" t="n">
        <v>49.2772</v>
      </c>
      <c r="H102" s="443" t="n">
        <f aca="false">Hoja1!H174</f>
        <v>49.635</v>
      </c>
      <c r="I102" s="414" t="n">
        <f aca="false">G102*F102</f>
        <v>-3350.8496</v>
      </c>
      <c r="J102" s="414" t="n">
        <f aca="false">H102*F102</f>
        <v>-3375.18</v>
      </c>
      <c r="K102" s="414" t="n">
        <f aca="false">(H102-E102)*F102</f>
        <v>83.2999999999996</v>
      </c>
      <c r="L102" s="444" t="n">
        <f aca="false">(H102-G102)*F102</f>
        <v>-24.3304000000003</v>
      </c>
      <c r="M102" s="268" t="n">
        <f aca="false">+(H102-E102)/E102</f>
        <v>-0.024085725521038</v>
      </c>
      <c r="N102" s="408" t="n">
        <f aca="false">F102*E102</f>
        <v>-3458.48</v>
      </c>
      <c r="O102" s="42" t="n">
        <v>0.5</v>
      </c>
      <c r="P102" s="441" t="n">
        <f aca="false">O102*J102</f>
        <v>-1687.59</v>
      </c>
      <c r="V102" s="344" t="n">
        <f aca="false">IF(V$92=$D102,$J102,0)</f>
        <v>0</v>
      </c>
      <c r="W102" s="344" t="n">
        <f aca="false">IF(W$92=$D102,$J102,0)</f>
        <v>0</v>
      </c>
      <c r="X102" s="344" t="n">
        <f aca="false">IF(X$92=$D102,$J102,0)</f>
        <v>0</v>
      </c>
      <c r="Y102" s="344" t="n">
        <f aca="false">IF(Y$92=$D102,$J102,0)</f>
        <v>0</v>
      </c>
      <c r="Z102" s="344" t="n">
        <f aca="false">IF(Z$92=$D102,$J102,0)</f>
        <v>0</v>
      </c>
      <c r="AA102" s="344" t="n">
        <f aca="false">IF(AA$92=$D102,$J102,0)</f>
        <v>0</v>
      </c>
      <c r="AB102" s="441" t="n">
        <f aca="false">IF(AB$92=$D102,$J102,0)</f>
        <v>-3375.18</v>
      </c>
      <c r="AC102" s="344" t="n">
        <f aca="false">IF(AC$92=$D102,$J102,0)</f>
        <v>0</v>
      </c>
      <c r="AD102" s="344" t="n">
        <f aca="false">IF(AD$92=$D102,$J102,0)</f>
        <v>0</v>
      </c>
      <c r="AE102" s="344" t="n">
        <f aca="false">IF(AE$92=$D102,$J102,0)</f>
        <v>0</v>
      </c>
      <c r="AF102" s="344" t="n">
        <f aca="false">IF(AF$92=$D102,$J102,0)</f>
        <v>0</v>
      </c>
      <c r="AG102" s="344" t="n">
        <f aca="false">IF(AG$92=$D102,$J102,0)</f>
        <v>0</v>
      </c>
      <c r="AH102" s="344" t="n">
        <f aca="false">IF(AH$92=$D102,$J102,0)</f>
        <v>0</v>
      </c>
      <c r="AI102" s="344" t="n">
        <f aca="false">IF(AI$92=$D102,$J102,0)</f>
        <v>0</v>
      </c>
      <c r="AJ102" s="344" t="n">
        <f aca="false">IF(AJ$92=$D102,$J102,0)</f>
        <v>0</v>
      </c>
      <c r="AK102" s="344" t="n">
        <f aca="false">IF(AK$92=$D102,$J102,0)</f>
        <v>0</v>
      </c>
      <c r="AL102" s="344" t="n">
        <f aca="false">IF(AL$92=$D102,$J102,0)</f>
        <v>0</v>
      </c>
      <c r="AM102" s="344" t="n">
        <f aca="false">IF(AM$92=$D102,$J102,0)</f>
        <v>0</v>
      </c>
      <c r="AN102" s="344" t="n">
        <f aca="false">IF(AN$92=$D102,$J102,0)</f>
        <v>0</v>
      </c>
      <c r="AO102" s="344" t="n">
        <f aca="false">IF(AO$92=$D102,$J102,0)</f>
        <v>0</v>
      </c>
      <c r="AP102" s="344" t="n">
        <f aca="false">IF(AP$92=$D102,$J102,0)</f>
        <v>0</v>
      </c>
      <c r="AQ102" s="344" t="n">
        <f aca="false">IF(AQ$92=$D102,$J102,0)</f>
        <v>0</v>
      </c>
      <c r="AR102" s="344" t="n">
        <f aca="false">IF(AR$92=$D102,$J102,0)</f>
        <v>0</v>
      </c>
      <c r="AS102" s="344" t="n">
        <f aca="false">IF(AS$92=$D102,$J102,0)</f>
        <v>0</v>
      </c>
      <c r="AT102" s="344" t="n">
        <f aca="false">IF(AT$92=$D102,$J102,0)</f>
        <v>0</v>
      </c>
      <c r="AU102" s="344" t="n">
        <f aca="false">IF(AU$92=$D102,$J102,0)</f>
        <v>0</v>
      </c>
      <c r="AV102" s="344" t="n">
        <f aca="false">IF(AV$92=$D102,$J102,0)</f>
        <v>0</v>
      </c>
      <c r="AW102" s="344" t="n">
        <f aca="false">IF(AW$92=$D102,$J102,0)</f>
        <v>0</v>
      </c>
      <c r="AX102" s="344" t="n">
        <f aca="false">IF(AX$92=$D102,$J102,0)</f>
        <v>0</v>
      </c>
      <c r="AY102" s="344" t="n">
        <f aca="false">IF(AY$92=$D102,$J102,0)</f>
        <v>0</v>
      </c>
      <c r="AZ102" s="344" t="n">
        <f aca="false">IF(AZ$92=$D102,$J102,0)</f>
        <v>0</v>
      </c>
    </row>
    <row r="103" customFormat="false" ht="12.75" hidden="false" customHeight="false" outlineLevel="0" collapsed="false">
      <c r="A103" s="344" t="s">
        <v>70</v>
      </c>
      <c r="B103" s="413" t="n">
        <v>45950</v>
      </c>
      <c r="C103" s="344" t="s">
        <v>141</v>
      </c>
      <c r="D103" s="344" t="s">
        <v>143</v>
      </c>
      <c r="E103" s="433" t="n">
        <v>50.86</v>
      </c>
      <c r="F103" s="344" t="n">
        <v>-78</v>
      </c>
      <c r="G103" s="443" t="n">
        <v>51.12</v>
      </c>
      <c r="H103" s="443" t="n">
        <f aca="false">Hoja1!H174</f>
        <v>49.635</v>
      </c>
      <c r="I103" s="414" t="n">
        <f aca="false">G103*F103</f>
        <v>-3987.36</v>
      </c>
      <c r="J103" s="414" t="n">
        <f aca="false">H103*F103</f>
        <v>-3871.53</v>
      </c>
      <c r="K103" s="414" t="n">
        <f aca="false">(H103-E103)*F103</f>
        <v>95.5499999999996</v>
      </c>
      <c r="L103" s="444" t="n">
        <f aca="false">(H103-G103)*F103</f>
        <v>115.829999999999</v>
      </c>
      <c r="M103" s="268" t="n">
        <f aca="false">+(H103-E103)/E103</f>
        <v>-0.024085725521038</v>
      </c>
      <c r="N103" s="408" t="n">
        <f aca="false">F103*E103</f>
        <v>-3967.08</v>
      </c>
      <c r="O103" s="42" t="n">
        <v>0.5</v>
      </c>
      <c r="P103" s="441" t="n">
        <f aca="false">O103*J103</f>
        <v>-1935.765</v>
      </c>
      <c r="S103" s="344" t="s">
        <v>554</v>
      </c>
      <c r="V103" s="344" t="n">
        <f aca="false">IF(V$92=$D103,$J103,0)</f>
        <v>0</v>
      </c>
      <c r="W103" s="344" t="n">
        <f aca="false">IF(W$92=$D103,$J103,0)</f>
        <v>0</v>
      </c>
      <c r="X103" s="344" t="n">
        <f aca="false">IF(X$92=$D103,$J103,0)</f>
        <v>0</v>
      </c>
      <c r="Y103" s="344" t="n">
        <f aca="false">IF(Y$92=$D103,$J103,0)</f>
        <v>0</v>
      </c>
      <c r="Z103" s="344" t="n">
        <f aca="false">IF(Z$92=$D103,$J103,0)</f>
        <v>0</v>
      </c>
      <c r="AA103" s="344" t="n">
        <f aca="false">IF(AA$92=$D103,$J103,0)</f>
        <v>0</v>
      </c>
      <c r="AB103" s="441" t="n">
        <f aca="false">IF(AB$92=$D103,$J103,0)</f>
        <v>-3871.53</v>
      </c>
      <c r="AC103" s="344" t="n">
        <f aca="false">IF(AC$92=$D103,$J103,0)</f>
        <v>0</v>
      </c>
      <c r="AD103" s="344" t="n">
        <f aca="false">IF(AD$92=$D103,$J103,0)</f>
        <v>0</v>
      </c>
      <c r="AE103" s="344" t="n">
        <f aca="false">IF(AE$92=$D103,$J103,0)</f>
        <v>0</v>
      </c>
      <c r="AF103" s="344" t="n">
        <f aca="false">IF(AF$92=$D103,$J103,0)</f>
        <v>0</v>
      </c>
      <c r="AG103" s="344" t="n">
        <f aca="false">IF(AG$92=$D103,$J103,0)</f>
        <v>0</v>
      </c>
      <c r="AH103" s="344" t="n">
        <f aca="false">IF(AH$92=$D103,$J103,0)</f>
        <v>0</v>
      </c>
      <c r="AI103" s="344" t="n">
        <f aca="false">IF(AI$92=$D103,$J103,0)</f>
        <v>0</v>
      </c>
      <c r="AJ103" s="344" t="n">
        <f aca="false">IF(AJ$92=$D103,$J103,0)</f>
        <v>0</v>
      </c>
      <c r="AK103" s="344" t="n">
        <f aca="false">IF(AK$92=$D103,$J103,0)</f>
        <v>0</v>
      </c>
      <c r="AL103" s="344" t="n">
        <f aca="false">IF(AL$92=$D103,$J103,0)</f>
        <v>0</v>
      </c>
      <c r="AM103" s="344" t="n">
        <f aca="false">IF(AM$92=$D103,$J103,0)</f>
        <v>0</v>
      </c>
      <c r="AN103" s="344" t="n">
        <f aca="false">IF(AN$92=$D103,$J103,0)</f>
        <v>0</v>
      </c>
      <c r="AO103" s="344" t="n">
        <f aca="false">IF(AO$92=$D103,$J103,0)</f>
        <v>0</v>
      </c>
      <c r="AP103" s="344" t="n">
        <f aca="false">IF(AP$92=$D103,$J103,0)</f>
        <v>0</v>
      </c>
      <c r="AQ103" s="344" t="n">
        <f aca="false">IF(AQ$92=$D103,$J103,0)</f>
        <v>0</v>
      </c>
      <c r="AR103" s="344" t="n">
        <f aca="false">IF(AR$92=$D103,$J103,0)</f>
        <v>0</v>
      </c>
      <c r="AS103" s="344" t="n">
        <f aca="false">IF(AS$92=$D103,$J103,0)</f>
        <v>0</v>
      </c>
      <c r="AT103" s="344" t="n">
        <f aca="false">IF(AT$92=$D103,$J103,0)</f>
        <v>0</v>
      </c>
      <c r="AU103" s="344" t="n">
        <f aca="false">IF(AU$92=$D103,$J103,0)</f>
        <v>0</v>
      </c>
      <c r="AV103" s="344" t="n">
        <f aca="false">IF(AV$92=$D103,$J103,0)</f>
        <v>0</v>
      </c>
      <c r="AW103" s="344" t="n">
        <f aca="false">IF(AW$92=$D103,$J103,0)</f>
        <v>0</v>
      </c>
      <c r="AX103" s="344" t="n">
        <f aca="false">IF(AX$92=$D103,$J103,0)</f>
        <v>0</v>
      </c>
      <c r="AY103" s="344" t="n">
        <f aca="false">IF(AY$92=$D103,$J103,0)</f>
        <v>0</v>
      </c>
      <c r="AZ103" s="344" t="n">
        <f aca="false">IF(AZ$92=$D103,$J103,0)</f>
        <v>0</v>
      </c>
    </row>
    <row r="104" customFormat="false" ht="12.75" hidden="false" customHeight="false" outlineLevel="0" collapsed="false">
      <c r="A104" s="344" t="s">
        <v>70</v>
      </c>
      <c r="B104" s="413" t="n">
        <v>45981</v>
      </c>
      <c r="C104" s="344" t="s">
        <v>555</v>
      </c>
      <c r="D104" s="344" t="s">
        <v>71</v>
      </c>
      <c r="E104" s="433" t="n">
        <v>614.31</v>
      </c>
      <c r="F104" s="344" t="n">
        <v>-88</v>
      </c>
      <c r="G104" s="443" t="n">
        <v>611.66</v>
      </c>
      <c r="H104" s="443" t="n">
        <f aca="false">Hoja1!H154</f>
        <v>611.135</v>
      </c>
      <c r="I104" s="414" t="n">
        <f aca="false">G104*F104</f>
        <v>-53826.08</v>
      </c>
      <c r="J104" s="414" t="n">
        <f aca="false">H104*F104</f>
        <v>-53779.88</v>
      </c>
      <c r="K104" s="414" t="n">
        <f aca="false">(H104-E104)*F104</f>
        <v>279.399999999996</v>
      </c>
      <c r="L104" s="444" t="n">
        <f aca="false">(H104-G104)*F104</f>
        <v>46.199999999998</v>
      </c>
      <c r="M104" s="268" t="n">
        <f aca="false">+(H104-E104)/E104</f>
        <v>-0.00516840031905708</v>
      </c>
      <c r="N104" s="408" t="n">
        <f aca="false">F104*E104</f>
        <v>-54059.28</v>
      </c>
      <c r="O104" s="42" t="n">
        <v>0.75</v>
      </c>
      <c r="P104" s="441" t="n">
        <f aca="false">O104*J104</f>
        <v>-40334.91</v>
      </c>
      <c r="R104" s="344" t="s">
        <v>33</v>
      </c>
      <c r="S104" s="414" t="n">
        <f aca="false">SUMIF($A$94:$A$147,R104,$P$94:$P$147)</f>
        <v>0</v>
      </c>
      <c r="V104" s="344" t="n">
        <f aca="false">IF(V$92=$D104,$J104,0)</f>
        <v>0</v>
      </c>
      <c r="W104" s="344" t="n">
        <f aca="false">IF(W$92=$D104,$J104,0)</f>
        <v>0</v>
      </c>
      <c r="X104" s="344" t="n">
        <f aca="false">IF(X$92=$D104,$J104,0)</f>
        <v>0</v>
      </c>
      <c r="Y104" s="344" t="n">
        <f aca="false">IF(Y$92=$D104,$J104,0)</f>
        <v>0</v>
      </c>
      <c r="Z104" s="344" t="n">
        <f aca="false">IF(Z$92=$D104,$J104,0)</f>
        <v>0</v>
      </c>
      <c r="AA104" s="344" t="n">
        <f aca="false">IF(AA$92=$D104,$J104,0)</f>
        <v>0</v>
      </c>
      <c r="AB104" s="344" t="n">
        <f aca="false">IF(AB$92=$D104,$J104,0)</f>
        <v>0</v>
      </c>
      <c r="AC104" s="441" t="n">
        <f aca="false">IF(AC$92=$D104,$J104,0)</f>
        <v>-53779.88</v>
      </c>
      <c r="AD104" s="344" t="n">
        <f aca="false">IF(AD$92=$D104,$J104,0)</f>
        <v>0</v>
      </c>
      <c r="AE104" s="344" t="n">
        <f aca="false">IF(AE$92=$D104,$J104,0)</f>
        <v>0</v>
      </c>
      <c r="AF104" s="344" t="n">
        <f aca="false">IF(AF$92=$D104,$J104,0)</f>
        <v>0</v>
      </c>
      <c r="AG104" s="344" t="n">
        <f aca="false">IF(AG$92=$D104,$J104,0)</f>
        <v>0</v>
      </c>
      <c r="AH104" s="344" t="n">
        <f aca="false">IF(AH$92=$D104,$J104,0)</f>
        <v>0</v>
      </c>
      <c r="AI104" s="344" t="n">
        <f aca="false">IF(AI$92=$D104,$J104,0)</f>
        <v>0</v>
      </c>
      <c r="AJ104" s="344" t="n">
        <f aca="false">IF(AJ$92=$D104,$J104,0)</f>
        <v>0</v>
      </c>
      <c r="AK104" s="344" t="n">
        <f aca="false">IF(AK$92=$D104,$J104,0)</f>
        <v>0</v>
      </c>
      <c r="AL104" s="344" t="n">
        <f aca="false">IF(AL$92=$D104,$J104,0)</f>
        <v>0</v>
      </c>
      <c r="AM104" s="344" t="n">
        <f aca="false">IF(AM$92=$D104,$J104,0)</f>
        <v>0</v>
      </c>
      <c r="AN104" s="344" t="n">
        <f aca="false">IF(AN$92=$D104,$J104,0)</f>
        <v>0</v>
      </c>
      <c r="AO104" s="344" t="n">
        <f aca="false">IF(AO$92=$D104,$J104,0)</f>
        <v>0</v>
      </c>
      <c r="AP104" s="344" t="n">
        <f aca="false">IF(AP$92=$D104,$J104,0)</f>
        <v>0</v>
      </c>
      <c r="AQ104" s="344" t="n">
        <f aca="false">IF(AQ$92=$D104,$J104,0)</f>
        <v>0</v>
      </c>
      <c r="AR104" s="344" t="n">
        <f aca="false">IF(AR$92=$D104,$J104,0)</f>
        <v>0</v>
      </c>
      <c r="AS104" s="344" t="n">
        <f aca="false">IF(AS$92=$D104,$J104,0)</f>
        <v>0</v>
      </c>
      <c r="AT104" s="344" t="n">
        <f aca="false">IF(AT$92=$D104,$J104,0)</f>
        <v>0</v>
      </c>
      <c r="AU104" s="344" t="n">
        <f aca="false">IF(AU$92=$D104,$J104,0)</f>
        <v>0</v>
      </c>
      <c r="AV104" s="344" t="n">
        <f aca="false">IF(AV$92=$D104,$J104,0)</f>
        <v>0</v>
      </c>
      <c r="AW104" s="344" t="n">
        <f aca="false">IF(AW$92=$D104,$J104,0)</f>
        <v>0</v>
      </c>
      <c r="AX104" s="344" t="n">
        <f aca="false">IF(AX$92=$D104,$J104,0)</f>
        <v>0</v>
      </c>
      <c r="AY104" s="344" t="n">
        <f aca="false">IF(AY$92=$D104,$J104,0)</f>
        <v>0</v>
      </c>
      <c r="AZ104" s="344" t="n">
        <f aca="false">IF(AZ$92=$D104,$J104,0)</f>
        <v>0</v>
      </c>
    </row>
    <row r="105" customFormat="false" ht="12.75" hidden="false" customHeight="false" outlineLevel="0" collapsed="false">
      <c r="A105" s="344" t="s">
        <v>70</v>
      </c>
      <c r="B105" s="413" t="n">
        <v>45981</v>
      </c>
      <c r="C105" s="344" t="s">
        <v>555</v>
      </c>
      <c r="D105" s="344" t="s">
        <v>71</v>
      </c>
      <c r="E105" s="433" t="n">
        <v>614.31</v>
      </c>
      <c r="F105" s="344" t="n">
        <v>-98</v>
      </c>
      <c r="G105" s="443" t="n">
        <v>611.719</v>
      </c>
      <c r="H105" s="443" t="n">
        <f aca="false">Hoja1!H154</f>
        <v>611.135</v>
      </c>
      <c r="I105" s="414" t="n">
        <f aca="false">G105*F105</f>
        <v>-59948.462</v>
      </c>
      <c r="J105" s="414" t="n">
        <f aca="false">H105*F105</f>
        <v>-59891.23</v>
      </c>
      <c r="K105" s="414" t="n">
        <f aca="false">(H105-E105)*F105</f>
        <v>311.149999999996</v>
      </c>
      <c r="L105" s="444" t="n">
        <f aca="false">(H105-G105)*F105</f>
        <v>57.2320000000059</v>
      </c>
      <c r="M105" s="268" t="n">
        <f aca="false">+(H105-E105)/E105</f>
        <v>-0.00516840031905708</v>
      </c>
      <c r="N105" s="408" t="n">
        <f aca="false">F105*E105</f>
        <v>-60202.38</v>
      </c>
      <c r="O105" s="42" t="n">
        <v>0.5</v>
      </c>
      <c r="P105" s="441" t="n">
        <f aca="false">O105*J105</f>
        <v>-29945.615</v>
      </c>
      <c r="R105" s="344" t="s">
        <v>383</v>
      </c>
      <c r="S105" s="414" t="n">
        <f aca="false">SUMIF($A$94:$A$147,R105,$P$94:$P$147)</f>
        <v>0</v>
      </c>
      <c r="V105" s="344" t="n">
        <f aca="false">IF(V$92=$D105,$J105,0)</f>
        <v>0</v>
      </c>
      <c r="W105" s="344" t="n">
        <f aca="false">IF(W$92=$D105,$J105,0)</f>
        <v>0</v>
      </c>
      <c r="X105" s="344" t="n">
        <f aca="false">IF(X$92=$D105,$J105,0)</f>
        <v>0</v>
      </c>
      <c r="Y105" s="344" t="n">
        <f aca="false">IF(Y$92=$D105,$J105,0)</f>
        <v>0</v>
      </c>
      <c r="Z105" s="344" t="n">
        <f aca="false">IF(Z$92=$D105,$J105,0)</f>
        <v>0</v>
      </c>
      <c r="AA105" s="344" t="n">
        <f aca="false">IF(AA$92=$D105,$J105,0)</f>
        <v>0</v>
      </c>
      <c r="AB105" s="344" t="n">
        <f aca="false">IF(AB$92=$D105,$J105,0)</f>
        <v>0</v>
      </c>
      <c r="AC105" s="441" t="n">
        <f aca="false">IF(AC$92=$D105,$J105,0)</f>
        <v>-59891.23</v>
      </c>
      <c r="AD105" s="344" t="n">
        <f aca="false">IF(AD$92=$D105,$J105,0)</f>
        <v>0</v>
      </c>
      <c r="AE105" s="344" t="n">
        <f aca="false">IF(AE$92=$D105,$J105,0)</f>
        <v>0</v>
      </c>
      <c r="AF105" s="344" t="n">
        <f aca="false">IF(AF$92=$D105,$J105,0)</f>
        <v>0</v>
      </c>
      <c r="AG105" s="344" t="n">
        <f aca="false">IF(AG$92=$D105,$J105,0)</f>
        <v>0</v>
      </c>
      <c r="AH105" s="344" t="n">
        <f aca="false">IF(AH$92=$D105,$J105,0)</f>
        <v>0</v>
      </c>
      <c r="AI105" s="344" t="n">
        <f aca="false">IF(AI$92=$D105,$J105,0)</f>
        <v>0</v>
      </c>
      <c r="AJ105" s="344" t="n">
        <f aca="false">IF(AJ$92=$D105,$J105,0)</f>
        <v>0</v>
      </c>
      <c r="AK105" s="344" t="n">
        <f aca="false">IF(AK$92=$D105,$J105,0)</f>
        <v>0</v>
      </c>
      <c r="AL105" s="344" t="n">
        <f aca="false">IF(AL$92=$D105,$J105,0)</f>
        <v>0</v>
      </c>
      <c r="AM105" s="344" t="n">
        <f aca="false">IF(AM$92=$D105,$J105,0)</f>
        <v>0</v>
      </c>
      <c r="AN105" s="344" t="n">
        <f aca="false">IF(AN$92=$D105,$J105,0)</f>
        <v>0</v>
      </c>
      <c r="AO105" s="344" t="n">
        <f aca="false">IF(AO$92=$D105,$J105,0)</f>
        <v>0</v>
      </c>
      <c r="AP105" s="344" t="n">
        <f aca="false">IF(AP$92=$D105,$J105,0)</f>
        <v>0</v>
      </c>
      <c r="AQ105" s="344" t="n">
        <f aca="false">IF(AQ$92=$D105,$J105,0)</f>
        <v>0</v>
      </c>
      <c r="AR105" s="344" t="n">
        <f aca="false">IF(AR$92=$D105,$J105,0)</f>
        <v>0</v>
      </c>
      <c r="AS105" s="344" t="n">
        <f aca="false">IF(AS$92=$D105,$J105,0)</f>
        <v>0</v>
      </c>
      <c r="AT105" s="344" t="n">
        <f aca="false">IF(AT$92=$D105,$J105,0)</f>
        <v>0</v>
      </c>
      <c r="AU105" s="344" t="n">
        <f aca="false">IF(AU$92=$D105,$J105,0)</f>
        <v>0</v>
      </c>
      <c r="AV105" s="344" t="n">
        <f aca="false">IF(AV$92=$D105,$J105,0)</f>
        <v>0</v>
      </c>
      <c r="AW105" s="344" t="n">
        <f aca="false">IF(AW$92=$D105,$J105,0)</f>
        <v>0</v>
      </c>
      <c r="AX105" s="344" t="n">
        <f aca="false">IF(AX$92=$D105,$J105,0)</f>
        <v>0</v>
      </c>
      <c r="AY105" s="344" t="n">
        <f aca="false">IF(AY$92=$D105,$J105,0)</f>
        <v>0</v>
      </c>
      <c r="AZ105" s="344" t="n">
        <f aca="false">IF(AZ$92=$D105,$J105,0)</f>
        <v>0</v>
      </c>
    </row>
    <row r="106" customFormat="false" ht="12.75" hidden="false" customHeight="false" outlineLevel="0" collapsed="false">
      <c r="A106" s="344" t="s">
        <v>70</v>
      </c>
      <c r="B106" s="413" t="n">
        <v>45981</v>
      </c>
      <c r="C106" s="344" t="s">
        <v>555</v>
      </c>
      <c r="D106" s="344" t="s">
        <v>71</v>
      </c>
      <c r="E106" s="433" t="n">
        <v>614.31</v>
      </c>
      <c r="F106" s="344" t="n">
        <v>-108</v>
      </c>
      <c r="G106" s="443" t="n">
        <v>605.65</v>
      </c>
      <c r="H106" s="443" t="n">
        <f aca="false">Hoja1!H154</f>
        <v>611.135</v>
      </c>
      <c r="I106" s="414" t="n">
        <f aca="false">G106*F106</f>
        <v>-65410.2</v>
      </c>
      <c r="J106" s="414" t="n">
        <f aca="false">H106*F106</f>
        <v>-66002.58</v>
      </c>
      <c r="K106" s="414" t="n">
        <f aca="false">(H106-E106)*F106</f>
        <v>342.899999999995</v>
      </c>
      <c r="L106" s="444" t="n">
        <f aca="false">(H106-G106)*F106</f>
        <v>-592.380000000002</v>
      </c>
      <c r="M106" s="268" t="n">
        <f aca="false">+(H106-E106)/E106</f>
        <v>-0.00516840031905708</v>
      </c>
      <c r="N106" s="408" t="n">
        <f aca="false">F106*E106</f>
        <v>-66345.48</v>
      </c>
      <c r="O106" s="42" t="n">
        <v>0.5</v>
      </c>
      <c r="P106" s="441" t="n">
        <f aca="false">O106*J106</f>
        <v>-33001.29</v>
      </c>
      <c r="R106" s="344" t="s">
        <v>310</v>
      </c>
      <c r="S106" s="414" t="n">
        <f aca="false">SUMIF($A$94:$A$147,R106,$P$94:$P$147)</f>
        <v>0</v>
      </c>
      <c r="V106" s="344" t="n">
        <f aca="false">IF(V$92=$D106,$J106,0)</f>
        <v>0</v>
      </c>
      <c r="W106" s="344" t="n">
        <f aca="false">IF(W$92=$D106,$J106,0)</f>
        <v>0</v>
      </c>
      <c r="X106" s="344" t="n">
        <f aca="false">IF(X$92=$D106,$J106,0)</f>
        <v>0</v>
      </c>
      <c r="Y106" s="344" t="n">
        <f aca="false">IF(Y$92=$D106,$J106,0)</f>
        <v>0</v>
      </c>
      <c r="Z106" s="344" t="n">
        <f aca="false">IF(Z$92=$D106,$J106,0)</f>
        <v>0</v>
      </c>
      <c r="AA106" s="344" t="n">
        <f aca="false">IF(AA$92=$D106,$J106,0)</f>
        <v>0</v>
      </c>
      <c r="AB106" s="344" t="n">
        <f aca="false">IF(AB$92=$D106,$J106,0)</f>
        <v>0</v>
      </c>
      <c r="AC106" s="441" t="n">
        <f aca="false">IF(AC$92=$D106,$J106,0)</f>
        <v>-66002.58</v>
      </c>
      <c r="AD106" s="344" t="n">
        <f aca="false">IF(AD$92=$D106,$J106,0)</f>
        <v>0</v>
      </c>
      <c r="AE106" s="344" t="n">
        <f aca="false">IF(AE$92=$D106,$J106,0)</f>
        <v>0</v>
      </c>
      <c r="AF106" s="344" t="n">
        <f aca="false">IF(AF$92=$D106,$J106,0)</f>
        <v>0</v>
      </c>
      <c r="AG106" s="344" t="n">
        <f aca="false">IF(AG$92=$D106,$J106,0)</f>
        <v>0</v>
      </c>
      <c r="AH106" s="344" t="n">
        <f aca="false">IF(AH$92=$D106,$J106,0)</f>
        <v>0</v>
      </c>
      <c r="AI106" s="344" t="n">
        <f aca="false">IF(AI$92=$D106,$J106,0)</f>
        <v>0</v>
      </c>
      <c r="AJ106" s="344" t="n">
        <f aca="false">IF(AJ$92=$D106,$J106,0)</f>
        <v>0</v>
      </c>
      <c r="AK106" s="344" t="n">
        <f aca="false">IF(AK$92=$D106,$J106,0)</f>
        <v>0</v>
      </c>
      <c r="AL106" s="344" t="n">
        <f aca="false">IF(AL$92=$D106,$J106,0)</f>
        <v>0</v>
      </c>
      <c r="AM106" s="344" t="n">
        <f aca="false">IF(AM$92=$D106,$J106,0)</f>
        <v>0</v>
      </c>
      <c r="AN106" s="344" t="n">
        <f aca="false">IF(AN$92=$D106,$J106,0)</f>
        <v>0</v>
      </c>
      <c r="AO106" s="344" t="n">
        <f aca="false">IF(AO$92=$D106,$J106,0)</f>
        <v>0</v>
      </c>
      <c r="AP106" s="344" t="n">
        <f aca="false">IF(AP$92=$D106,$J106,0)</f>
        <v>0</v>
      </c>
      <c r="AQ106" s="344" t="n">
        <f aca="false">IF(AQ$92=$D106,$J106,0)</f>
        <v>0</v>
      </c>
      <c r="AR106" s="344" t="n">
        <f aca="false">IF(AR$92=$D106,$J106,0)</f>
        <v>0</v>
      </c>
      <c r="AS106" s="344" t="n">
        <f aca="false">IF(AS$92=$D106,$J106,0)</f>
        <v>0</v>
      </c>
      <c r="AT106" s="344" t="n">
        <f aca="false">IF(AT$92=$D106,$J106,0)</f>
        <v>0</v>
      </c>
      <c r="AU106" s="344" t="n">
        <f aca="false">IF(AU$92=$D106,$J106,0)</f>
        <v>0</v>
      </c>
      <c r="AV106" s="344" t="n">
        <f aca="false">IF(AV$92=$D106,$J106,0)</f>
        <v>0</v>
      </c>
      <c r="AW106" s="344" t="n">
        <f aca="false">IF(AW$92=$D106,$J106,0)</f>
        <v>0</v>
      </c>
      <c r="AX106" s="344" t="n">
        <f aca="false">IF(AX$92=$D106,$J106,0)</f>
        <v>0</v>
      </c>
      <c r="AY106" s="344" t="n">
        <f aca="false">IF(AY$92=$D106,$J106,0)</f>
        <v>0</v>
      </c>
      <c r="AZ106" s="344" t="n">
        <f aca="false">IF(AZ$92=$D106,$J106,0)</f>
        <v>0</v>
      </c>
    </row>
    <row r="107" customFormat="false" ht="12.75" hidden="false" customHeight="false" outlineLevel="0" collapsed="false">
      <c r="A107" s="344" t="s">
        <v>70</v>
      </c>
      <c r="B107" s="413" t="n">
        <v>45981</v>
      </c>
      <c r="C107" s="344" t="s">
        <v>555</v>
      </c>
      <c r="D107" s="344" t="s">
        <v>71</v>
      </c>
      <c r="E107" s="433" t="n">
        <v>614.31</v>
      </c>
      <c r="F107" s="344" t="n">
        <v>-118</v>
      </c>
      <c r="G107" s="443" t="n">
        <v>605.88</v>
      </c>
      <c r="H107" s="443" t="n">
        <f aca="false">Hoja1!H154</f>
        <v>611.135</v>
      </c>
      <c r="I107" s="414" t="n">
        <f aca="false">G107*F107</f>
        <v>-71493.84</v>
      </c>
      <c r="J107" s="414" t="n">
        <f aca="false">H107*F107</f>
        <v>-72113.93</v>
      </c>
      <c r="K107" s="414" t="n">
        <f aca="false">(H107-E107)*F107</f>
        <v>374.649999999995</v>
      </c>
      <c r="L107" s="444" t="n">
        <f aca="false">(H107-G107)*F107</f>
        <v>-620.09</v>
      </c>
      <c r="M107" s="268" t="n">
        <f aca="false">+(H107-E107)/E107</f>
        <v>-0.00516840031905708</v>
      </c>
      <c r="N107" s="408" t="n">
        <f aca="false">F107*E107</f>
        <v>-72488.58</v>
      </c>
      <c r="O107" s="42" t="n">
        <v>0.5</v>
      </c>
      <c r="P107" s="441" t="n">
        <f aca="false">O107*J107</f>
        <v>-36056.965</v>
      </c>
      <c r="R107" s="344" t="s">
        <v>386</v>
      </c>
      <c r="S107" s="414" t="n">
        <f aca="false">SUMIF($A$94:$A$147,R107,$P$94:$P$147)</f>
        <v>0</v>
      </c>
      <c r="V107" s="344" t="n">
        <f aca="false">IF(V$92=$D107,$J107,0)</f>
        <v>0</v>
      </c>
      <c r="W107" s="344" t="n">
        <f aca="false">IF(W$92=$D107,$J107,0)</f>
        <v>0</v>
      </c>
      <c r="X107" s="344" t="n">
        <f aca="false">IF(X$92=$D107,$J107,0)</f>
        <v>0</v>
      </c>
      <c r="Y107" s="344" t="n">
        <f aca="false">IF(Y$92=$D107,$J107,0)</f>
        <v>0</v>
      </c>
      <c r="Z107" s="344" t="n">
        <f aca="false">IF(Z$92=$D107,$J107,0)</f>
        <v>0</v>
      </c>
      <c r="AA107" s="344" t="n">
        <f aca="false">IF(AA$92=$D107,$J107,0)</f>
        <v>0</v>
      </c>
      <c r="AB107" s="344" t="n">
        <f aca="false">IF(AB$92=$D107,$J107,0)</f>
        <v>0</v>
      </c>
      <c r="AC107" s="441" t="n">
        <f aca="false">IF(AC$92=$D107,$J107,0)</f>
        <v>-72113.93</v>
      </c>
      <c r="AD107" s="344" t="n">
        <f aca="false">IF(AD$92=$D107,$J107,0)</f>
        <v>0</v>
      </c>
      <c r="AE107" s="344" t="n">
        <f aca="false">IF(AE$92=$D107,$J107,0)</f>
        <v>0</v>
      </c>
      <c r="AF107" s="344" t="n">
        <f aca="false">IF(AF$92=$D107,$J107,0)</f>
        <v>0</v>
      </c>
      <c r="AG107" s="344" t="n">
        <f aca="false">IF(AG$92=$D107,$J107,0)</f>
        <v>0</v>
      </c>
      <c r="AH107" s="344" t="n">
        <f aca="false">IF(AH$92=$D107,$J107,0)</f>
        <v>0</v>
      </c>
      <c r="AI107" s="344" t="n">
        <f aca="false">IF(AI$92=$D107,$J107,0)</f>
        <v>0</v>
      </c>
      <c r="AJ107" s="344" t="n">
        <f aca="false">IF(AJ$92=$D107,$J107,0)</f>
        <v>0</v>
      </c>
      <c r="AK107" s="344" t="n">
        <f aca="false">IF(AK$92=$D107,$J107,0)</f>
        <v>0</v>
      </c>
      <c r="AL107" s="344" t="n">
        <f aca="false">IF(AL$92=$D107,$J107,0)</f>
        <v>0</v>
      </c>
      <c r="AM107" s="344" t="n">
        <f aca="false">IF(AM$92=$D107,$J107,0)</f>
        <v>0</v>
      </c>
      <c r="AN107" s="344" t="n">
        <f aca="false">IF(AN$92=$D107,$J107,0)</f>
        <v>0</v>
      </c>
      <c r="AO107" s="344" t="n">
        <f aca="false">IF(AO$92=$D107,$J107,0)</f>
        <v>0</v>
      </c>
      <c r="AP107" s="344" t="n">
        <f aca="false">IF(AP$92=$D107,$J107,0)</f>
        <v>0</v>
      </c>
      <c r="AQ107" s="344" t="n">
        <f aca="false">IF(AQ$92=$D107,$J107,0)</f>
        <v>0</v>
      </c>
      <c r="AR107" s="344" t="n">
        <f aca="false">IF(AR$92=$D107,$J107,0)</f>
        <v>0</v>
      </c>
      <c r="AS107" s="344" t="n">
        <f aca="false">IF(AS$92=$D107,$J107,0)</f>
        <v>0</v>
      </c>
      <c r="AT107" s="344" t="n">
        <f aca="false">IF(AT$92=$D107,$J107,0)</f>
        <v>0</v>
      </c>
      <c r="AU107" s="344" t="n">
        <f aca="false">IF(AU$92=$D107,$J107,0)</f>
        <v>0</v>
      </c>
      <c r="AV107" s="344" t="n">
        <f aca="false">IF(AV$92=$D107,$J107,0)</f>
        <v>0</v>
      </c>
      <c r="AW107" s="344" t="n">
        <f aca="false">IF(AW$92=$D107,$J107,0)</f>
        <v>0</v>
      </c>
      <c r="AX107" s="344" t="n">
        <f aca="false">IF(AX$92=$D107,$J107,0)</f>
        <v>0</v>
      </c>
      <c r="AY107" s="344" t="n">
        <f aca="false">IF(AY$92=$D107,$J107,0)</f>
        <v>0</v>
      </c>
      <c r="AZ107" s="344" t="n">
        <f aca="false">IF(AZ$92=$D107,$J107,0)</f>
        <v>0</v>
      </c>
    </row>
    <row r="108" customFormat="false" ht="12.75" hidden="false" customHeight="false" outlineLevel="0" collapsed="false">
      <c r="A108" s="344" t="s">
        <v>70</v>
      </c>
      <c r="B108" s="413" t="n">
        <v>46077</v>
      </c>
      <c r="C108" s="344" t="s">
        <v>556</v>
      </c>
      <c r="D108" s="344" t="s">
        <v>536</v>
      </c>
      <c r="E108" s="433" t="n">
        <v>6892.5</v>
      </c>
      <c r="F108" s="344" t="n">
        <v>-128</v>
      </c>
      <c r="G108" s="443" t="n">
        <v>6903.8833</v>
      </c>
      <c r="H108" s="443" t="n">
        <f aca="false">Hoja1!H12*10.115</f>
        <v>6870.61375</v>
      </c>
      <c r="I108" s="414" t="n">
        <f aca="false">G108*F108*50</f>
        <v>-44184853.12</v>
      </c>
      <c r="J108" s="414" t="n">
        <f aca="false">H108*F108*50</f>
        <v>-43971928</v>
      </c>
      <c r="K108" s="414" t="n">
        <f aca="false">(H108-E108)*F108*50</f>
        <v>140071.999999997</v>
      </c>
      <c r="L108" s="444" t="n">
        <f aca="false">(H108-G108)*F108*50</f>
        <v>212925.12</v>
      </c>
      <c r="M108" s="268" t="n">
        <f aca="false">+(H108-E108)/E108</f>
        <v>-0.00317537178092123</v>
      </c>
      <c r="N108" s="408" t="n">
        <f aca="false">F108*E108*50</f>
        <v>-44112000</v>
      </c>
      <c r="O108" s="42" t="n">
        <v>0.5</v>
      </c>
      <c r="P108" s="441" t="n">
        <f aca="false">O108*J108</f>
        <v>-21985964</v>
      </c>
      <c r="V108" s="344" t="n">
        <f aca="false">IF(V$92=$D108,$J108,0)</f>
        <v>0</v>
      </c>
      <c r="W108" s="344" t="n">
        <f aca="false">IF(W$92=$D108,$J108,0)</f>
        <v>0</v>
      </c>
      <c r="X108" s="344" t="n">
        <f aca="false">IF(X$92=$D108,$J108,0)</f>
        <v>0</v>
      </c>
      <c r="Y108" s="344" t="n">
        <f aca="false">IF(Y$92=$D108,$J108,0)</f>
        <v>0</v>
      </c>
      <c r="Z108" s="344" t="n">
        <f aca="false">IF(Z$92=$D108,$J108,0)</f>
        <v>0</v>
      </c>
      <c r="AA108" s="344" t="n">
        <f aca="false">IF(AA$92=$D108,$J108,0)</f>
        <v>0</v>
      </c>
      <c r="AB108" s="344" t="n">
        <f aca="false">IF(AB$92=$D108,$J108,0)</f>
        <v>0</v>
      </c>
      <c r="AC108" s="344" t="n">
        <f aca="false">IF(AC$92=$D108,$J108,0)</f>
        <v>0</v>
      </c>
      <c r="AD108" s="441" t="n">
        <f aca="false">IF(AD$92=$D108,$J108,0)</f>
        <v>-43971928</v>
      </c>
      <c r="AE108" s="344" t="n">
        <f aca="false">IF(AE$92=$D108,$J108,0)</f>
        <v>0</v>
      </c>
      <c r="AF108" s="344" t="n">
        <f aca="false">IF(AF$92=$D108,$J108,0)</f>
        <v>0</v>
      </c>
      <c r="AG108" s="344" t="n">
        <f aca="false">IF(AG$92=$D108,$J108,0)</f>
        <v>0</v>
      </c>
      <c r="AH108" s="344" t="n">
        <f aca="false">IF(AH$92=$D108,$J108,0)</f>
        <v>0</v>
      </c>
      <c r="AI108" s="344" t="n">
        <f aca="false">IF(AI$92=$D108,$J108,0)</f>
        <v>0</v>
      </c>
      <c r="AJ108" s="344" t="n">
        <f aca="false">IF(AJ$92=$D108,$J108,0)</f>
        <v>0</v>
      </c>
      <c r="AK108" s="344" t="n">
        <f aca="false">IF(AK$92=$D108,$J108,0)</f>
        <v>0</v>
      </c>
      <c r="AL108" s="344" t="n">
        <f aca="false">IF(AL$92=$D108,$J108,0)</f>
        <v>0</v>
      </c>
      <c r="AM108" s="344" t="n">
        <f aca="false">IF(AM$92=$D108,$J108,0)</f>
        <v>0</v>
      </c>
      <c r="AN108" s="344" t="n">
        <f aca="false">IF(AN$92=$D108,$J108,0)</f>
        <v>0</v>
      </c>
      <c r="AO108" s="344" t="n">
        <f aca="false">IF(AO$92=$D108,$J108,0)</f>
        <v>0</v>
      </c>
      <c r="AP108" s="344" t="n">
        <f aca="false">IF(AP$92=$D108,$J108,0)</f>
        <v>0</v>
      </c>
      <c r="AQ108" s="344" t="n">
        <f aca="false">IF(AQ$92=$D108,$J108,0)</f>
        <v>0</v>
      </c>
      <c r="AR108" s="344" t="n">
        <f aca="false">IF(AR$92=$D108,$J108,0)</f>
        <v>0</v>
      </c>
      <c r="AS108" s="344" t="n">
        <f aca="false">IF(AS$92=$D108,$J108,0)</f>
        <v>0</v>
      </c>
      <c r="AT108" s="344" t="n">
        <f aca="false">IF(AT$92=$D108,$J108,0)</f>
        <v>0</v>
      </c>
      <c r="AU108" s="344" t="n">
        <f aca="false">IF(AU$92=$D108,$J108,0)</f>
        <v>0</v>
      </c>
      <c r="AV108" s="344" t="n">
        <f aca="false">IF(AV$92=$D108,$J108,0)</f>
        <v>0</v>
      </c>
      <c r="AW108" s="344" t="n">
        <f aca="false">IF(AW$92=$D108,$J108,0)</f>
        <v>0</v>
      </c>
      <c r="AX108" s="344" t="n">
        <f aca="false">IF(AX$92=$D108,$J108,0)</f>
        <v>0</v>
      </c>
      <c r="AY108" s="344" t="n">
        <f aca="false">IF(AY$92=$D108,$J108,0)</f>
        <v>0</v>
      </c>
      <c r="AZ108" s="344" t="n">
        <f aca="false">IF(AZ$92=$D108,$J108,0)</f>
        <v>0</v>
      </c>
    </row>
    <row r="109" customFormat="false" ht="12.75" hidden="false" customHeight="false" outlineLevel="0" collapsed="false">
      <c r="A109" s="344" t="s">
        <v>70</v>
      </c>
      <c r="B109" s="413" t="n">
        <v>45882</v>
      </c>
      <c r="C109" s="344" t="s">
        <v>557</v>
      </c>
      <c r="D109" s="344" t="s">
        <v>73</v>
      </c>
      <c r="E109" s="433" t="n">
        <v>681.92</v>
      </c>
      <c r="F109" s="344" t="n">
        <v>-138</v>
      </c>
      <c r="G109" s="443" t="n">
        <v>643.2298</v>
      </c>
      <c r="H109" s="443" t="n">
        <f aca="false">Hoja1!H12</f>
        <v>679.25</v>
      </c>
      <c r="I109" s="414" t="n">
        <f aca="false">G109*F109</f>
        <v>-88765.7124</v>
      </c>
      <c r="J109" s="414" t="n">
        <f aca="false">H109*F109</f>
        <v>-93736.5</v>
      </c>
      <c r="K109" s="414" t="n">
        <f aca="false">(H109-E109)*F109</f>
        <v>368.459999999994</v>
      </c>
      <c r="L109" s="444" t="n">
        <f aca="false">(H109-G109)*F109</f>
        <v>-4970.78760000001</v>
      </c>
      <c r="M109" s="268" t="n">
        <f aca="false">+(H109-E109)/E109</f>
        <v>-0.00391541529798211</v>
      </c>
      <c r="N109" s="408" t="n">
        <f aca="false">F109*E109</f>
        <v>-94104.96</v>
      </c>
      <c r="O109" s="42" t="n">
        <v>0.5</v>
      </c>
      <c r="P109" s="441" t="n">
        <f aca="false">O109*J109</f>
        <v>-46868.25</v>
      </c>
      <c r="V109" s="344" t="n">
        <f aca="false">IF(V$92=$D109,$J109,0)</f>
        <v>0</v>
      </c>
      <c r="W109" s="344" t="n">
        <f aca="false">IF(W$92=$D109,$J109,0)</f>
        <v>0</v>
      </c>
      <c r="X109" s="344" t="n">
        <f aca="false">IF(X$92=$D109,$J109,0)</f>
        <v>0</v>
      </c>
      <c r="Y109" s="344" t="n">
        <f aca="false">IF(Y$92=$D109,$J109,0)</f>
        <v>0</v>
      </c>
      <c r="Z109" s="344" t="n">
        <f aca="false">IF(Z$92=$D109,$J109,0)</f>
        <v>0</v>
      </c>
      <c r="AA109" s="344" t="n">
        <f aca="false">IF(AA$92=$D109,$J109,0)</f>
        <v>0</v>
      </c>
      <c r="AB109" s="344" t="n">
        <f aca="false">IF(AB$92=$D109,$J109,0)</f>
        <v>0</v>
      </c>
      <c r="AC109" s="344" t="n">
        <f aca="false">IF(AC$92=$D109,$J109,0)</f>
        <v>0</v>
      </c>
      <c r="AD109" s="344" t="n">
        <f aca="false">IF(AD$92=$D109,$J109,0)</f>
        <v>0</v>
      </c>
      <c r="AE109" s="441" t="n">
        <f aca="false">IF(AE$92=$D109,$J109,0)</f>
        <v>-93736.5</v>
      </c>
      <c r="AF109" s="344" t="n">
        <f aca="false">IF(AF$92=$D109,$J109,0)</f>
        <v>0</v>
      </c>
      <c r="AG109" s="344" t="n">
        <f aca="false">IF(AG$92=$D109,$J109,0)</f>
        <v>0</v>
      </c>
      <c r="AH109" s="344" t="n">
        <f aca="false">IF(AH$92=$D109,$J109,0)</f>
        <v>0</v>
      </c>
      <c r="AI109" s="344" t="n">
        <f aca="false">IF(AI$92=$D109,$J109,0)</f>
        <v>0</v>
      </c>
      <c r="AJ109" s="344" t="n">
        <f aca="false">IF(AJ$92=$D109,$J109,0)</f>
        <v>0</v>
      </c>
      <c r="AK109" s="344" t="n">
        <f aca="false">IF(AK$92=$D109,$J109,0)</f>
        <v>0</v>
      </c>
      <c r="AL109" s="344" t="n">
        <f aca="false">IF(AL$92=$D109,$J109,0)</f>
        <v>0</v>
      </c>
      <c r="AM109" s="344" t="n">
        <f aca="false">IF(AM$92=$D109,$J109,0)</f>
        <v>0</v>
      </c>
      <c r="AN109" s="344" t="n">
        <f aca="false">IF(AN$92=$D109,$J109,0)</f>
        <v>0</v>
      </c>
      <c r="AO109" s="344" t="n">
        <f aca="false">IF(AO$92=$D109,$J109,0)</f>
        <v>0</v>
      </c>
      <c r="AP109" s="344" t="n">
        <f aca="false">IF(AP$92=$D109,$J109,0)</f>
        <v>0</v>
      </c>
      <c r="AQ109" s="344" t="n">
        <f aca="false">IF(AQ$92=$D109,$J109,0)</f>
        <v>0</v>
      </c>
      <c r="AR109" s="344" t="n">
        <f aca="false">IF(AR$92=$D109,$J109,0)</f>
        <v>0</v>
      </c>
      <c r="AS109" s="344" t="n">
        <f aca="false">IF(AS$92=$D109,$J109,0)</f>
        <v>0</v>
      </c>
      <c r="AT109" s="344" t="n">
        <f aca="false">IF(AT$92=$D109,$J109,0)</f>
        <v>0</v>
      </c>
      <c r="AU109" s="344" t="n">
        <f aca="false">IF(AU$92=$D109,$J109,0)</f>
        <v>0</v>
      </c>
      <c r="AV109" s="344" t="n">
        <f aca="false">IF(AV$92=$D109,$J109,0)</f>
        <v>0</v>
      </c>
      <c r="AW109" s="344" t="n">
        <f aca="false">IF(AW$92=$D109,$J109,0)</f>
        <v>0</v>
      </c>
      <c r="AX109" s="344" t="n">
        <f aca="false">IF(AX$92=$D109,$J109,0)</f>
        <v>0</v>
      </c>
      <c r="AY109" s="344" t="n">
        <f aca="false">IF(AY$92=$D109,$J109,0)</f>
        <v>0</v>
      </c>
      <c r="AZ109" s="344" t="n">
        <f aca="false">IF(AZ$92=$D109,$J109,0)</f>
        <v>0</v>
      </c>
    </row>
    <row r="110" customFormat="false" ht="12.75" hidden="false" customHeight="false" outlineLevel="0" collapsed="false">
      <c r="A110" s="344" t="s">
        <v>70</v>
      </c>
      <c r="B110" s="413" t="n">
        <v>45940</v>
      </c>
      <c r="C110" s="344" t="s">
        <v>557</v>
      </c>
      <c r="D110" s="344" t="s">
        <v>73</v>
      </c>
      <c r="E110" s="433" t="n">
        <v>681.92</v>
      </c>
      <c r="F110" s="344" t="n">
        <v>-148</v>
      </c>
      <c r="G110" s="443" t="n">
        <v>657.195</v>
      </c>
      <c r="H110" s="443" t="n">
        <f aca="false">H109</f>
        <v>679.25</v>
      </c>
      <c r="I110" s="414" t="n">
        <f aca="false">G110*F110</f>
        <v>-97264.86</v>
      </c>
      <c r="J110" s="414" t="n">
        <f aca="false">H110*F110</f>
        <v>-100529</v>
      </c>
      <c r="K110" s="414" t="n">
        <f aca="false">(H110-E110)*F110</f>
        <v>395.159999999994</v>
      </c>
      <c r="L110" s="444" t="n">
        <f aca="false">(H110-G110)*F110</f>
        <v>-3264.13999999999</v>
      </c>
      <c r="M110" s="268" t="n">
        <f aca="false">+(H110-E110)/E110</f>
        <v>-0.00391541529798211</v>
      </c>
      <c r="N110" s="408" t="n">
        <f aca="false">F110*E110</f>
        <v>-100924.16</v>
      </c>
      <c r="O110" s="42" t="n">
        <v>0.5</v>
      </c>
      <c r="P110" s="441" t="n">
        <f aca="false">O110*J110</f>
        <v>-50264.5</v>
      </c>
      <c r="V110" s="344" t="n">
        <f aca="false">IF(V$92=$D110,$J110,0)</f>
        <v>0</v>
      </c>
      <c r="W110" s="344" t="n">
        <f aca="false">IF(W$92=$D110,$J110,0)</f>
        <v>0</v>
      </c>
      <c r="X110" s="344" t="n">
        <f aca="false">IF(X$92=$D110,$J110,0)</f>
        <v>0</v>
      </c>
      <c r="Y110" s="344" t="n">
        <f aca="false">IF(Y$92=$D110,$J110,0)</f>
        <v>0</v>
      </c>
      <c r="Z110" s="344" t="n">
        <f aca="false">IF(Z$92=$D110,$J110,0)</f>
        <v>0</v>
      </c>
      <c r="AA110" s="344" t="n">
        <f aca="false">IF(AA$92=$D110,$J110,0)</f>
        <v>0</v>
      </c>
      <c r="AB110" s="344" t="n">
        <f aca="false">IF(AB$92=$D110,$J110,0)</f>
        <v>0</v>
      </c>
      <c r="AC110" s="344" t="n">
        <f aca="false">IF(AC$92=$D110,$J110,0)</f>
        <v>0</v>
      </c>
      <c r="AD110" s="344" t="n">
        <f aca="false">IF(AD$92=$D110,$J110,0)</f>
        <v>0</v>
      </c>
      <c r="AE110" s="441" t="n">
        <f aca="false">IF(AE$92=$D110,$J110,0)</f>
        <v>-100529</v>
      </c>
      <c r="AF110" s="344" t="n">
        <f aca="false">IF(AF$92=$D110,$J110,0)</f>
        <v>0</v>
      </c>
      <c r="AG110" s="344" t="n">
        <f aca="false">IF(AG$92=$D110,$J110,0)</f>
        <v>0</v>
      </c>
      <c r="AH110" s="344" t="n">
        <f aca="false">IF(AH$92=$D110,$J110,0)</f>
        <v>0</v>
      </c>
      <c r="AI110" s="344" t="n">
        <f aca="false">IF(AI$92=$D110,$J110,0)</f>
        <v>0</v>
      </c>
      <c r="AJ110" s="344" t="n">
        <f aca="false">IF(AJ$92=$D110,$J110,0)</f>
        <v>0</v>
      </c>
      <c r="AK110" s="344" t="n">
        <f aca="false">IF(AK$92=$D110,$J110,0)</f>
        <v>0</v>
      </c>
      <c r="AL110" s="344" t="n">
        <f aca="false">IF(AL$92=$D110,$J110,0)</f>
        <v>0</v>
      </c>
      <c r="AM110" s="344" t="n">
        <f aca="false">IF(AM$92=$D110,$J110,0)</f>
        <v>0</v>
      </c>
      <c r="AN110" s="344" t="n">
        <f aca="false">IF(AN$92=$D110,$J110,0)</f>
        <v>0</v>
      </c>
      <c r="AO110" s="344" t="n">
        <f aca="false">IF(AO$92=$D110,$J110,0)</f>
        <v>0</v>
      </c>
      <c r="AP110" s="344" t="n">
        <f aca="false">IF(AP$92=$D110,$J110,0)</f>
        <v>0</v>
      </c>
      <c r="AQ110" s="344" t="n">
        <f aca="false">IF(AQ$92=$D110,$J110,0)</f>
        <v>0</v>
      </c>
      <c r="AR110" s="344" t="n">
        <f aca="false">IF(AR$92=$D110,$J110,0)</f>
        <v>0</v>
      </c>
      <c r="AS110" s="344" t="n">
        <f aca="false">IF(AS$92=$D110,$J110,0)</f>
        <v>0</v>
      </c>
      <c r="AT110" s="344" t="n">
        <f aca="false">IF(AT$92=$D110,$J110,0)</f>
        <v>0</v>
      </c>
      <c r="AU110" s="344" t="n">
        <f aca="false">IF(AU$92=$D110,$J110,0)</f>
        <v>0</v>
      </c>
      <c r="AV110" s="344" t="n">
        <f aca="false">IF(AV$92=$D110,$J110,0)</f>
        <v>0</v>
      </c>
      <c r="AW110" s="344" t="n">
        <f aca="false">IF(AW$92=$D110,$J110,0)</f>
        <v>0</v>
      </c>
      <c r="AX110" s="344" t="n">
        <f aca="false">IF(AX$92=$D110,$J110,0)</f>
        <v>0</v>
      </c>
      <c r="AY110" s="344" t="n">
        <f aca="false">IF(AY$92=$D110,$J110,0)</f>
        <v>0</v>
      </c>
      <c r="AZ110" s="344" t="n">
        <f aca="false">IF(AZ$92=$D110,$J110,0)</f>
        <v>0</v>
      </c>
    </row>
    <row r="111" customFormat="false" ht="12.75" hidden="false" customHeight="false" outlineLevel="0" collapsed="false">
      <c r="A111" s="344" t="s">
        <v>70</v>
      </c>
      <c r="B111" s="413" t="n">
        <v>45883</v>
      </c>
      <c r="C111" s="344" t="s">
        <v>112</v>
      </c>
      <c r="D111" s="344" t="s">
        <v>112</v>
      </c>
      <c r="E111" s="433" t="n">
        <v>313.8</v>
      </c>
      <c r="F111" s="344" t="n">
        <v>-158</v>
      </c>
      <c r="G111" s="443" t="n">
        <v>204.445</v>
      </c>
      <c r="H111" s="443" t="n">
        <f aca="false">Hoja1!H23</f>
        <v>316.16</v>
      </c>
      <c r="I111" s="414" t="n">
        <f aca="false">G111*F111</f>
        <v>-32302.31</v>
      </c>
      <c r="J111" s="414" t="n">
        <f aca="false">H111*F111</f>
        <v>-49953.28</v>
      </c>
      <c r="K111" s="414" t="n">
        <f aca="false">(H111-E111)*F111</f>
        <v>-372.879999999993</v>
      </c>
      <c r="L111" s="444" t="n">
        <f aca="false">(H111-G111)*F111</f>
        <v>-17650.97</v>
      </c>
      <c r="M111" s="268" t="n">
        <f aca="false">+(H111-E111)/E111</f>
        <v>0.00752071383046513</v>
      </c>
      <c r="N111" s="408" t="n">
        <f aca="false">F111*E111</f>
        <v>-49580.4</v>
      </c>
      <c r="O111" s="42" t="n">
        <v>0.5</v>
      </c>
      <c r="P111" s="441" t="n">
        <f aca="false">O111*J111</f>
        <v>-24976.64</v>
      </c>
      <c r="V111" s="344" t="n">
        <f aca="false">IF(V$92=$D111,$J111,0)</f>
        <v>0</v>
      </c>
      <c r="W111" s="344" t="n">
        <f aca="false">IF(W$92=$D111,$J111,0)</f>
        <v>0</v>
      </c>
      <c r="X111" s="344" t="n">
        <f aca="false">IF(X$92=$D111,$J111,0)</f>
        <v>0</v>
      </c>
      <c r="Y111" s="344" t="n">
        <f aca="false">IF(Y$92=$D111,$J111,0)</f>
        <v>0</v>
      </c>
      <c r="Z111" s="344" t="n">
        <f aca="false">IF(Z$92=$D111,$J111,0)</f>
        <v>0</v>
      </c>
      <c r="AA111" s="344" t="n">
        <f aca="false">IF(AA$92=$D111,$J111,0)</f>
        <v>0</v>
      </c>
      <c r="AB111" s="344" t="n">
        <f aca="false">IF(AB$92=$D111,$J111,0)</f>
        <v>0</v>
      </c>
      <c r="AC111" s="344" t="n">
        <f aca="false">IF(AC$92=$D111,$J111,0)</f>
        <v>0</v>
      </c>
      <c r="AD111" s="344" t="n">
        <f aca="false">IF(AD$92=$D111,$J111,0)</f>
        <v>0</v>
      </c>
      <c r="AE111" s="344" t="n">
        <f aca="false">IF(AE$92=$D111,$J111,0)</f>
        <v>0</v>
      </c>
      <c r="AF111" s="441" t="n">
        <f aca="false">IF(AF$92=$D111,$J111,0)</f>
        <v>-49953.28</v>
      </c>
      <c r="AG111" s="344" t="n">
        <f aca="false">IF(AG$92=$D111,$J111,0)</f>
        <v>0</v>
      </c>
      <c r="AH111" s="344" t="n">
        <f aca="false">IF(AH$92=$D111,$J111,0)</f>
        <v>0</v>
      </c>
      <c r="AI111" s="344" t="n">
        <f aca="false">IF(AI$92=$D111,$J111,0)</f>
        <v>0</v>
      </c>
      <c r="AJ111" s="344" t="n">
        <f aca="false">IF(AJ$92=$D111,$J111,0)</f>
        <v>0</v>
      </c>
      <c r="AK111" s="344" t="n">
        <f aca="false">IF(AK$92=$D111,$J111,0)</f>
        <v>0</v>
      </c>
      <c r="AL111" s="344" t="n">
        <f aca="false">IF(AL$92=$D111,$J111,0)</f>
        <v>0</v>
      </c>
      <c r="AM111" s="344" t="n">
        <f aca="false">IF(AM$92=$D111,$J111,0)</f>
        <v>0</v>
      </c>
      <c r="AN111" s="344" t="n">
        <f aca="false">IF(AN$92=$D111,$J111,0)</f>
        <v>0</v>
      </c>
      <c r="AO111" s="344" t="n">
        <f aca="false">IF(AO$92=$D111,$J111,0)</f>
        <v>0</v>
      </c>
      <c r="AP111" s="344" t="n">
        <f aca="false">IF(AP$92=$D111,$J111,0)</f>
        <v>0</v>
      </c>
      <c r="AQ111" s="344" t="n">
        <f aca="false">IF(AQ$92=$D111,$J111,0)</f>
        <v>0</v>
      </c>
      <c r="AR111" s="344" t="n">
        <f aca="false">IF(AR$92=$D111,$J111,0)</f>
        <v>0</v>
      </c>
      <c r="AS111" s="344" t="n">
        <f aca="false">IF(AS$92=$D111,$J111,0)</f>
        <v>0</v>
      </c>
      <c r="AT111" s="344" t="n">
        <f aca="false">IF(AT$92=$D111,$J111,0)</f>
        <v>0</v>
      </c>
      <c r="AU111" s="344" t="n">
        <f aca="false">IF(AU$92=$D111,$J111,0)</f>
        <v>0</v>
      </c>
      <c r="AV111" s="344" t="n">
        <f aca="false">IF(AV$92=$D111,$J111,0)</f>
        <v>0</v>
      </c>
      <c r="AW111" s="344" t="n">
        <f aca="false">IF(AW$92=$D111,$J111,0)</f>
        <v>0</v>
      </c>
      <c r="AX111" s="344" t="n">
        <f aca="false">IF(AX$92=$D111,$J111,0)</f>
        <v>0</v>
      </c>
      <c r="AY111" s="344" t="n">
        <f aca="false">IF(AY$92=$D111,$J111,0)</f>
        <v>0</v>
      </c>
      <c r="AZ111" s="344" t="n">
        <f aca="false">IF(AZ$92=$D111,$J111,0)</f>
        <v>0</v>
      </c>
    </row>
    <row r="112" customFormat="false" ht="12.75" hidden="false" customHeight="false" outlineLevel="0" collapsed="false">
      <c r="A112" s="344" t="s">
        <v>70</v>
      </c>
      <c r="B112" s="413" t="n">
        <v>45783</v>
      </c>
      <c r="C112" s="344" t="s">
        <v>558</v>
      </c>
      <c r="D112" s="344" t="s">
        <v>312</v>
      </c>
      <c r="E112" s="445" t="n">
        <v>54.01</v>
      </c>
      <c r="F112" s="344" t="n">
        <v>-168</v>
      </c>
      <c r="G112" s="433" t="n">
        <v>32.8481</v>
      </c>
      <c r="H112" s="433" t="n">
        <f aca="false">Hoja1!H184</f>
        <v>51.93</v>
      </c>
      <c r="I112" s="414" t="n">
        <f aca="false">G112*F112</f>
        <v>-5518.4808</v>
      </c>
      <c r="J112" s="414" t="n">
        <f aca="false">H112*F112</f>
        <v>-8724.24</v>
      </c>
      <c r="K112" s="414" t="n">
        <f aca="false">(H112-E112)*F112</f>
        <v>349.44</v>
      </c>
      <c r="L112" s="444" t="n">
        <f aca="false">(H112-G112)*F112</f>
        <v>-3205.7592</v>
      </c>
      <c r="M112" s="268" t="n">
        <f aca="false">+(H112-E112)/E112</f>
        <v>-0.0385113867802259</v>
      </c>
      <c r="N112" s="408" t="n">
        <f aca="false">F112*E112</f>
        <v>-9073.68</v>
      </c>
      <c r="O112" s="42" t="n">
        <v>0.5</v>
      </c>
      <c r="P112" s="441" t="n">
        <f aca="false">O112*J112</f>
        <v>-4362.12</v>
      </c>
      <c r="V112" s="344" t="n">
        <f aca="false">IF(V$92=$D112,$J112,0)</f>
        <v>0</v>
      </c>
      <c r="W112" s="344" t="n">
        <f aca="false">IF(W$92=$D112,$J112,0)</f>
        <v>0</v>
      </c>
      <c r="X112" s="344" t="n">
        <f aca="false">IF(X$92=$D112,$J112,0)</f>
        <v>0</v>
      </c>
      <c r="Y112" s="344" t="n">
        <f aca="false">IF(Y$92=$D112,$J112,0)</f>
        <v>0</v>
      </c>
      <c r="Z112" s="344" t="n">
        <f aca="false">IF(Z$92=$D112,$J112,0)</f>
        <v>0</v>
      </c>
      <c r="AA112" s="344" t="n">
        <f aca="false">IF(AA$92=$D112,$J112,0)</f>
        <v>0</v>
      </c>
      <c r="AB112" s="344" t="n">
        <f aca="false">IF(AB$92=$D112,$J112,0)</f>
        <v>0</v>
      </c>
      <c r="AC112" s="344" t="n">
        <f aca="false">IF(AC$92=$D112,$J112,0)</f>
        <v>0</v>
      </c>
      <c r="AD112" s="344" t="n">
        <f aca="false">IF(AD$92=$D112,$J112,0)</f>
        <v>0</v>
      </c>
      <c r="AE112" s="344" t="n">
        <f aca="false">IF(AE$92=$D112,$J112,0)</f>
        <v>0</v>
      </c>
      <c r="AF112" s="344" t="n">
        <f aca="false">IF(AF$92=$D112,$J112,0)</f>
        <v>0</v>
      </c>
      <c r="AG112" s="441" t="n">
        <f aca="false">IF(AG$92=$D112,$J112,0)</f>
        <v>-8724.24</v>
      </c>
      <c r="AH112" s="344" t="n">
        <f aca="false">IF(AH$92=$D112,$J112,0)</f>
        <v>0</v>
      </c>
      <c r="AI112" s="344" t="n">
        <f aca="false">IF(AI$92=$D112,$J112,0)</f>
        <v>0</v>
      </c>
      <c r="AJ112" s="344" t="n">
        <f aca="false">IF(AJ$92=$D112,$J112,0)</f>
        <v>0</v>
      </c>
      <c r="AK112" s="344" t="n">
        <f aca="false">IF(AK$92=$D112,$J112,0)</f>
        <v>0</v>
      </c>
      <c r="AL112" s="344" t="n">
        <f aca="false">IF(AL$92=$D112,$J112,0)</f>
        <v>0</v>
      </c>
      <c r="AM112" s="344" t="n">
        <f aca="false">IF(AM$92=$D112,$J112,0)</f>
        <v>0</v>
      </c>
      <c r="AN112" s="344" t="n">
        <f aca="false">IF(AN$92=$D112,$J112,0)</f>
        <v>0</v>
      </c>
      <c r="AO112" s="344" t="n">
        <f aca="false">IF(AO$92=$D112,$J112,0)</f>
        <v>0</v>
      </c>
      <c r="AP112" s="344" t="n">
        <f aca="false">IF(AP$92=$D112,$J112,0)</f>
        <v>0</v>
      </c>
      <c r="AQ112" s="344" t="n">
        <f aca="false">IF(AQ$92=$D112,$J112,0)</f>
        <v>0</v>
      </c>
      <c r="AR112" s="344" t="n">
        <f aca="false">IF(AR$92=$D112,$J112,0)</f>
        <v>0</v>
      </c>
      <c r="AS112" s="344" t="n">
        <f aca="false">IF(AS$92=$D112,$J112,0)</f>
        <v>0</v>
      </c>
      <c r="AT112" s="344" t="n">
        <f aca="false">IF(AT$92=$D112,$J112,0)</f>
        <v>0</v>
      </c>
      <c r="AU112" s="344" t="n">
        <f aca="false">IF(AU$92=$D112,$J112,0)</f>
        <v>0</v>
      </c>
      <c r="AV112" s="344" t="n">
        <f aca="false">IF(AV$92=$D112,$J112,0)</f>
        <v>0</v>
      </c>
      <c r="AW112" s="344" t="n">
        <f aca="false">IF(AW$92=$D112,$J112,0)</f>
        <v>0</v>
      </c>
      <c r="AX112" s="344" t="n">
        <f aca="false">IF(AX$92=$D112,$J112,0)</f>
        <v>0</v>
      </c>
      <c r="AY112" s="344" t="n">
        <f aca="false">IF(AY$92=$D112,$J112,0)</f>
        <v>0</v>
      </c>
      <c r="AZ112" s="344" t="n">
        <f aca="false">IF(AZ$92=$D112,$J112,0)</f>
        <v>0</v>
      </c>
    </row>
    <row r="113" customFormat="false" ht="12.75" hidden="false" customHeight="false" outlineLevel="0" collapsed="false">
      <c r="A113" s="344" t="s">
        <v>70</v>
      </c>
      <c r="B113" s="413" t="n">
        <v>45797</v>
      </c>
      <c r="C113" s="344" t="s">
        <v>558</v>
      </c>
      <c r="D113" s="344" t="s">
        <v>312</v>
      </c>
      <c r="E113" s="445" t="n">
        <v>54.01</v>
      </c>
      <c r="F113" s="344" t="n">
        <v>-178</v>
      </c>
      <c r="G113" s="433" t="n">
        <v>36.7199</v>
      </c>
      <c r="H113" s="433" t="n">
        <f aca="false">Hoja1!H184</f>
        <v>51.93</v>
      </c>
      <c r="I113" s="414" t="n">
        <f aca="false">G113*F113</f>
        <v>-6536.1422</v>
      </c>
      <c r="J113" s="414" t="n">
        <f aca="false">H113*F113</f>
        <v>-9243.54</v>
      </c>
      <c r="K113" s="414" t="n">
        <f aca="false">(H113-E113)*F113</f>
        <v>370.24</v>
      </c>
      <c r="L113" s="444" t="n">
        <f aca="false">(H113-G113)*F113</f>
        <v>-2707.3978</v>
      </c>
      <c r="M113" s="268" t="n">
        <f aca="false">+(H113-E113)/E113</f>
        <v>-0.0385113867802259</v>
      </c>
      <c r="N113" s="408" t="n">
        <f aca="false">F113*E113</f>
        <v>-9613.78</v>
      </c>
      <c r="O113" s="42" t="n">
        <v>0.5</v>
      </c>
      <c r="P113" s="441" t="n">
        <f aca="false">O113*J113</f>
        <v>-4621.77</v>
      </c>
      <c r="V113" s="344" t="n">
        <f aca="false">IF(V$92=$D113,$J113,0)</f>
        <v>0</v>
      </c>
      <c r="W113" s="344" t="n">
        <f aca="false">IF(W$92=$D113,$J113,0)</f>
        <v>0</v>
      </c>
      <c r="X113" s="344" t="n">
        <f aca="false">IF(X$92=$D113,$J113,0)</f>
        <v>0</v>
      </c>
      <c r="Y113" s="344" t="n">
        <f aca="false">IF(Y$92=$D113,$J113,0)</f>
        <v>0</v>
      </c>
      <c r="Z113" s="344" t="n">
        <f aca="false">IF(Z$92=$D113,$J113,0)</f>
        <v>0</v>
      </c>
      <c r="AA113" s="344" t="n">
        <f aca="false">IF(AA$92=$D113,$J113,0)</f>
        <v>0</v>
      </c>
      <c r="AB113" s="344" t="n">
        <f aca="false">IF(AB$92=$D113,$J113,0)</f>
        <v>0</v>
      </c>
      <c r="AC113" s="344" t="n">
        <f aca="false">IF(AC$92=$D113,$J113,0)</f>
        <v>0</v>
      </c>
      <c r="AD113" s="344" t="n">
        <f aca="false">IF(AD$92=$D113,$J113,0)</f>
        <v>0</v>
      </c>
      <c r="AE113" s="344" t="n">
        <f aca="false">IF(AE$92=$D113,$J113,0)</f>
        <v>0</v>
      </c>
      <c r="AF113" s="344" t="n">
        <f aca="false">IF(AF$92=$D113,$J113,0)</f>
        <v>0</v>
      </c>
      <c r="AG113" s="441" t="n">
        <f aca="false">IF(AG$92=$D113,$J113,0)</f>
        <v>-9243.54</v>
      </c>
      <c r="AH113" s="344" t="n">
        <f aca="false">IF(AH$92=$D113,$J113,0)</f>
        <v>0</v>
      </c>
      <c r="AI113" s="344" t="n">
        <f aca="false">IF(AI$92=$D113,$J113,0)</f>
        <v>0</v>
      </c>
      <c r="AJ113" s="344" t="n">
        <f aca="false">IF(AJ$92=$D113,$J113,0)</f>
        <v>0</v>
      </c>
      <c r="AK113" s="344" t="n">
        <f aca="false">IF(AK$92=$D113,$J113,0)</f>
        <v>0</v>
      </c>
      <c r="AL113" s="344" t="n">
        <f aca="false">IF(AL$92=$D113,$J113,0)</f>
        <v>0</v>
      </c>
      <c r="AM113" s="344" t="n">
        <f aca="false">IF(AM$92=$D113,$J113,0)</f>
        <v>0</v>
      </c>
      <c r="AN113" s="344" t="n">
        <f aca="false">IF(AN$92=$D113,$J113,0)</f>
        <v>0</v>
      </c>
      <c r="AO113" s="344" t="n">
        <f aca="false">IF(AO$92=$D113,$J113,0)</f>
        <v>0</v>
      </c>
      <c r="AP113" s="344" t="n">
        <f aca="false">IF(AP$92=$D113,$J113,0)</f>
        <v>0</v>
      </c>
      <c r="AQ113" s="344" t="n">
        <f aca="false">IF(AQ$92=$D113,$J113,0)</f>
        <v>0</v>
      </c>
      <c r="AR113" s="344" t="n">
        <f aca="false">IF(AR$92=$D113,$J113,0)</f>
        <v>0</v>
      </c>
      <c r="AS113" s="344" t="n">
        <f aca="false">IF(AS$92=$D113,$J113,0)</f>
        <v>0</v>
      </c>
      <c r="AT113" s="344" t="n">
        <f aca="false">IF(AT$92=$D113,$J113,0)</f>
        <v>0</v>
      </c>
      <c r="AU113" s="344" t="n">
        <f aca="false">IF(AU$92=$D113,$J113,0)</f>
        <v>0</v>
      </c>
      <c r="AV113" s="344" t="n">
        <f aca="false">IF(AV$92=$D113,$J113,0)</f>
        <v>0</v>
      </c>
      <c r="AW113" s="344" t="n">
        <f aca="false">IF(AW$92=$D113,$J113,0)</f>
        <v>0</v>
      </c>
      <c r="AX113" s="344" t="n">
        <f aca="false">IF(AX$92=$D113,$J113,0)</f>
        <v>0</v>
      </c>
      <c r="AY113" s="344" t="n">
        <f aca="false">IF(AY$92=$D113,$J113,0)</f>
        <v>0</v>
      </c>
      <c r="AZ113" s="344" t="n">
        <f aca="false">IF(AZ$92=$D113,$J113,0)</f>
        <v>0</v>
      </c>
    </row>
    <row r="114" customFormat="false" ht="12.75" hidden="false" customHeight="false" outlineLevel="0" collapsed="false">
      <c r="A114" s="344" t="s">
        <v>70</v>
      </c>
      <c r="B114" s="413" t="n">
        <v>45814</v>
      </c>
      <c r="C114" s="344" t="s">
        <v>558</v>
      </c>
      <c r="D114" s="344" t="s">
        <v>312</v>
      </c>
      <c r="E114" s="445" t="n">
        <v>54.01</v>
      </c>
      <c r="F114" s="344" t="n">
        <v>-188</v>
      </c>
      <c r="G114" s="433" t="n">
        <v>38.6143</v>
      </c>
      <c r="H114" s="433" t="n">
        <f aca="false">Hoja1!H184</f>
        <v>51.93</v>
      </c>
      <c r="I114" s="414" t="n">
        <f aca="false">G114*F114</f>
        <v>-7259.4884</v>
      </c>
      <c r="J114" s="414" t="n">
        <f aca="false">H114*F114</f>
        <v>-9762.84</v>
      </c>
      <c r="K114" s="414" t="n">
        <f aca="false">(H114-E114)*F114</f>
        <v>391.04</v>
      </c>
      <c r="L114" s="444" t="n">
        <f aca="false">(H114-G114)*F114</f>
        <v>-2503.3516</v>
      </c>
      <c r="M114" s="268" t="n">
        <f aca="false">+(H114-E114)/E114</f>
        <v>-0.0385113867802259</v>
      </c>
      <c r="N114" s="408" t="n">
        <f aca="false">F114*E114</f>
        <v>-10153.88</v>
      </c>
      <c r="O114" s="42" t="n">
        <v>0.5</v>
      </c>
      <c r="P114" s="441" t="n">
        <f aca="false">O114*J114</f>
        <v>-4881.42</v>
      </c>
      <c r="V114" s="344" t="n">
        <f aca="false">IF(V$92=$D114,$J114,0)</f>
        <v>0</v>
      </c>
      <c r="W114" s="344" t="n">
        <f aca="false">IF(W$92=$D114,$J114,0)</f>
        <v>0</v>
      </c>
      <c r="X114" s="344" t="n">
        <f aca="false">IF(X$92=$D114,$J114,0)</f>
        <v>0</v>
      </c>
      <c r="Y114" s="344" t="n">
        <f aca="false">IF(Y$92=$D114,$J114,0)</f>
        <v>0</v>
      </c>
      <c r="Z114" s="344" t="n">
        <f aca="false">IF(Z$92=$D114,$J114,0)</f>
        <v>0</v>
      </c>
      <c r="AA114" s="344" t="n">
        <f aca="false">IF(AA$92=$D114,$J114,0)</f>
        <v>0</v>
      </c>
      <c r="AB114" s="344" t="n">
        <f aca="false">IF(AB$92=$D114,$J114,0)</f>
        <v>0</v>
      </c>
      <c r="AC114" s="344" t="n">
        <f aca="false">IF(AC$92=$D114,$J114,0)</f>
        <v>0</v>
      </c>
      <c r="AD114" s="344" t="n">
        <f aca="false">IF(AD$92=$D114,$J114,0)</f>
        <v>0</v>
      </c>
      <c r="AE114" s="344" t="n">
        <f aca="false">IF(AE$92=$D114,$J114,0)</f>
        <v>0</v>
      </c>
      <c r="AF114" s="344" t="n">
        <f aca="false">IF(AF$92=$D114,$J114,0)</f>
        <v>0</v>
      </c>
      <c r="AG114" s="441" t="n">
        <f aca="false">IF(AG$92=$D114,$J114,0)</f>
        <v>-9762.84</v>
      </c>
      <c r="AH114" s="344" t="n">
        <f aca="false">IF(AH$92=$D114,$J114,0)</f>
        <v>0</v>
      </c>
      <c r="AI114" s="344" t="n">
        <f aca="false">IF(AI$92=$D114,$J114,0)</f>
        <v>0</v>
      </c>
      <c r="AJ114" s="344" t="n">
        <f aca="false">IF(AJ$92=$D114,$J114,0)</f>
        <v>0</v>
      </c>
      <c r="AK114" s="344" t="n">
        <f aca="false">IF(AK$92=$D114,$J114,0)</f>
        <v>0</v>
      </c>
      <c r="AL114" s="344" t="n">
        <f aca="false">IF(AL$92=$D114,$J114,0)</f>
        <v>0</v>
      </c>
      <c r="AM114" s="344" t="n">
        <f aca="false">IF(AM$92=$D114,$J114,0)</f>
        <v>0</v>
      </c>
      <c r="AN114" s="344" t="n">
        <f aca="false">IF(AN$92=$D114,$J114,0)</f>
        <v>0</v>
      </c>
      <c r="AO114" s="344" t="n">
        <f aca="false">IF(AO$92=$D114,$J114,0)</f>
        <v>0</v>
      </c>
      <c r="AP114" s="344" t="n">
        <f aca="false">IF(AP$92=$D114,$J114,0)</f>
        <v>0</v>
      </c>
      <c r="AQ114" s="344" t="n">
        <f aca="false">IF(AQ$92=$D114,$J114,0)</f>
        <v>0</v>
      </c>
      <c r="AR114" s="344" t="n">
        <f aca="false">IF(AR$92=$D114,$J114,0)</f>
        <v>0</v>
      </c>
      <c r="AS114" s="344" t="n">
        <f aca="false">IF(AS$92=$D114,$J114,0)</f>
        <v>0</v>
      </c>
      <c r="AT114" s="344" t="n">
        <f aca="false">IF(AT$92=$D114,$J114,0)</f>
        <v>0</v>
      </c>
      <c r="AU114" s="344" t="n">
        <f aca="false">IF(AU$92=$D114,$J114,0)</f>
        <v>0</v>
      </c>
      <c r="AV114" s="344" t="n">
        <f aca="false">IF(AV$92=$D114,$J114,0)</f>
        <v>0</v>
      </c>
      <c r="AW114" s="344" t="n">
        <f aca="false">IF(AW$92=$D114,$J114,0)</f>
        <v>0</v>
      </c>
      <c r="AX114" s="344" t="n">
        <f aca="false">IF(AX$92=$D114,$J114,0)</f>
        <v>0</v>
      </c>
      <c r="AY114" s="344" t="n">
        <f aca="false">IF(AY$92=$D114,$J114,0)</f>
        <v>0</v>
      </c>
      <c r="AZ114" s="344" t="n">
        <f aca="false">IF(AZ$92=$D114,$J114,0)</f>
        <v>0</v>
      </c>
    </row>
    <row r="115" customFormat="false" ht="12.75" hidden="false" customHeight="false" outlineLevel="0" collapsed="false">
      <c r="A115" s="344" t="s">
        <v>70</v>
      </c>
      <c r="B115" s="413" t="n">
        <v>45909</v>
      </c>
      <c r="C115" s="344" t="s">
        <v>558</v>
      </c>
      <c r="D115" s="344" t="s">
        <v>312</v>
      </c>
      <c r="E115" s="445" t="n">
        <v>54.01</v>
      </c>
      <c r="F115" s="344" t="n">
        <v>-198</v>
      </c>
      <c r="G115" s="433" t="n">
        <v>47.2026</v>
      </c>
      <c r="H115" s="433" t="n">
        <f aca="false">Hoja1!H184</f>
        <v>51.93</v>
      </c>
      <c r="I115" s="414" t="n">
        <f aca="false">G115*F115</f>
        <v>-9346.1148</v>
      </c>
      <c r="J115" s="414" t="n">
        <f aca="false">H115*F115</f>
        <v>-10282.14</v>
      </c>
      <c r="K115" s="414" t="n">
        <f aca="false">(H115-E115)*F115</f>
        <v>411.84</v>
      </c>
      <c r="L115" s="444" t="n">
        <f aca="false">(H115-G115)*F115</f>
        <v>-936.025200000001</v>
      </c>
      <c r="M115" s="268" t="n">
        <f aca="false">+(H115-E115)/E115</f>
        <v>-0.0385113867802259</v>
      </c>
      <c r="N115" s="408" t="n">
        <f aca="false">F115*E115</f>
        <v>-10693.98</v>
      </c>
      <c r="O115" s="42" t="n">
        <v>0.5</v>
      </c>
      <c r="P115" s="441" t="n">
        <f aca="false">O115*J115</f>
        <v>-5141.07</v>
      </c>
      <c r="V115" s="344" t="n">
        <f aca="false">IF(V$92=$D115,$J115,0)</f>
        <v>0</v>
      </c>
      <c r="W115" s="344" t="n">
        <f aca="false">IF(W$92=$D115,$J115,0)</f>
        <v>0</v>
      </c>
      <c r="X115" s="344" t="n">
        <f aca="false">IF(X$92=$D115,$J115,0)</f>
        <v>0</v>
      </c>
      <c r="Y115" s="344" t="n">
        <f aca="false">IF(Y$92=$D115,$J115,0)</f>
        <v>0</v>
      </c>
      <c r="Z115" s="344" t="n">
        <f aca="false">IF(Z$92=$D115,$J115,0)</f>
        <v>0</v>
      </c>
      <c r="AA115" s="344" t="n">
        <f aca="false">IF(AA$92=$D115,$J115,0)</f>
        <v>0</v>
      </c>
      <c r="AB115" s="344" t="n">
        <f aca="false">IF(AB$92=$D115,$J115,0)</f>
        <v>0</v>
      </c>
      <c r="AC115" s="344" t="n">
        <f aca="false">IF(AC$92=$D115,$J115,0)</f>
        <v>0</v>
      </c>
      <c r="AD115" s="344" t="n">
        <f aca="false">IF(AD$92=$D115,$J115,0)</f>
        <v>0</v>
      </c>
      <c r="AE115" s="344" t="n">
        <f aca="false">IF(AE$92=$D115,$J115,0)</f>
        <v>0</v>
      </c>
      <c r="AF115" s="344" t="n">
        <f aca="false">IF(AF$92=$D115,$J115,0)</f>
        <v>0</v>
      </c>
      <c r="AG115" s="441" t="n">
        <f aca="false">IF(AG$92=$D115,$J115,0)</f>
        <v>-10282.14</v>
      </c>
      <c r="AH115" s="344" t="n">
        <f aca="false">IF(AH$92=$D115,$J115,0)</f>
        <v>0</v>
      </c>
      <c r="AI115" s="344" t="n">
        <f aca="false">IF(AI$92=$D115,$J115,0)</f>
        <v>0</v>
      </c>
      <c r="AJ115" s="344" t="n">
        <f aca="false">IF(AJ$92=$D115,$J115,0)</f>
        <v>0</v>
      </c>
      <c r="AK115" s="344" t="n">
        <f aca="false">IF(AK$92=$D115,$J115,0)</f>
        <v>0</v>
      </c>
      <c r="AL115" s="344" t="n">
        <f aca="false">IF(AL$92=$D115,$J115,0)</f>
        <v>0</v>
      </c>
      <c r="AM115" s="344" t="n">
        <f aca="false">IF(AM$92=$D115,$J115,0)</f>
        <v>0</v>
      </c>
      <c r="AN115" s="344" t="n">
        <f aca="false">IF(AN$92=$D115,$J115,0)</f>
        <v>0</v>
      </c>
      <c r="AO115" s="344" t="n">
        <f aca="false">IF(AO$92=$D115,$J115,0)</f>
        <v>0</v>
      </c>
      <c r="AP115" s="344" t="n">
        <f aca="false">IF(AP$92=$D115,$J115,0)</f>
        <v>0</v>
      </c>
      <c r="AQ115" s="344" t="n">
        <f aca="false">IF(AQ$92=$D115,$J115,0)</f>
        <v>0</v>
      </c>
      <c r="AR115" s="344" t="n">
        <f aca="false">IF(AR$92=$D115,$J115,0)</f>
        <v>0</v>
      </c>
      <c r="AS115" s="344" t="n">
        <f aca="false">IF(AS$92=$D115,$J115,0)</f>
        <v>0</v>
      </c>
      <c r="AT115" s="344" t="n">
        <f aca="false">IF(AT$92=$D115,$J115,0)</f>
        <v>0</v>
      </c>
      <c r="AU115" s="344" t="n">
        <f aca="false">IF(AU$92=$D115,$J115,0)</f>
        <v>0</v>
      </c>
      <c r="AV115" s="344" t="n">
        <f aca="false">IF(AV$92=$D115,$J115,0)</f>
        <v>0</v>
      </c>
      <c r="AW115" s="344" t="n">
        <f aca="false">IF(AW$92=$D115,$J115,0)</f>
        <v>0</v>
      </c>
      <c r="AX115" s="344" t="n">
        <f aca="false">IF(AX$92=$D115,$J115,0)</f>
        <v>0</v>
      </c>
      <c r="AY115" s="344" t="n">
        <f aca="false">IF(AY$92=$D115,$J115,0)</f>
        <v>0</v>
      </c>
      <c r="AZ115" s="344" t="n">
        <f aca="false">IF(AZ$92=$D115,$J115,0)</f>
        <v>0</v>
      </c>
    </row>
    <row r="116" customFormat="false" ht="12.75" hidden="false" customHeight="false" outlineLevel="0" collapsed="false">
      <c r="A116" s="344" t="s">
        <v>70</v>
      </c>
      <c r="B116" s="413" t="n">
        <v>46063</v>
      </c>
      <c r="C116" s="344" t="s">
        <v>558</v>
      </c>
      <c r="D116" s="344" t="s">
        <v>312</v>
      </c>
      <c r="E116" s="445" t="n">
        <v>54.01</v>
      </c>
      <c r="F116" s="344" t="n">
        <v>-208</v>
      </c>
      <c r="G116" s="433" t="n">
        <v>61.6399</v>
      </c>
      <c r="H116" s="433" t="n">
        <f aca="false">Hoja1!H184</f>
        <v>51.93</v>
      </c>
      <c r="I116" s="414" t="n">
        <f aca="false">G116*F116</f>
        <v>-12821.0992</v>
      </c>
      <c r="J116" s="414" t="n">
        <f aca="false">H116*F116</f>
        <v>-10801.44</v>
      </c>
      <c r="K116" s="414" t="n">
        <f aca="false">(H116-E116)*F116</f>
        <v>432.64</v>
      </c>
      <c r="L116" s="444" t="n">
        <f aca="false">(H116-G116)*F116</f>
        <v>2019.6592</v>
      </c>
      <c r="M116" s="268" t="n">
        <f aca="false">+(H116-E116)/E116</f>
        <v>-0.0385113867802259</v>
      </c>
      <c r="N116" s="408" t="n">
        <f aca="false">F116*E116</f>
        <v>-11234.08</v>
      </c>
      <c r="O116" s="42" t="n">
        <v>0.5</v>
      </c>
      <c r="P116" s="441" t="n">
        <f aca="false">O116*J116</f>
        <v>-5400.72</v>
      </c>
      <c r="V116" s="344" t="n">
        <f aca="false">IF(V$92=$D116,$J116,0)</f>
        <v>0</v>
      </c>
      <c r="W116" s="344" t="n">
        <f aca="false">IF(W$92=$D116,$J116,0)</f>
        <v>0</v>
      </c>
      <c r="X116" s="344" t="n">
        <f aca="false">IF(X$92=$D116,$J116,0)</f>
        <v>0</v>
      </c>
      <c r="Y116" s="344" t="n">
        <f aca="false">IF(Y$92=$D116,$J116,0)</f>
        <v>0</v>
      </c>
      <c r="Z116" s="344" t="n">
        <f aca="false">IF(Z$92=$D116,$J116,0)</f>
        <v>0</v>
      </c>
      <c r="AA116" s="344" t="n">
        <f aca="false">IF(AA$92=$D116,$J116,0)</f>
        <v>0</v>
      </c>
      <c r="AB116" s="344" t="n">
        <f aca="false">IF(AB$92=$D116,$J116,0)</f>
        <v>0</v>
      </c>
      <c r="AC116" s="344" t="n">
        <f aca="false">IF(AC$92=$D116,$J116,0)</f>
        <v>0</v>
      </c>
      <c r="AD116" s="344" t="n">
        <f aca="false">IF(AD$92=$D116,$J116,0)</f>
        <v>0</v>
      </c>
      <c r="AE116" s="344" t="n">
        <f aca="false">IF(AE$92=$D116,$J116,0)</f>
        <v>0</v>
      </c>
      <c r="AF116" s="344" t="n">
        <f aca="false">IF(AF$92=$D116,$J116,0)</f>
        <v>0</v>
      </c>
      <c r="AG116" s="441" t="n">
        <f aca="false">IF(AG$92=$D116,$J116,0)</f>
        <v>-10801.44</v>
      </c>
      <c r="AH116" s="344" t="n">
        <f aca="false">IF(AH$92=$D116,$J116,0)</f>
        <v>0</v>
      </c>
      <c r="AI116" s="344" t="n">
        <f aca="false">IF(AI$92=$D116,$J116,0)</f>
        <v>0</v>
      </c>
      <c r="AJ116" s="344" t="n">
        <f aca="false">IF(AJ$92=$D116,$J116,0)</f>
        <v>0</v>
      </c>
      <c r="AK116" s="344" t="n">
        <f aca="false">IF(AK$92=$D116,$J116,0)</f>
        <v>0</v>
      </c>
      <c r="AL116" s="344" t="n">
        <f aca="false">IF(AL$92=$D116,$J116,0)</f>
        <v>0</v>
      </c>
      <c r="AM116" s="344" t="n">
        <f aca="false">IF(AM$92=$D116,$J116,0)</f>
        <v>0</v>
      </c>
      <c r="AN116" s="344" t="n">
        <f aca="false">IF(AN$92=$D116,$J116,0)</f>
        <v>0</v>
      </c>
      <c r="AO116" s="344" t="n">
        <f aca="false">IF(AO$92=$D116,$J116,0)</f>
        <v>0</v>
      </c>
      <c r="AP116" s="344" t="n">
        <f aca="false">IF(AP$92=$D116,$J116,0)</f>
        <v>0</v>
      </c>
      <c r="AQ116" s="344" t="n">
        <f aca="false">IF(AQ$92=$D116,$J116,0)</f>
        <v>0</v>
      </c>
      <c r="AR116" s="344" t="n">
        <f aca="false">IF(AR$92=$D116,$J116,0)</f>
        <v>0</v>
      </c>
      <c r="AS116" s="344" t="n">
        <f aca="false">IF(AS$92=$D116,$J116,0)</f>
        <v>0</v>
      </c>
      <c r="AT116" s="344" t="n">
        <f aca="false">IF(AT$92=$D116,$J116,0)</f>
        <v>0</v>
      </c>
      <c r="AU116" s="344" t="n">
        <f aca="false">IF(AU$92=$D116,$J116,0)</f>
        <v>0</v>
      </c>
      <c r="AV116" s="344" t="n">
        <f aca="false">IF(AV$92=$D116,$J116,0)</f>
        <v>0</v>
      </c>
      <c r="AW116" s="344" t="n">
        <f aca="false">IF(AW$92=$D116,$J116,0)</f>
        <v>0</v>
      </c>
      <c r="AX116" s="344" t="n">
        <f aca="false">IF(AX$92=$D116,$J116,0)</f>
        <v>0</v>
      </c>
      <c r="AY116" s="344" t="n">
        <f aca="false">IF(AY$92=$D116,$J116,0)</f>
        <v>0</v>
      </c>
      <c r="AZ116" s="344" t="n">
        <f aca="false">IF(AZ$92=$D116,$J116,0)</f>
        <v>0</v>
      </c>
    </row>
    <row r="117" customFormat="false" ht="12.75" hidden="false" customHeight="false" outlineLevel="0" collapsed="false">
      <c r="A117" s="344" t="s">
        <v>70</v>
      </c>
      <c r="B117" s="413" t="n">
        <v>46091</v>
      </c>
      <c r="C117" s="344" t="s">
        <v>97</v>
      </c>
      <c r="D117" s="344" t="s">
        <v>97</v>
      </c>
      <c r="E117" s="433" t="n">
        <v>660.09</v>
      </c>
      <c r="F117" s="344" t="n">
        <v>-218</v>
      </c>
      <c r="G117" s="443" t="n">
        <v>653.66</v>
      </c>
      <c r="H117" s="443" t="n">
        <v>635.405</v>
      </c>
      <c r="I117" s="414" t="n">
        <f aca="false">G117*F117</f>
        <v>-142497.88</v>
      </c>
      <c r="J117" s="414" t="n">
        <f aca="false">H117*F117</f>
        <v>-138518.29</v>
      </c>
      <c r="K117" s="414" t="n">
        <f aca="false">(H117-E117)*F117</f>
        <v>5381.33000000001</v>
      </c>
      <c r="L117" s="444" t="n">
        <f aca="false">(H117-G117)*F117</f>
        <v>3979.59</v>
      </c>
      <c r="M117" s="268" t="n">
        <f aca="false">+(H117-E117)/E117</f>
        <v>-0.0373964156402916</v>
      </c>
      <c r="N117" s="408" t="n">
        <f aca="false">F117*E117</f>
        <v>-143899.62</v>
      </c>
      <c r="O117" s="42" t="n">
        <v>0.5</v>
      </c>
      <c r="P117" s="441" t="n">
        <f aca="false">O117*J117</f>
        <v>-69259.145</v>
      </c>
      <c r="V117" s="344" t="n">
        <f aca="false">IF(V$92=$D117,$J117,0)</f>
        <v>0</v>
      </c>
      <c r="W117" s="344" t="n">
        <f aca="false">IF(W$92=$D117,$J117,0)</f>
        <v>0</v>
      </c>
      <c r="X117" s="344" t="n">
        <f aca="false">IF(X$92=$D117,$J117,0)</f>
        <v>0</v>
      </c>
      <c r="Y117" s="344" t="n">
        <f aca="false">IF(Y$92=$D117,$J117,0)</f>
        <v>0</v>
      </c>
      <c r="Z117" s="344" t="n">
        <f aca="false">IF(Z$92=$D117,$J117,0)</f>
        <v>0</v>
      </c>
      <c r="AA117" s="344" t="n">
        <f aca="false">IF(AA$92=$D117,$J117,0)</f>
        <v>0</v>
      </c>
      <c r="AB117" s="344" t="n">
        <f aca="false">IF(AB$92=$D117,$J117,0)</f>
        <v>0</v>
      </c>
      <c r="AC117" s="344" t="n">
        <f aca="false">IF(AC$92=$D117,$J117,0)</f>
        <v>0</v>
      </c>
      <c r="AD117" s="344" t="n">
        <f aca="false">IF(AD$92=$D117,$J117,0)</f>
        <v>0</v>
      </c>
      <c r="AE117" s="344" t="n">
        <f aca="false">IF(AE$92=$D117,$J117,0)</f>
        <v>0</v>
      </c>
      <c r="AF117" s="344" t="n">
        <f aca="false">IF(AF$92=$D117,$J117,0)</f>
        <v>0</v>
      </c>
      <c r="AG117" s="344" t="n">
        <f aca="false">IF(AG$92=$D117,$J117,0)</f>
        <v>0</v>
      </c>
      <c r="AH117" s="441" t="n">
        <f aca="false">IF(AH$92=$D117,$J117,0)</f>
        <v>-138518.29</v>
      </c>
      <c r="AI117" s="344" t="n">
        <f aca="false">IF(AI$92=$D117,$J117,0)</f>
        <v>0</v>
      </c>
      <c r="AJ117" s="344" t="n">
        <f aca="false">IF(AJ$92=$D117,$J117,0)</f>
        <v>0</v>
      </c>
      <c r="AK117" s="344" t="n">
        <f aca="false">IF(AK$92=$D117,$J117,0)</f>
        <v>0</v>
      </c>
      <c r="AL117" s="344" t="n">
        <f aca="false">IF(AL$92=$D117,$J117,0)</f>
        <v>0</v>
      </c>
      <c r="AM117" s="344" t="n">
        <f aca="false">IF(AM$92=$D117,$J117,0)</f>
        <v>0</v>
      </c>
      <c r="AN117" s="344" t="n">
        <f aca="false">IF(AN$92=$D117,$J117,0)</f>
        <v>0</v>
      </c>
      <c r="AO117" s="344" t="n">
        <f aca="false">IF(AO$92=$D117,$J117,0)</f>
        <v>0</v>
      </c>
      <c r="AP117" s="344" t="n">
        <f aca="false">IF(AP$92=$D117,$J117,0)</f>
        <v>0</v>
      </c>
      <c r="AQ117" s="344" t="n">
        <f aca="false">IF(AQ$92=$D117,$J117,0)</f>
        <v>0</v>
      </c>
      <c r="AR117" s="344" t="n">
        <f aca="false">IF(AR$92=$D117,$J117,0)</f>
        <v>0</v>
      </c>
      <c r="AS117" s="344" t="n">
        <f aca="false">IF(AS$92=$D117,$J117,0)</f>
        <v>0</v>
      </c>
      <c r="AT117" s="344" t="n">
        <f aca="false">IF(AT$92=$D117,$J117,0)</f>
        <v>0</v>
      </c>
      <c r="AU117" s="344" t="n">
        <f aca="false">IF(AU$92=$D117,$J117,0)</f>
        <v>0</v>
      </c>
      <c r="AV117" s="344" t="n">
        <f aca="false">IF(AV$92=$D117,$J117,0)</f>
        <v>0</v>
      </c>
      <c r="AW117" s="344" t="n">
        <f aca="false">IF(AW$92=$D117,$J117,0)</f>
        <v>0</v>
      </c>
      <c r="AX117" s="344" t="n">
        <f aca="false">IF(AX$92=$D117,$J117,0)</f>
        <v>0</v>
      </c>
      <c r="AY117" s="344" t="n">
        <f aca="false">IF(AY$92=$D117,$J117,0)</f>
        <v>0</v>
      </c>
      <c r="AZ117" s="344" t="n">
        <f aca="false">IF(AZ$92=$D117,$J117,0)</f>
        <v>0</v>
      </c>
    </row>
    <row r="118" customFormat="false" ht="12.75" hidden="false" customHeight="false" outlineLevel="0" collapsed="false">
      <c r="A118" s="344" t="s">
        <v>70</v>
      </c>
      <c r="B118" s="413" t="n">
        <v>45875</v>
      </c>
      <c r="C118" s="344" t="s">
        <v>97</v>
      </c>
      <c r="D118" s="344" t="s">
        <v>97</v>
      </c>
      <c r="E118" s="433" t="n">
        <v>660.09</v>
      </c>
      <c r="F118" s="344" t="n">
        <v>-228</v>
      </c>
      <c r="G118" s="433" t="n">
        <v>766.56</v>
      </c>
      <c r="H118" s="443" t="n">
        <f aca="false">Hoja1!H28</f>
        <v>627.48</v>
      </c>
      <c r="I118" s="414" t="n">
        <f aca="false">G118*F118</f>
        <v>-174775.68</v>
      </c>
      <c r="J118" s="414" t="n">
        <f aca="false">H118*F118</f>
        <v>-143065.44</v>
      </c>
      <c r="K118" s="414" t="n">
        <f aca="false">(H118-E118)*F118</f>
        <v>7435.08</v>
      </c>
      <c r="L118" s="444" t="n">
        <f aca="false">(H118-G118)*F118</f>
        <v>31710.24</v>
      </c>
      <c r="M118" s="268" t="n">
        <f aca="false">+(H118-E118)/E118</f>
        <v>-0.049402354224424</v>
      </c>
      <c r="N118" s="408" t="n">
        <f aca="false">F118*E118</f>
        <v>-150500.52</v>
      </c>
      <c r="O118" s="42" t="n">
        <v>0.75</v>
      </c>
      <c r="P118" s="441" t="n">
        <f aca="false">O118*J118</f>
        <v>-107299.08</v>
      </c>
      <c r="V118" s="344" t="n">
        <f aca="false">IF(V$92=$D118,$J118,0)</f>
        <v>0</v>
      </c>
      <c r="W118" s="344" t="n">
        <f aca="false">IF(W$92=$D118,$J118,0)</f>
        <v>0</v>
      </c>
      <c r="X118" s="344" t="n">
        <f aca="false">IF(X$92=$D118,$J118,0)</f>
        <v>0</v>
      </c>
      <c r="Y118" s="344" t="n">
        <f aca="false">IF(Y$92=$D118,$J118,0)</f>
        <v>0</v>
      </c>
      <c r="Z118" s="344" t="n">
        <f aca="false">IF(Z$92=$D118,$J118,0)</f>
        <v>0</v>
      </c>
      <c r="AA118" s="344" t="n">
        <f aca="false">IF(AA$92=$D118,$J118,0)</f>
        <v>0</v>
      </c>
      <c r="AB118" s="344" t="n">
        <f aca="false">IF(AB$92=$D118,$J118,0)</f>
        <v>0</v>
      </c>
      <c r="AC118" s="344" t="n">
        <f aca="false">IF(AC$92=$D118,$J118,0)</f>
        <v>0</v>
      </c>
      <c r="AD118" s="344" t="n">
        <f aca="false">IF(AD$92=$D118,$J118,0)</f>
        <v>0</v>
      </c>
      <c r="AE118" s="344" t="n">
        <f aca="false">IF(AE$92=$D118,$J118,0)</f>
        <v>0</v>
      </c>
      <c r="AF118" s="344" t="n">
        <f aca="false">IF(AF$92=$D118,$J118,0)</f>
        <v>0</v>
      </c>
      <c r="AG118" s="344" t="n">
        <f aca="false">IF(AG$92=$D118,$J118,0)</f>
        <v>0</v>
      </c>
      <c r="AH118" s="441" t="n">
        <f aca="false">IF(AH$92=$D118,$J118,0)</f>
        <v>-143065.44</v>
      </c>
      <c r="AI118" s="344" t="n">
        <f aca="false">IF(AI$92=$D118,$J118,0)</f>
        <v>0</v>
      </c>
      <c r="AJ118" s="344" t="n">
        <f aca="false">IF(AJ$92=$D118,$J118,0)</f>
        <v>0</v>
      </c>
      <c r="AK118" s="344" t="n">
        <f aca="false">IF(AK$92=$D118,$J118,0)</f>
        <v>0</v>
      </c>
      <c r="AL118" s="344" t="n">
        <f aca="false">IF(AL$92=$D118,$J118,0)</f>
        <v>0</v>
      </c>
      <c r="AM118" s="344" t="n">
        <f aca="false">IF(AM$92=$D118,$J118,0)</f>
        <v>0</v>
      </c>
      <c r="AN118" s="344" t="n">
        <f aca="false">IF(AN$92=$D118,$J118,0)</f>
        <v>0</v>
      </c>
      <c r="AO118" s="344" t="n">
        <f aca="false">IF(AO$92=$D118,$J118,0)</f>
        <v>0</v>
      </c>
      <c r="AP118" s="344" t="n">
        <f aca="false">IF(AP$92=$D118,$J118,0)</f>
        <v>0</v>
      </c>
      <c r="AQ118" s="344" t="n">
        <f aca="false">IF(AQ$92=$D118,$J118,0)</f>
        <v>0</v>
      </c>
      <c r="AR118" s="344" t="n">
        <f aca="false">IF(AR$92=$D118,$J118,0)</f>
        <v>0</v>
      </c>
      <c r="AS118" s="344" t="n">
        <f aca="false">IF(AS$92=$D118,$J118,0)</f>
        <v>0</v>
      </c>
      <c r="AT118" s="344" t="n">
        <f aca="false">IF(AT$92=$D118,$J118,0)</f>
        <v>0</v>
      </c>
      <c r="AU118" s="344" t="n">
        <f aca="false">IF(AU$92=$D118,$J118,0)</f>
        <v>0</v>
      </c>
      <c r="AV118" s="344" t="n">
        <f aca="false">IF(AV$92=$D118,$J118,0)</f>
        <v>0</v>
      </c>
      <c r="AW118" s="344" t="n">
        <f aca="false">IF(AW$92=$D118,$J118,0)</f>
        <v>0</v>
      </c>
      <c r="AX118" s="344" t="n">
        <f aca="false">IF(AX$92=$D118,$J118,0)</f>
        <v>0</v>
      </c>
      <c r="AY118" s="344" t="n">
        <f aca="false">IF(AY$92=$D118,$J118,0)</f>
        <v>0</v>
      </c>
      <c r="AZ118" s="344" t="n">
        <f aca="false">IF(AZ$92=$D118,$J118,0)</f>
        <v>0</v>
      </c>
    </row>
    <row r="119" customFormat="false" ht="12.75" hidden="false" customHeight="false" outlineLevel="0" collapsed="false">
      <c r="A119" s="344" t="s">
        <v>70</v>
      </c>
      <c r="B119" s="413" t="n">
        <v>45875</v>
      </c>
      <c r="C119" s="344" t="s">
        <v>97</v>
      </c>
      <c r="D119" s="344" t="s">
        <v>97</v>
      </c>
      <c r="E119" s="433" t="n">
        <v>660.09</v>
      </c>
      <c r="F119" s="344" t="n">
        <v>-238</v>
      </c>
      <c r="G119" s="433" t="n">
        <v>783.105</v>
      </c>
      <c r="H119" s="443" t="n">
        <f aca="false">Hoja1!H28</f>
        <v>627.48</v>
      </c>
      <c r="I119" s="414" t="n">
        <f aca="false">G119*F119</f>
        <v>-186378.99</v>
      </c>
      <c r="J119" s="414" t="n">
        <f aca="false">H119*F119</f>
        <v>-149340.24</v>
      </c>
      <c r="K119" s="414" t="n">
        <f aca="false">(H119-E119)*F119</f>
        <v>7761.18</v>
      </c>
      <c r="L119" s="444" t="n">
        <f aca="false">(H119-G119)*F119</f>
        <v>37038.75</v>
      </c>
      <c r="M119" s="268" t="n">
        <f aca="false">+(H119-E119)/E119</f>
        <v>-0.049402354224424</v>
      </c>
      <c r="N119" s="408" t="n">
        <f aca="false">F119*E119</f>
        <v>-157101.42</v>
      </c>
      <c r="O119" s="42" t="n">
        <v>0.5</v>
      </c>
      <c r="P119" s="441" t="n">
        <f aca="false">O119*J119</f>
        <v>-74670.12</v>
      </c>
      <c r="V119" s="344" t="n">
        <f aca="false">IF(V$92=$D119,$J119,0)</f>
        <v>0</v>
      </c>
      <c r="W119" s="344" t="n">
        <f aca="false">IF(W$92=$D119,$J119,0)</f>
        <v>0</v>
      </c>
      <c r="X119" s="344" t="n">
        <f aca="false">IF(X$92=$D119,$J119,0)</f>
        <v>0</v>
      </c>
      <c r="Y119" s="344" t="n">
        <f aca="false">IF(Y$92=$D119,$J119,0)</f>
        <v>0</v>
      </c>
      <c r="Z119" s="344" t="n">
        <f aca="false">IF(Z$92=$D119,$J119,0)</f>
        <v>0</v>
      </c>
      <c r="AA119" s="344" t="n">
        <f aca="false">IF(AA$92=$D119,$J119,0)</f>
        <v>0</v>
      </c>
      <c r="AB119" s="344" t="n">
        <f aca="false">IF(AB$92=$D119,$J119,0)</f>
        <v>0</v>
      </c>
      <c r="AC119" s="344" t="n">
        <f aca="false">IF(AC$92=$D119,$J119,0)</f>
        <v>0</v>
      </c>
      <c r="AD119" s="344" t="n">
        <f aca="false">IF(AD$92=$D119,$J119,0)</f>
        <v>0</v>
      </c>
      <c r="AE119" s="344" t="n">
        <f aca="false">IF(AE$92=$D119,$J119,0)</f>
        <v>0</v>
      </c>
      <c r="AF119" s="344" t="n">
        <f aca="false">IF(AF$92=$D119,$J119,0)</f>
        <v>0</v>
      </c>
      <c r="AG119" s="344" t="n">
        <f aca="false">IF(AG$92=$D119,$J119,0)</f>
        <v>0</v>
      </c>
      <c r="AH119" s="441" t="n">
        <f aca="false">IF(AH$92=$D119,$J119,0)</f>
        <v>-149340.24</v>
      </c>
      <c r="AI119" s="344" t="n">
        <f aca="false">IF(AI$92=$D119,$J119,0)</f>
        <v>0</v>
      </c>
      <c r="AJ119" s="344" t="n">
        <f aca="false">IF(AJ$92=$D119,$J119,0)</f>
        <v>0</v>
      </c>
      <c r="AK119" s="344" t="n">
        <f aca="false">IF(AK$92=$D119,$J119,0)</f>
        <v>0</v>
      </c>
      <c r="AL119" s="344" t="n">
        <f aca="false">IF(AL$92=$D119,$J119,0)</f>
        <v>0</v>
      </c>
      <c r="AM119" s="344" t="n">
        <f aca="false">IF(AM$92=$D119,$J119,0)</f>
        <v>0</v>
      </c>
      <c r="AN119" s="344" t="n">
        <f aca="false">IF(AN$92=$D119,$J119,0)</f>
        <v>0</v>
      </c>
      <c r="AO119" s="344" t="n">
        <f aca="false">IF(AO$92=$D119,$J119,0)</f>
        <v>0</v>
      </c>
      <c r="AP119" s="344" t="n">
        <f aca="false">IF(AP$92=$D119,$J119,0)</f>
        <v>0</v>
      </c>
      <c r="AQ119" s="344" t="n">
        <f aca="false">IF(AQ$92=$D119,$J119,0)</f>
        <v>0</v>
      </c>
      <c r="AR119" s="344" t="n">
        <f aca="false">IF(AR$92=$D119,$J119,0)</f>
        <v>0</v>
      </c>
      <c r="AS119" s="344" t="n">
        <f aca="false">IF(AS$92=$D119,$J119,0)</f>
        <v>0</v>
      </c>
      <c r="AT119" s="344" t="n">
        <f aca="false">IF(AT$92=$D119,$J119,0)</f>
        <v>0</v>
      </c>
      <c r="AU119" s="344" t="n">
        <f aca="false">IF(AU$92=$D119,$J119,0)</f>
        <v>0</v>
      </c>
      <c r="AV119" s="344" t="n">
        <f aca="false">IF(AV$92=$D119,$J119,0)</f>
        <v>0</v>
      </c>
      <c r="AW119" s="344" t="n">
        <f aca="false">IF(AW$92=$D119,$J119,0)</f>
        <v>0</v>
      </c>
      <c r="AX119" s="344" t="n">
        <f aca="false">IF(AX$92=$D119,$J119,0)</f>
        <v>0</v>
      </c>
      <c r="AY119" s="344" t="n">
        <f aca="false">IF(AY$92=$D119,$J119,0)</f>
        <v>0</v>
      </c>
      <c r="AZ119" s="344" t="n">
        <f aca="false">IF(AZ$92=$D119,$J119,0)</f>
        <v>0</v>
      </c>
    </row>
    <row r="120" customFormat="false" ht="12.75" hidden="false" customHeight="false" outlineLevel="0" collapsed="false">
      <c r="A120" s="344" t="s">
        <v>70</v>
      </c>
      <c r="B120" s="413" t="n">
        <v>45875</v>
      </c>
      <c r="C120" s="344" t="s">
        <v>145</v>
      </c>
      <c r="D120" s="344" t="s">
        <v>145</v>
      </c>
      <c r="E120" s="433" t="n">
        <v>483.62</v>
      </c>
      <c r="F120" s="344" t="n">
        <v>-248</v>
      </c>
      <c r="G120" s="433" t="n">
        <v>527.1208</v>
      </c>
      <c r="H120" s="433" t="n">
        <f aca="false">Hoja1!H35</f>
        <v>376.92</v>
      </c>
      <c r="I120" s="414" t="n">
        <f aca="false">G120*F120</f>
        <v>-130725.9584</v>
      </c>
      <c r="J120" s="414" t="n">
        <f aca="false">H120*F120</f>
        <v>-93476.16</v>
      </c>
      <c r="K120" s="414" t="n">
        <f aca="false">(H120-E120)*F120</f>
        <v>26461.6</v>
      </c>
      <c r="L120" s="444" t="n">
        <f aca="false">(H120-G120)*F120</f>
        <v>37249.7984</v>
      </c>
      <c r="M120" s="268" t="n">
        <f aca="false">+(H120-E120)/E120</f>
        <v>-0.220627765601092</v>
      </c>
      <c r="N120" s="408" t="n">
        <f aca="false">F120*E120</f>
        <v>-119937.76</v>
      </c>
      <c r="O120" s="42" t="n">
        <v>0.75</v>
      </c>
      <c r="P120" s="441" t="n">
        <f aca="false">O120*J120</f>
        <v>-70107.12</v>
      </c>
      <c r="V120" s="344" t="n">
        <f aca="false">IF(V$92=$D120,$J120,0)</f>
        <v>0</v>
      </c>
      <c r="W120" s="344" t="n">
        <f aca="false">IF(W$92=$D120,$J120,0)</f>
        <v>0</v>
      </c>
      <c r="X120" s="344" t="n">
        <f aca="false">IF(X$92=$D120,$J120,0)</f>
        <v>0</v>
      </c>
      <c r="Y120" s="344" t="n">
        <f aca="false">IF(Y$92=$D120,$J120,0)</f>
        <v>0</v>
      </c>
      <c r="Z120" s="344" t="n">
        <f aca="false">IF(Z$92=$D120,$J120,0)</f>
        <v>0</v>
      </c>
      <c r="AA120" s="344" t="n">
        <f aca="false">IF(AA$92=$D120,$J120,0)</f>
        <v>0</v>
      </c>
      <c r="AB120" s="344" t="n">
        <f aca="false">IF(AB$92=$D120,$J120,0)</f>
        <v>0</v>
      </c>
      <c r="AC120" s="344" t="n">
        <f aca="false">IF(AC$92=$D120,$J120,0)</f>
        <v>0</v>
      </c>
      <c r="AD120" s="344" t="n">
        <f aca="false">IF(AD$92=$D120,$J120,0)</f>
        <v>0</v>
      </c>
      <c r="AE120" s="344" t="n">
        <f aca="false">IF(AE$92=$D120,$J120,0)</f>
        <v>0</v>
      </c>
      <c r="AF120" s="344" t="n">
        <f aca="false">IF(AF$92=$D120,$J120,0)</f>
        <v>0</v>
      </c>
      <c r="AG120" s="344" t="n">
        <f aca="false">IF(AG$92=$D120,$J120,0)</f>
        <v>0</v>
      </c>
      <c r="AH120" s="344" t="n">
        <f aca="false">IF(AH$92=$D120,$J120,0)</f>
        <v>0</v>
      </c>
      <c r="AI120" s="441" t="n">
        <f aca="false">IF(AI$92=$D120,$J120,0)</f>
        <v>-93476.16</v>
      </c>
      <c r="AJ120" s="344" t="n">
        <f aca="false">IF(AJ$92=$D120,$J120,0)</f>
        <v>0</v>
      </c>
      <c r="AK120" s="344" t="n">
        <f aca="false">IF(AK$92=$D120,$J120,0)</f>
        <v>0</v>
      </c>
      <c r="AL120" s="344" t="n">
        <f aca="false">IF(AL$92=$D120,$J120,0)</f>
        <v>0</v>
      </c>
      <c r="AM120" s="344" t="n">
        <f aca="false">IF(AM$92=$D120,$J120,0)</f>
        <v>0</v>
      </c>
      <c r="AN120" s="344" t="n">
        <f aca="false">IF(AN$92=$D120,$J120,0)</f>
        <v>0</v>
      </c>
      <c r="AO120" s="344" t="n">
        <f aca="false">IF(AO$92=$D120,$J120,0)</f>
        <v>0</v>
      </c>
      <c r="AP120" s="344" t="n">
        <f aca="false">IF(AP$92=$D120,$J120,0)</f>
        <v>0</v>
      </c>
      <c r="AQ120" s="344" t="n">
        <f aca="false">IF(AQ$92=$D120,$J120,0)</f>
        <v>0</v>
      </c>
      <c r="AR120" s="344" t="n">
        <f aca="false">IF(AR$92=$D120,$J120,0)</f>
        <v>0</v>
      </c>
      <c r="AS120" s="344" t="n">
        <f aca="false">IF(AS$92=$D120,$J120,0)</f>
        <v>0</v>
      </c>
      <c r="AT120" s="344" t="n">
        <f aca="false">IF(AT$92=$D120,$J120,0)</f>
        <v>0</v>
      </c>
      <c r="AU120" s="344" t="n">
        <f aca="false">IF(AU$92=$D120,$J120,0)</f>
        <v>0</v>
      </c>
      <c r="AV120" s="344" t="n">
        <f aca="false">IF(AV$92=$D120,$J120,0)</f>
        <v>0</v>
      </c>
      <c r="AW120" s="344" t="n">
        <f aca="false">IF(AW$92=$D120,$J120,0)</f>
        <v>0</v>
      </c>
      <c r="AX120" s="344" t="n">
        <f aca="false">IF(AX$92=$D120,$J120,0)</f>
        <v>0</v>
      </c>
      <c r="AY120" s="344" t="n">
        <f aca="false">IF(AY$92=$D120,$J120,0)</f>
        <v>0</v>
      </c>
      <c r="AZ120" s="344" t="n">
        <f aca="false">IF(AZ$92=$D120,$J120,0)</f>
        <v>0</v>
      </c>
    </row>
    <row r="121" customFormat="false" ht="12.75" hidden="false" customHeight="false" outlineLevel="0" collapsed="false">
      <c r="A121" s="344" t="s">
        <v>70</v>
      </c>
      <c r="B121" s="413" t="n">
        <v>46056</v>
      </c>
      <c r="C121" s="344" t="s">
        <v>145</v>
      </c>
      <c r="D121" s="344" t="s">
        <v>145</v>
      </c>
      <c r="E121" s="433"/>
      <c r="F121" s="344" t="n">
        <v>-258</v>
      </c>
      <c r="G121" s="433" t="n">
        <v>415.190792</v>
      </c>
      <c r="H121" s="433" t="n">
        <f aca="false">Hoja1!H35</f>
        <v>376.92</v>
      </c>
      <c r="I121" s="414" t="n">
        <f aca="false">G121*F121</f>
        <v>-107119.224336</v>
      </c>
      <c r="J121" s="414" t="n">
        <f aca="false">H121*F121</f>
        <v>-97245.36</v>
      </c>
      <c r="K121" s="414" t="n">
        <f aca="false">(H121-E121)*F121</f>
        <v>-97245.36</v>
      </c>
      <c r="L121" s="444" t="n">
        <f aca="false">(H121-G121)*F121</f>
        <v>9873.86433600001</v>
      </c>
      <c r="M121" s="268" t="n">
        <f aca="false">+(H121-G121)/G121</f>
        <v>-0.0921763987482652</v>
      </c>
      <c r="N121" s="408" t="n">
        <f aca="false">F121*E121</f>
        <v>-0</v>
      </c>
      <c r="O121" s="42" t="n">
        <v>0.5</v>
      </c>
      <c r="P121" s="441" t="n">
        <f aca="false">O121*J121</f>
        <v>-48622.68</v>
      </c>
      <c r="V121" s="344" t="n">
        <f aca="false">IF(V$92=$D121,$J121,0)</f>
        <v>0</v>
      </c>
      <c r="W121" s="344" t="n">
        <f aca="false">IF(W$92=$D121,$J121,0)</f>
        <v>0</v>
      </c>
      <c r="X121" s="344" t="n">
        <f aca="false">IF(X$92=$D121,$J121,0)</f>
        <v>0</v>
      </c>
      <c r="Y121" s="344" t="n">
        <f aca="false">IF(Y$92=$D121,$J121,0)</f>
        <v>0</v>
      </c>
      <c r="Z121" s="344" t="n">
        <f aca="false">IF(Z$92=$D121,$J121,0)</f>
        <v>0</v>
      </c>
      <c r="AA121" s="344" t="n">
        <f aca="false">IF(AA$92=$D121,$J121,0)</f>
        <v>0</v>
      </c>
      <c r="AB121" s="344" t="n">
        <f aca="false">IF(AB$92=$D121,$J121,0)</f>
        <v>0</v>
      </c>
      <c r="AC121" s="344" t="n">
        <f aca="false">IF(AC$92=$D121,$J121,0)</f>
        <v>0</v>
      </c>
      <c r="AD121" s="344" t="n">
        <f aca="false">IF(AD$92=$D121,$J121,0)</f>
        <v>0</v>
      </c>
      <c r="AE121" s="344" t="n">
        <f aca="false">IF(AE$92=$D121,$J121,0)</f>
        <v>0</v>
      </c>
      <c r="AF121" s="344" t="n">
        <f aca="false">IF(AF$92=$D121,$J121,0)</f>
        <v>0</v>
      </c>
      <c r="AG121" s="344" t="n">
        <f aca="false">IF(AG$92=$D121,$J121,0)</f>
        <v>0</v>
      </c>
      <c r="AH121" s="344" t="n">
        <f aca="false">IF(AH$92=$D121,$J121,0)</f>
        <v>0</v>
      </c>
      <c r="AI121" s="441" t="n">
        <f aca="false">IF(AI$92=$D121,$J121,0)</f>
        <v>-97245.36</v>
      </c>
      <c r="AJ121" s="344" t="n">
        <f aca="false">IF(AJ$92=$D121,$J121,0)</f>
        <v>0</v>
      </c>
      <c r="AK121" s="344" t="n">
        <f aca="false">IF(AK$92=$D121,$J121,0)</f>
        <v>0</v>
      </c>
      <c r="AL121" s="344" t="n">
        <f aca="false">IF(AL$92=$D121,$J121,0)</f>
        <v>0</v>
      </c>
      <c r="AM121" s="344" t="n">
        <f aca="false">IF(AM$92=$D121,$J121,0)</f>
        <v>0</v>
      </c>
      <c r="AN121" s="344" t="n">
        <f aca="false">IF(AN$92=$D121,$J121,0)</f>
        <v>0</v>
      </c>
      <c r="AO121" s="344" t="n">
        <f aca="false">IF(AO$92=$D121,$J121,0)</f>
        <v>0</v>
      </c>
      <c r="AP121" s="344" t="n">
        <f aca="false">IF(AP$92=$D121,$J121,0)</f>
        <v>0</v>
      </c>
      <c r="AQ121" s="344" t="n">
        <f aca="false">IF(AQ$92=$D121,$J121,0)</f>
        <v>0</v>
      </c>
      <c r="AR121" s="344" t="n">
        <f aca="false">IF(AR$92=$D121,$J121,0)</f>
        <v>0</v>
      </c>
      <c r="AS121" s="344" t="n">
        <f aca="false">IF(AS$92=$D121,$J121,0)</f>
        <v>0</v>
      </c>
      <c r="AT121" s="344" t="n">
        <f aca="false">IF(AT$92=$D121,$J121,0)</f>
        <v>0</v>
      </c>
      <c r="AU121" s="344" t="n">
        <f aca="false">IF(AU$92=$D121,$J121,0)</f>
        <v>0</v>
      </c>
      <c r="AV121" s="344" t="n">
        <f aca="false">IF(AV$92=$D121,$J121,0)</f>
        <v>0</v>
      </c>
      <c r="AW121" s="344" t="n">
        <f aca="false">IF(AW$92=$D121,$J121,0)</f>
        <v>0</v>
      </c>
      <c r="AX121" s="344" t="n">
        <f aca="false">IF(AX$92=$D121,$J121,0)</f>
        <v>0</v>
      </c>
      <c r="AY121" s="344" t="n">
        <f aca="false">IF(AY$92=$D121,$J121,0)</f>
        <v>0</v>
      </c>
      <c r="AZ121" s="344" t="n">
        <f aca="false">IF(AZ$92=$D121,$J121,0)</f>
        <v>0</v>
      </c>
    </row>
    <row r="122" customFormat="false" ht="12.75" hidden="false" customHeight="false" outlineLevel="0" collapsed="false">
      <c r="A122" s="344" t="s">
        <v>70</v>
      </c>
      <c r="B122" s="413" t="n">
        <v>45870</v>
      </c>
      <c r="C122" s="344" t="s">
        <v>86</v>
      </c>
      <c r="D122" s="344" t="s">
        <v>86</v>
      </c>
      <c r="E122" s="433" t="n">
        <v>186.5</v>
      </c>
      <c r="F122" s="344" t="n">
        <v>-268</v>
      </c>
      <c r="G122" s="443" t="n">
        <v>172.3652</v>
      </c>
      <c r="H122" s="443" t="n">
        <f aca="false">Hoja1!H133</f>
        <v>188.33</v>
      </c>
      <c r="I122" s="414" t="n">
        <f aca="false">G122*F122</f>
        <v>-46193.8736</v>
      </c>
      <c r="J122" s="414" t="n">
        <f aca="false">H122*F122</f>
        <v>-50472.44</v>
      </c>
      <c r="K122" s="414" t="n">
        <f aca="false">(H122-E122)*F122</f>
        <v>-490.439999999996</v>
      </c>
      <c r="L122" s="444" t="n">
        <f aca="false">(H122-G122)*F122</f>
        <v>-4278.5664</v>
      </c>
      <c r="M122" s="268" t="n">
        <f aca="false">+(H122-E122)/E122</f>
        <v>0.0098123324396782</v>
      </c>
      <c r="N122" s="408" t="n">
        <f aca="false">F122*E122</f>
        <v>-49982</v>
      </c>
      <c r="O122" s="42" t="n">
        <v>0.5</v>
      </c>
      <c r="P122" s="441" t="n">
        <f aca="false">O122*J122</f>
        <v>-25236.22</v>
      </c>
      <c r="V122" s="344" t="n">
        <f aca="false">IF(V$92=$D122,$J122,0)</f>
        <v>0</v>
      </c>
      <c r="W122" s="344" t="n">
        <f aca="false">IF(W$92=$D122,$J122,0)</f>
        <v>0</v>
      </c>
      <c r="X122" s="344" t="n">
        <f aca="false">IF(X$92=$D122,$J122,0)</f>
        <v>0</v>
      </c>
      <c r="Y122" s="344" t="n">
        <f aca="false">IF(Y$92=$D122,$J122,0)</f>
        <v>0</v>
      </c>
      <c r="Z122" s="344" t="n">
        <f aca="false">IF(Z$92=$D122,$J122,0)</f>
        <v>0</v>
      </c>
      <c r="AA122" s="344" t="n">
        <f aca="false">IF(AA$92=$D122,$J122,0)</f>
        <v>0</v>
      </c>
      <c r="AB122" s="344" t="n">
        <f aca="false">IF(AB$92=$D122,$J122,0)</f>
        <v>0</v>
      </c>
      <c r="AC122" s="344" t="n">
        <f aca="false">IF(AC$92=$D122,$J122,0)</f>
        <v>0</v>
      </c>
      <c r="AD122" s="344" t="n">
        <f aca="false">IF(AD$92=$D122,$J122,0)</f>
        <v>0</v>
      </c>
      <c r="AE122" s="344" t="n">
        <f aca="false">IF(AE$92=$D122,$J122,0)</f>
        <v>0</v>
      </c>
      <c r="AF122" s="344" t="n">
        <f aca="false">IF(AF$92=$D122,$J122,0)</f>
        <v>0</v>
      </c>
      <c r="AG122" s="344" t="n">
        <f aca="false">IF(AG$92=$D122,$J122,0)</f>
        <v>0</v>
      </c>
      <c r="AH122" s="344" t="n">
        <f aca="false">IF(AH$92=$D122,$J122,0)</f>
        <v>0</v>
      </c>
      <c r="AI122" s="344" t="n">
        <f aca="false">IF(AI$92=$D122,$J122,0)</f>
        <v>0</v>
      </c>
      <c r="AJ122" s="441" t="n">
        <f aca="false">IF(AJ$92=$D122,$J122,0)</f>
        <v>-50472.44</v>
      </c>
      <c r="AK122" s="344" t="n">
        <f aca="false">IF(AK$92=$D122,$J122,0)</f>
        <v>0</v>
      </c>
      <c r="AL122" s="344" t="n">
        <f aca="false">IF(AL$92=$D122,$J122,0)</f>
        <v>0</v>
      </c>
      <c r="AM122" s="344" t="n">
        <f aca="false">IF(AM$92=$D122,$J122,0)</f>
        <v>0</v>
      </c>
      <c r="AN122" s="344" t="n">
        <f aca="false">IF(AN$92=$D122,$J122,0)</f>
        <v>0</v>
      </c>
      <c r="AO122" s="344" t="n">
        <f aca="false">IF(AO$92=$D122,$J122,0)</f>
        <v>0</v>
      </c>
      <c r="AP122" s="344" t="n">
        <f aca="false">IF(AP$92=$D122,$J122,0)</f>
        <v>0</v>
      </c>
      <c r="AQ122" s="344" t="n">
        <f aca="false">IF(AQ$92=$D122,$J122,0)</f>
        <v>0</v>
      </c>
      <c r="AR122" s="344" t="n">
        <f aca="false">IF(AR$92=$D122,$J122,0)</f>
        <v>0</v>
      </c>
      <c r="AS122" s="344" t="n">
        <f aca="false">IF(AS$92=$D122,$J122,0)</f>
        <v>0</v>
      </c>
      <c r="AT122" s="344" t="n">
        <f aca="false">IF(AT$92=$D122,$J122,0)</f>
        <v>0</v>
      </c>
      <c r="AU122" s="344" t="n">
        <f aca="false">IF(AU$92=$D122,$J122,0)</f>
        <v>0</v>
      </c>
      <c r="AV122" s="344" t="n">
        <f aca="false">IF(AV$92=$D122,$J122,0)</f>
        <v>0</v>
      </c>
      <c r="AW122" s="344" t="n">
        <f aca="false">IF(AW$92=$D122,$J122,0)</f>
        <v>0</v>
      </c>
      <c r="AX122" s="344" t="n">
        <f aca="false">IF(AX$92=$D122,$J122,0)</f>
        <v>0</v>
      </c>
      <c r="AY122" s="344" t="n">
        <f aca="false">IF(AY$92=$D122,$J122,0)</f>
        <v>0</v>
      </c>
      <c r="AZ122" s="344" t="n">
        <f aca="false">IF(AZ$92=$D122,$J122,0)</f>
        <v>0</v>
      </c>
    </row>
    <row r="123" customFormat="false" ht="12.75" hidden="false" customHeight="false" outlineLevel="0" collapsed="false">
      <c r="A123" s="344" t="s">
        <v>70</v>
      </c>
      <c r="B123" s="413" t="n">
        <v>45873</v>
      </c>
      <c r="C123" s="344" t="s">
        <v>86</v>
      </c>
      <c r="D123" s="344" t="s">
        <v>86</v>
      </c>
      <c r="E123" s="433" t="n">
        <v>186.5</v>
      </c>
      <c r="F123" s="344" t="n">
        <v>-278</v>
      </c>
      <c r="G123" s="443" t="n">
        <v>178.6699</v>
      </c>
      <c r="H123" s="443" t="n">
        <f aca="false">Hoja1!H133</f>
        <v>188.33</v>
      </c>
      <c r="I123" s="414" t="n">
        <f aca="false">G123*F123</f>
        <v>-49670.2322</v>
      </c>
      <c r="J123" s="414" t="n">
        <f aca="false">H123*F123</f>
        <v>-52355.74</v>
      </c>
      <c r="K123" s="414" t="n">
        <f aca="false">(H123-E123)*F123</f>
        <v>-508.739999999996</v>
      </c>
      <c r="L123" s="444" t="n">
        <f aca="false">(H123-G123)*F123</f>
        <v>-2685.50779999999</v>
      </c>
      <c r="M123" s="268" t="n">
        <f aca="false">+(H123-E123)/E123</f>
        <v>0.0098123324396782</v>
      </c>
      <c r="N123" s="408" t="n">
        <f aca="false">F123*E123</f>
        <v>-51847</v>
      </c>
      <c r="O123" s="42" t="n">
        <v>0.5</v>
      </c>
      <c r="P123" s="441" t="n">
        <f aca="false">O123*J123</f>
        <v>-26177.87</v>
      </c>
      <c r="V123" s="344" t="n">
        <f aca="false">IF(V$92=$D123,$J123,0)</f>
        <v>0</v>
      </c>
      <c r="W123" s="344" t="n">
        <f aca="false">IF(W$92=$D123,$J123,0)</f>
        <v>0</v>
      </c>
      <c r="X123" s="344" t="n">
        <f aca="false">IF(X$92=$D123,$J123,0)</f>
        <v>0</v>
      </c>
      <c r="Y123" s="344" t="n">
        <f aca="false">IF(Y$92=$D123,$J123,0)</f>
        <v>0</v>
      </c>
      <c r="Z123" s="344" t="n">
        <f aca="false">IF(Z$92=$D123,$J123,0)</f>
        <v>0</v>
      </c>
      <c r="AA123" s="344" t="n">
        <f aca="false">IF(AA$92=$D123,$J123,0)</f>
        <v>0</v>
      </c>
      <c r="AB123" s="344" t="n">
        <f aca="false">IF(AB$92=$D123,$J123,0)</f>
        <v>0</v>
      </c>
      <c r="AC123" s="344" t="n">
        <f aca="false">IF(AC$92=$D123,$J123,0)</f>
        <v>0</v>
      </c>
      <c r="AD123" s="344" t="n">
        <f aca="false">IF(AD$92=$D123,$J123,0)</f>
        <v>0</v>
      </c>
      <c r="AE123" s="344" t="n">
        <f aca="false">IF(AE$92=$D123,$J123,0)</f>
        <v>0</v>
      </c>
      <c r="AF123" s="344" t="n">
        <f aca="false">IF(AF$92=$D123,$J123,0)</f>
        <v>0</v>
      </c>
      <c r="AG123" s="344" t="n">
        <f aca="false">IF(AG$92=$D123,$J123,0)</f>
        <v>0</v>
      </c>
      <c r="AH123" s="344" t="n">
        <f aca="false">IF(AH$92=$D123,$J123,0)</f>
        <v>0</v>
      </c>
      <c r="AI123" s="344" t="n">
        <f aca="false">IF(AI$92=$D123,$J123,0)</f>
        <v>0</v>
      </c>
      <c r="AJ123" s="441" t="n">
        <f aca="false">IF(AJ$92=$D123,$J123,0)</f>
        <v>-52355.74</v>
      </c>
      <c r="AK123" s="344" t="n">
        <f aca="false">IF(AK$92=$D123,$J123,0)</f>
        <v>0</v>
      </c>
      <c r="AL123" s="344" t="n">
        <f aca="false">IF(AL$92=$D123,$J123,0)</f>
        <v>0</v>
      </c>
      <c r="AM123" s="344" t="n">
        <f aca="false">IF(AM$92=$D123,$J123,0)</f>
        <v>0</v>
      </c>
      <c r="AN123" s="344" t="n">
        <f aca="false">IF(AN$92=$D123,$J123,0)</f>
        <v>0</v>
      </c>
      <c r="AO123" s="344" t="n">
        <f aca="false">IF(AO$92=$D123,$J123,0)</f>
        <v>0</v>
      </c>
      <c r="AP123" s="344" t="n">
        <f aca="false">IF(AP$92=$D123,$J123,0)</f>
        <v>0</v>
      </c>
      <c r="AQ123" s="344" t="n">
        <f aca="false">IF(AQ$92=$D123,$J123,0)</f>
        <v>0</v>
      </c>
      <c r="AR123" s="344" t="n">
        <f aca="false">IF(AR$92=$D123,$J123,0)</f>
        <v>0</v>
      </c>
      <c r="AS123" s="344" t="n">
        <f aca="false">IF(AS$92=$D123,$J123,0)</f>
        <v>0</v>
      </c>
      <c r="AT123" s="344" t="n">
        <f aca="false">IF(AT$92=$D123,$J123,0)</f>
        <v>0</v>
      </c>
      <c r="AU123" s="344" t="n">
        <f aca="false">IF(AU$92=$D123,$J123,0)</f>
        <v>0</v>
      </c>
      <c r="AV123" s="344" t="n">
        <f aca="false">IF(AV$92=$D123,$J123,0)</f>
        <v>0</v>
      </c>
      <c r="AW123" s="344" t="n">
        <f aca="false">IF(AW$92=$D123,$J123,0)</f>
        <v>0</v>
      </c>
      <c r="AX123" s="344" t="n">
        <f aca="false">IF(AX$92=$D123,$J123,0)</f>
        <v>0</v>
      </c>
      <c r="AY123" s="344" t="n">
        <f aca="false">IF(AY$92=$D123,$J123,0)</f>
        <v>0</v>
      </c>
      <c r="AZ123" s="344" t="n">
        <f aca="false">IF(AZ$92=$D123,$J123,0)</f>
        <v>0</v>
      </c>
    </row>
    <row r="124" customFormat="false" ht="12.75" hidden="false" customHeight="false" outlineLevel="0" collapsed="false">
      <c r="A124" s="344" t="s">
        <v>70</v>
      </c>
      <c r="B124" s="413" t="n">
        <v>45883</v>
      </c>
      <c r="C124" s="344" t="s">
        <v>86</v>
      </c>
      <c r="D124" s="344" t="s">
        <v>86</v>
      </c>
      <c r="E124" s="433" t="n">
        <v>186.5</v>
      </c>
      <c r="F124" s="344" t="n">
        <v>-288</v>
      </c>
      <c r="G124" s="443" t="n">
        <v>181.3798</v>
      </c>
      <c r="H124" s="443" t="n">
        <f aca="false">Hoja1!H133</f>
        <v>188.33</v>
      </c>
      <c r="I124" s="414" t="n">
        <f aca="false">G124*F124</f>
        <v>-52237.3824</v>
      </c>
      <c r="J124" s="414" t="n">
        <f aca="false">H124*F124</f>
        <v>-54239.04</v>
      </c>
      <c r="K124" s="414" t="n">
        <f aca="false">(H124-E124)*F124</f>
        <v>-527.039999999995</v>
      </c>
      <c r="L124" s="444" t="n">
        <f aca="false">(H124-G124)*F124</f>
        <v>-2001.6576</v>
      </c>
      <c r="M124" s="268" t="n">
        <f aca="false">+(H124-E124)/E124</f>
        <v>0.0098123324396782</v>
      </c>
      <c r="N124" s="408" t="n">
        <f aca="false">F124*E124</f>
        <v>-53712</v>
      </c>
      <c r="O124" s="42" t="n">
        <v>0.5</v>
      </c>
      <c r="P124" s="441" t="n">
        <f aca="false">O124*J124</f>
        <v>-27119.52</v>
      </c>
      <c r="V124" s="344" t="n">
        <f aca="false">IF(V$92=$D124,$J124,0)</f>
        <v>0</v>
      </c>
      <c r="W124" s="344" t="n">
        <f aca="false">IF(W$92=$D124,$J124,0)</f>
        <v>0</v>
      </c>
      <c r="X124" s="344" t="n">
        <f aca="false">IF(X$92=$D124,$J124,0)</f>
        <v>0</v>
      </c>
      <c r="Y124" s="344" t="n">
        <f aca="false">IF(Y$92=$D124,$J124,0)</f>
        <v>0</v>
      </c>
      <c r="Z124" s="344" t="n">
        <f aca="false">IF(Z$92=$D124,$J124,0)</f>
        <v>0</v>
      </c>
      <c r="AA124" s="344" t="n">
        <f aca="false">IF(AA$92=$D124,$J124,0)</f>
        <v>0</v>
      </c>
      <c r="AB124" s="344" t="n">
        <f aca="false">IF(AB$92=$D124,$J124,0)</f>
        <v>0</v>
      </c>
      <c r="AC124" s="344" t="n">
        <f aca="false">IF(AC$92=$D124,$J124,0)</f>
        <v>0</v>
      </c>
      <c r="AD124" s="344" t="n">
        <f aca="false">IF(AD$92=$D124,$J124,0)</f>
        <v>0</v>
      </c>
      <c r="AE124" s="344" t="n">
        <f aca="false">IF(AE$92=$D124,$J124,0)</f>
        <v>0</v>
      </c>
      <c r="AF124" s="344" t="n">
        <f aca="false">IF(AF$92=$D124,$J124,0)</f>
        <v>0</v>
      </c>
      <c r="AG124" s="344" t="n">
        <f aca="false">IF(AG$92=$D124,$J124,0)</f>
        <v>0</v>
      </c>
      <c r="AH124" s="344" t="n">
        <f aca="false">IF(AH$92=$D124,$J124,0)</f>
        <v>0</v>
      </c>
      <c r="AI124" s="344" t="n">
        <f aca="false">IF(AI$92=$D124,$J124,0)</f>
        <v>0</v>
      </c>
      <c r="AJ124" s="441" t="n">
        <f aca="false">IF(AJ$92=$D124,$J124,0)</f>
        <v>-54239.04</v>
      </c>
      <c r="AK124" s="344" t="n">
        <f aca="false">IF(AK$92=$D124,$J124,0)</f>
        <v>0</v>
      </c>
      <c r="AL124" s="344" t="n">
        <f aca="false">IF(AL$92=$D124,$J124,0)</f>
        <v>0</v>
      </c>
      <c r="AM124" s="344" t="n">
        <f aca="false">IF(AM$92=$D124,$J124,0)</f>
        <v>0</v>
      </c>
      <c r="AN124" s="344" t="n">
        <f aca="false">IF(AN$92=$D124,$J124,0)</f>
        <v>0</v>
      </c>
      <c r="AO124" s="344" t="n">
        <f aca="false">IF(AO$92=$D124,$J124,0)</f>
        <v>0</v>
      </c>
      <c r="AP124" s="344" t="n">
        <f aca="false">IF(AP$92=$D124,$J124,0)</f>
        <v>0</v>
      </c>
      <c r="AQ124" s="344" t="n">
        <f aca="false">IF(AQ$92=$D124,$J124,0)</f>
        <v>0</v>
      </c>
      <c r="AR124" s="344" t="n">
        <f aca="false">IF(AR$92=$D124,$J124,0)</f>
        <v>0</v>
      </c>
      <c r="AS124" s="344" t="n">
        <f aca="false">IF(AS$92=$D124,$J124,0)</f>
        <v>0</v>
      </c>
      <c r="AT124" s="344" t="n">
        <f aca="false">IF(AT$92=$D124,$J124,0)</f>
        <v>0</v>
      </c>
      <c r="AU124" s="344" t="n">
        <f aca="false">IF(AU$92=$D124,$J124,0)</f>
        <v>0</v>
      </c>
      <c r="AV124" s="344" t="n">
        <f aca="false">IF(AV$92=$D124,$J124,0)</f>
        <v>0</v>
      </c>
      <c r="AW124" s="344" t="n">
        <f aca="false">IF(AW$92=$D124,$J124,0)</f>
        <v>0</v>
      </c>
      <c r="AX124" s="344" t="n">
        <f aca="false">IF(AX$92=$D124,$J124,0)</f>
        <v>0</v>
      </c>
      <c r="AY124" s="344" t="n">
        <f aca="false">IF(AY$92=$D124,$J124,0)</f>
        <v>0</v>
      </c>
      <c r="AZ124" s="344" t="n">
        <f aca="false">IF(AZ$92=$D124,$J124,0)</f>
        <v>0</v>
      </c>
    </row>
    <row r="125" customFormat="false" ht="12.75" hidden="false" customHeight="false" outlineLevel="0" collapsed="false">
      <c r="A125" s="344" t="s">
        <v>70</v>
      </c>
      <c r="B125" s="413"/>
      <c r="C125" s="344" t="s">
        <v>559</v>
      </c>
      <c r="D125" s="344" t="s">
        <v>306</v>
      </c>
      <c r="E125" s="433" t="n">
        <v>31.09</v>
      </c>
      <c r="F125" s="344" t="n">
        <v>-298</v>
      </c>
      <c r="G125" s="433" t="n">
        <v>29.649</v>
      </c>
      <c r="H125" s="433" t="n">
        <f aca="false">Hoja1!H173</f>
        <v>33.32</v>
      </c>
      <c r="I125" s="414" t="n">
        <f aca="false">G125*F125</f>
        <v>-8835.402</v>
      </c>
      <c r="J125" s="414" t="n">
        <f aca="false">H125*F125</f>
        <v>-9929.36</v>
      </c>
      <c r="K125" s="414" t="n">
        <f aca="false">(H125-E125)*F125</f>
        <v>-664.54</v>
      </c>
      <c r="L125" s="444" t="n">
        <f aca="false">(H125-G125)*F125</f>
        <v>-1093.958</v>
      </c>
      <c r="M125" s="268" t="n">
        <f aca="false">+(H125-E125)/E125</f>
        <v>0.0717272434866517</v>
      </c>
      <c r="N125" s="408" t="n">
        <f aca="false">F125*E125</f>
        <v>-9264.82</v>
      </c>
      <c r="O125" s="42" t="n">
        <v>0.5</v>
      </c>
      <c r="P125" s="441" t="n">
        <f aca="false">O125*J125</f>
        <v>-4964.68</v>
      </c>
      <c r="V125" s="344" t="n">
        <f aca="false">IF(V$92=$D125,$J125,0)</f>
        <v>0</v>
      </c>
      <c r="W125" s="344" t="n">
        <f aca="false">IF(W$92=$D125,$J125,0)</f>
        <v>0</v>
      </c>
      <c r="X125" s="344" t="n">
        <f aca="false">IF(X$92=$D125,$J125,0)</f>
        <v>0</v>
      </c>
      <c r="Y125" s="344" t="n">
        <f aca="false">IF(Y$92=$D125,$J125,0)</f>
        <v>0</v>
      </c>
      <c r="Z125" s="344" t="n">
        <f aca="false">IF(Z$92=$D125,$J125,0)</f>
        <v>0</v>
      </c>
      <c r="AA125" s="344" t="n">
        <f aca="false">IF(AA$92=$D125,$J125,0)</f>
        <v>0</v>
      </c>
      <c r="AB125" s="344" t="n">
        <f aca="false">IF(AB$92=$D125,$J125,0)</f>
        <v>0</v>
      </c>
      <c r="AC125" s="344" t="n">
        <f aca="false">IF(AC$92=$D125,$J125,0)</f>
        <v>0</v>
      </c>
      <c r="AD125" s="344" t="n">
        <f aca="false">IF(AD$92=$D125,$J125,0)</f>
        <v>0</v>
      </c>
      <c r="AE125" s="344" t="n">
        <f aca="false">IF(AE$92=$D125,$J125,0)</f>
        <v>0</v>
      </c>
      <c r="AF125" s="344" t="n">
        <f aca="false">IF(AF$92=$D125,$J125,0)</f>
        <v>0</v>
      </c>
      <c r="AG125" s="344" t="n">
        <f aca="false">IF(AG$92=$D125,$J125,0)</f>
        <v>0</v>
      </c>
      <c r="AH125" s="344" t="n">
        <f aca="false">IF(AH$92=$D125,$J125,0)</f>
        <v>0</v>
      </c>
      <c r="AI125" s="344" t="n">
        <f aca="false">IF(AI$92=$D125,$J125,0)</f>
        <v>0</v>
      </c>
      <c r="AJ125" s="344" t="n">
        <f aca="false">IF(AJ$92=$D125,$J125,0)</f>
        <v>0</v>
      </c>
      <c r="AK125" s="441" t="n">
        <f aca="false">IF(AK$92=$D125,$J125,0)</f>
        <v>-9929.36</v>
      </c>
      <c r="AL125" s="344" t="n">
        <f aca="false">IF(AL$92=$D125,$J125,0)</f>
        <v>0</v>
      </c>
      <c r="AM125" s="344" t="n">
        <f aca="false">IF(AM$92=$D125,$J125,0)</f>
        <v>0</v>
      </c>
      <c r="AN125" s="344" t="n">
        <f aca="false">IF(AN$92=$D125,$J125,0)</f>
        <v>0</v>
      </c>
      <c r="AO125" s="344" t="n">
        <f aca="false">IF(AO$92=$D125,$J125,0)</f>
        <v>0</v>
      </c>
      <c r="AP125" s="344" t="n">
        <f aca="false">IF(AP$92=$D125,$J125,0)</f>
        <v>0</v>
      </c>
      <c r="AQ125" s="344" t="n">
        <f aca="false">IF(AQ$92=$D125,$J125,0)</f>
        <v>0</v>
      </c>
      <c r="AR125" s="344" t="n">
        <f aca="false">IF(AR$92=$D125,$J125,0)</f>
        <v>0</v>
      </c>
      <c r="AS125" s="344" t="n">
        <f aca="false">IF(AS$92=$D125,$J125,0)</f>
        <v>0</v>
      </c>
      <c r="AT125" s="344" t="n">
        <f aca="false">IF(AT$92=$D125,$J125,0)</f>
        <v>0</v>
      </c>
      <c r="AU125" s="344" t="n">
        <f aca="false">IF(AU$92=$D125,$J125,0)</f>
        <v>0</v>
      </c>
      <c r="AV125" s="344" t="n">
        <f aca="false">IF(AV$92=$D125,$J125,0)</f>
        <v>0</v>
      </c>
      <c r="AW125" s="344" t="n">
        <f aca="false">IF(AW$92=$D125,$J125,0)</f>
        <v>0</v>
      </c>
      <c r="AX125" s="344" t="n">
        <f aca="false">IF(AX$92=$D125,$J125,0)</f>
        <v>0</v>
      </c>
      <c r="AY125" s="344" t="n">
        <f aca="false">IF(AY$92=$D125,$J125,0)</f>
        <v>0</v>
      </c>
      <c r="AZ125" s="344" t="n">
        <f aca="false">IF(AZ$92=$D125,$J125,0)</f>
        <v>0</v>
      </c>
    </row>
    <row r="126" customFormat="false" ht="12.75" hidden="false" customHeight="false" outlineLevel="0" collapsed="false">
      <c r="A126" s="344" t="s">
        <v>70</v>
      </c>
      <c r="B126" s="413" t="n">
        <v>45701</v>
      </c>
      <c r="C126" s="344" t="s">
        <v>560</v>
      </c>
      <c r="D126" s="344" t="s">
        <v>537</v>
      </c>
      <c r="E126" s="445" t="n">
        <v>77.61</v>
      </c>
      <c r="F126" s="344" t="n">
        <v>-308</v>
      </c>
      <c r="G126" s="433" t="n">
        <v>70.82</v>
      </c>
      <c r="H126" s="433" t="n">
        <f aca="false">Hoja1!H176</f>
        <v>96.695</v>
      </c>
      <c r="I126" s="414" t="n">
        <f aca="false">G126*F126</f>
        <v>-21812.56</v>
      </c>
      <c r="J126" s="414" t="n">
        <f aca="false">H126*F126</f>
        <v>-29782.06</v>
      </c>
      <c r="K126" s="414" t="n">
        <f aca="false">(H126-E126)*F126</f>
        <v>-5878.18</v>
      </c>
      <c r="L126" s="444" t="n">
        <f aca="false">(H126-G126)*F126</f>
        <v>-7969.5</v>
      </c>
      <c r="M126" s="268" t="n">
        <f aca="false">+(H126-E126)/E126</f>
        <v>0.245909032341193</v>
      </c>
      <c r="N126" s="408" t="n">
        <f aca="false">F126*E126</f>
        <v>-23903.88</v>
      </c>
      <c r="O126" s="42" t="n">
        <v>0.5</v>
      </c>
      <c r="P126" s="441" t="n">
        <f aca="false">O126*J126</f>
        <v>-14891.03</v>
      </c>
      <c r="V126" s="344" t="n">
        <f aca="false">IF(V$92=$D126,$J126,0)</f>
        <v>0</v>
      </c>
      <c r="W126" s="344" t="n">
        <f aca="false">IF(W$92=$D126,$J126,0)</f>
        <v>0</v>
      </c>
      <c r="X126" s="344" t="n">
        <f aca="false">IF(X$92=$D126,$J126,0)</f>
        <v>0</v>
      </c>
      <c r="Y126" s="344" t="n">
        <f aca="false">IF(Y$92=$D126,$J126,0)</f>
        <v>0</v>
      </c>
      <c r="Z126" s="344" t="n">
        <f aca="false">IF(Z$92=$D126,$J126,0)</f>
        <v>0</v>
      </c>
      <c r="AA126" s="344" t="n">
        <f aca="false">IF(AA$92=$D126,$J126,0)</f>
        <v>0</v>
      </c>
      <c r="AB126" s="344" t="n">
        <f aca="false">IF(AB$92=$D126,$J126,0)</f>
        <v>0</v>
      </c>
      <c r="AC126" s="344" t="n">
        <f aca="false">IF(AC$92=$D126,$J126,0)</f>
        <v>0</v>
      </c>
      <c r="AD126" s="344" t="n">
        <f aca="false">IF(AD$92=$D126,$J126,0)</f>
        <v>0</v>
      </c>
      <c r="AE126" s="344" t="n">
        <f aca="false">IF(AE$92=$D126,$J126,0)</f>
        <v>0</v>
      </c>
      <c r="AF126" s="344" t="n">
        <f aca="false">IF(AF$92=$D126,$J126,0)</f>
        <v>0</v>
      </c>
      <c r="AG126" s="344" t="n">
        <f aca="false">IF(AG$92=$D126,$J126,0)</f>
        <v>0</v>
      </c>
      <c r="AH126" s="344" t="n">
        <f aca="false">IF(AH$92=$D126,$J126,0)</f>
        <v>0</v>
      </c>
      <c r="AI126" s="344" t="n">
        <f aca="false">IF(AI$92=$D126,$J126,0)</f>
        <v>0</v>
      </c>
      <c r="AJ126" s="344" t="n">
        <f aca="false">IF(AJ$92=$D126,$J126,0)</f>
        <v>0</v>
      </c>
      <c r="AK126" s="344" t="n">
        <f aca="false">IF(AK$92=$D126,$J126,0)</f>
        <v>0</v>
      </c>
      <c r="AL126" s="441" t="n">
        <f aca="false">IF(AL$92=$D126,$J126,0)</f>
        <v>-29782.06</v>
      </c>
      <c r="AM126" s="344" t="n">
        <f aca="false">IF(AM$92=$D126,$J126,0)</f>
        <v>0</v>
      </c>
      <c r="AN126" s="344" t="n">
        <f aca="false">IF(AN$92=$D126,$J126,0)</f>
        <v>0</v>
      </c>
      <c r="AO126" s="344" t="n">
        <f aca="false">IF(AO$92=$D126,$J126,0)</f>
        <v>0</v>
      </c>
      <c r="AP126" s="344" t="n">
        <f aca="false">IF(AP$92=$D126,$J126,0)</f>
        <v>0</v>
      </c>
      <c r="AQ126" s="344" t="n">
        <f aca="false">IF(AQ$92=$D126,$J126,0)</f>
        <v>0</v>
      </c>
      <c r="AR126" s="344" t="n">
        <f aca="false">IF(AR$92=$D126,$J126,0)</f>
        <v>0</v>
      </c>
      <c r="AS126" s="344" t="n">
        <f aca="false">IF(AS$92=$D126,$J126,0)</f>
        <v>0</v>
      </c>
      <c r="AT126" s="344" t="n">
        <f aca="false">IF(AT$92=$D126,$J126,0)</f>
        <v>0</v>
      </c>
      <c r="AU126" s="344" t="n">
        <f aca="false">IF(AU$92=$D126,$J126,0)</f>
        <v>0</v>
      </c>
      <c r="AV126" s="344" t="n">
        <f aca="false">IF(AV$92=$D126,$J126,0)</f>
        <v>0</v>
      </c>
      <c r="AW126" s="344" t="n">
        <f aca="false">IF(AW$92=$D126,$J126,0)</f>
        <v>0</v>
      </c>
      <c r="AX126" s="344" t="n">
        <f aca="false">IF(AX$92=$D126,$J126,0)</f>
        <v>0</v>
      </c>
      <c r="AY126" s="344" t="n">
        <f aca="false">IF(AY$92=$D126,$J126,0)</f>
        <v>0</v>
      </c>
      <c r="AZ126" s="344" t="n">
        <f aca="false">IF(AZ$92=$D126,$J126,0)</f>
        <v>0</v>
      </c>
    </row>
    <row r="127" customFormat="false" ht="12.75" hidden="false" customHeight="false" outlineLevel="0" collapsed="false">
      <c r="A127" s="344" t="s">
        <v>70</v>
      </c>
      <c r="B127" s="413" t="n">
        <v>45883</v>
      </c>
      <c r="C127" s="344" t="s">
        <v>561</v>
      </c>
      <c r="D127" s="344" t="s">
        <v>538</v>
      </c>
      <c r="E127" s="433" t="n">
        <v>177.75</v>
      </c>
      <c r="F127" s="344" t="n">
        <v>-318</v>
      </c>
      <c r="G127" s="433" t="n">
        <v>181.775</v>
      </c>
      <c r="H127" s="433" t="n">
        <f aca="false">Hoja1!H151</f>
        <v>132.23</v>
      </c>
      <c r="I127" s="414" t="n">
        <f aca="false">G127*F127</f>
        <v>-57804.45</v>
      </c>
      <c r="J127" s="414" t="n">
        <f aca="false">H127*F127</f>
        <v>-42049.14</v>
      </c>
      <c r="K127" s="414" t="n">
        <f aca="false">(H127-E127)*F127</f>
        <v>14475.36</v>
      </c>
      <c r="L127" s="444" t="n">
        <f aca="false">(H127-G127)*F127</f>
        <v>15755.31</v>
      </c>
      <c r="M127" s="268" t="n">
        <f aca="false">+(H127-E127)/E127</f>
        <v>-0.256090014064698</v>
      </c>
      <c r="N127" s="408" t="n">
        <f aca="false">F127*E127</f>
        <v>-56524.5</v>
      </c>
      <c r="O127" s="42" t="n">
        <v>0.5</v>
      </c>
      <c r="P127" s="441" t="n">
        <f aca="false">O127*J127</f>
        <v>-21024.57</v>
      </c>
      <c r="V127" s="344" t="n">
        <f aca="false">IF(V$92=$D127,$J127,0)</f>
        <v>0</v>
      </c>
      <c r="W127" s="344" t="n">
        <f aca="false">IF(W$92=$D127,$J127,0)</f>
        <v>0</v>
      </c>
      <c r="X127" s="344" t="n">
        <f aca="false">IF(X$92=$D127,$J127,0)</f>
        <v>0</v>
      </c>
      <c r="Y127" s="344" t="n">
        <f aca="false">IF(Y$92=$D127,$J127,0)</f>
        <v>0</v>
      </c>
      <c r="Z127" s="344" t="n">
        <f aca="false">IF(Z$92=$D127,$J127,0)</f>
        <v>0</v>
      </c>
      <c r="AA127" s="344" t="n">
        <f aca="false">IF(AA$92=$D127,$J127,0)</f>
        <v>0</v>
      </c>
      <c r="AB127" s="344" t="n">
        <f aca="false">IF(AB$92=$D127,$J127,0)</f>
        <v>0</v>
      </c>
      <c r="AC127" s="344" t="n">
        <f aca="false">IF(AC$92=$D127,$J127,0)</f>
        <v>0</v>
      </c>
      <c r="AD127" s="344" t="n">
        <f aca="false">IF(AD$92=$D127,$J127,0)</f>
        <v>0</v>
      </c>
      <c r="AE127" s="344" t="n">
        <f aca="false">IF(AE$92=$D127,$J127,0)</f>
        <v>0</v>
      </c>
      <c r="AF127" s="344" t="n">
        <f aca="false">IF(AF$92=$D127,$J127,0)</f>
        <v>0</v>
      </c>
      <c r="AG127" s="344" t="n">
        <f aca="false">IF(AG$92=$D127,$J127,0)</f>
        <v>0</v>
      </c>
      <c r="AH127" s="344" t="n">
        <f aca="false">IF(AH$92=$D127,$J127,0)</f>
        <v>0</v>
      </c>
      <c r="AI127" s="344" t="n">
        <f aca="false">IF(AI$92=$D127,$J127,0)</f>
        <v>0</v>
      </c>
      <c r="AJ127" s="344" t="n">
        <f aca="false">IF(AJ$92=$D127,$J127,0)</f>
        <v>0</v>
      </c>
      <c r="AK127" s="344" t="n">
        <f aca="false">IF(AK$92=$D127,$J127,0)</f>
        <v>0</v>
      </c>
      <c r="AL127" s="344" t="n">
        <f aca="false">IF(AL$92=$D127,$J127,0)</f>
        <v>0</v>
      </c>
      <c r="AM127" s="441" t="n">
        <f aca="false">IF(AM$92=$D127,$J127,0)</f>
        <v>-42049.14</v>
      </c>
      <c r="AN127" s="344" t="n">
        <f aca="false">IF(AN$92=$D127,$J127,0)</f>
        <v>0</v>
      </c>
      <c r="AO127" s="344" t="n">
        <f aca="false">IF(AO$92=$D127,$J127,0)</f>
        <v>0</v>
      </c>
      <c r="AP127" s="344" t="n">
        <f aca="false">IF(AP$92=$D127,$J127,0)</f>
        <v>0</v>
      </c>
      <c r="AQ127" s="344" t="n">
        <f aca="false">IF(AQ$92=$D127,$J127,0)</f>
        <v>0</v>
      </c>
      <c r="AR127" s="344" t="n">
        <f aca="false">IF(AR$92=$D127,$J127,0)</f>
        <v>0</v>
      </c>
      <c r="AS127" s="344" t="n">
        <f aca="false">IF(AS$92=$D127,$J127,0)</f>
        <v>0</v>
      </c>
      <c r="AT127" s="344" t="n">
        <f aca="false">IF(AT$92=$D127,$J127,0)</f>
        <v>0</v>
      </c>
      <c r="AU127" s="344" t="n">
        <f aca="false">IF(AU$92=$D127,$J127,0)</f>
        <v>0</v>
      </c>
      <c r="AV127" s="344" t="n">
        <f aca="false">IF(AV$92=$D127,$J127,0)</f>
        <v>0</v>
      </c>
      <c r="AW127" s="344" t="n">
        <f aca="false">IF(AW$92=$D127,$J127,0)</f>
        <v>0</v>
      </c>
      <c r="AX127" s="344" t="n">
        <f aca="false">IF(AX$92=$D127,$J127,0)</f>
        <v>0</v>
      </c>
      <c r="AY127" s="344" t="n">
        <f aca="false">IF(AY$92=$D127,$J127,0)</f>
        <v>0</v>
      </c>
      <c r="AZ127" s="344" t="n">
        <f aca="false">IF(AZ$92=$D127,$J127,0)</f>
        <v>0</v>
      </c>
    </row>
    <row r="128" customFormat="false" ht="12.75" hidden="false" customHeight="false" outlineLevel="0" collapsed="false">
      <c r="A128" s="344" t="s">
        <v>70</v>
      </c>
      <c r="B128" s="413" t="n">
        <v>45889</v>
      </c>
      <c r="C128" s="344" t="s">
        <v>561</v>
      </c>
      <c r="D128" s="344" t="s">
        <v>538</v>
      </c>
      <c r="E128" s="433" t="n">
        <v>177.75</v>
      </c>
      <c r="F128" s="344" t="n">
        <v>-328</v>
      </c>
      <c r="G128" s="433" t="n">
        <v>154</v>
      </c>
      <c r="H128" s="433" t="n">
        <f aca="false">Hoja1!H151</f>
        <v>132.23</v>
      </c>
      <c r="I128" s="414" t="n">
        <f aca="false">G128*F128</f>
        <v>-50512</v>
      </c>
      <c r="J128" s="414" t="n">
        <f aca="false">H128*F128</f>
        <v>-43371.44</v>
      </c>
      <c r="K128" s="414" t="n">
        <f aca="false">(H128-E128)*F128</f>
        <v>14930.56</v>
      </c>
      <c r="L128" s="444" t="n">
        <f aca="false">(H128-G128)*F128</f>
        <v>7140.55999999999</v>
      </c>
      <c r="M128" s="268" t="n">
        <f aca="false">+(H128-E128)/E128</f>
        <v>-0.256090014064698</v>
      </c>
      <c r="N128" s="408" t="n">
        <f aca="false">F128*E128</f>
        <v>-58302</v>
      </c>
      <c r="O128" s="42" t="n">
        <v>0.5</v>
      </c>
      <c r="P128" s="441" t="n">
        <f aca="false">O128*J128</f>
        <v>-21685.72</v>
      </c>
      <c r="V128" s="344" t="n">
        <f aca="false">IF(V$92=$D128,$J128,0)</f>
        <v>0</v>
      </c>
      <c r="W128" s="344" t="n">
        <f aca="false">IF(W$92=$D128,$J128,0)</f>
        <v>0</v>
      </c>
      <c r="X128" s="344" t="n">
        <f aca="false">IF(X$92=$D128,$J128,0)</f>
        <v>0</v>
      </c>
      <c r="Y128" s="344" t="n">
        <f aca="false">IF(Y$92=$D128,$J128,0)</f>
        <v>0</v>
      </c>
      <c r="Z128" s="344" t="n">
        <f aca="false">IF(Z$92=$D128,$J128,0)</f>
        <v>0</v>
      </c>
      <c r="AA128" s="344" t="n">
        <f aca="false">IF(AA$92=$D128,$J128,0)</f>
        <v>0</v>
      </c>
      <c r="AB128" s="344" t="n">
        <f aca="false">IF(AB$92=$D128,$J128,0)</f>
        <v>0</v>
      </c>
      <c r="AC128" s="344" t="n">
        <f aca="false">IF(AC$92=$D128,$J128,0)</f>
        <v>0</v>
      </c>
      <c r="AD128" s="344" t="n">
        <f aca="false">IF(AD$92=$D128,$J128,0)</f>
        <v>0</v>
      </c>
      <c r="AE128" s="344" t="n">
        <f aca="false">IF(AE$92=$D128,$J128,0)</f>
        <v>0</v>
      </c>
      <c r="AF128" s="344" t="n">
        <f aca="false">IF(AF$92=$D128,$J128,0)</f>
        <v>0</v>
      </c>
      <c r="AG128" s="344" t="n">
        <f aca="false">IF(AG$92=$D128,$J128,0)</f>
        <v>0</v>
      </c>
      <c r="AH128" s="344" t="n">
        <f aca="false">IF(AH$92=$D128,$J128,0)</f>
        <v>0</v>
      </c>
      <c r="AI128" s="344" t="n">
        <f aca="false">IF(AI$92=$D128,$J128,0)</f>
        <v>0</v>
      </c>
      <c r="AJ128" s="344" t="n">
        <f aca="false">IF(AJ$92=$D128,$J128,0)</f>
        <v>0</v>
      </c>
      <c r="AK128" s="344" t="n">
        <f aca="false">IF(AK$92=$D128,$J128,0)</f>
        <v>0</v>
      </c>
      <c r="AL128" s="344" t="n">
        <f aca="false">IF(AL$92=$D128,$J128,0)</f>
        <v>0</v>
      </c>
      <c r="AM128" s="441" t="n">
        <f aca="false">IF(AM$92=$D128,$J128,0)</f>
        <v>-43371.44</v>
      </c>
      <c r="AN128" s="344" t="n">
        <f aca="false">IF(AN$92=$D128,$J128,0)</f>
        <v>0</v>
      </c>
      <c r="AO128" s="344" t="n">
        <f aca="false">IF(AO$92=$D128,$J128,0)</f>
        <v>0</v>
      </c>
      <c r="AP128" s="344" t="n">
        <f aca="false">IF(AP$92=$D128,$J128,0)</f>
        <v>0</v>
      </c>
      <c r="AQ128" s="344" t="n">
        <f aca="false">IF(AQ$92=$D128,$J128,0)</f>
        <v>0</v>
      </c>
      <c r="AR128" s="344" t="n">
        <f aca="false">IF(AR$92=$D128,$J128,0)</f>
        <v>0</v>
      </c>
      <c r="AS128" s="344" t="n">
        <f aca="false">IF(AS$92=$D128,$J128,0)</f>
        <v>0</v>
      </c>
      <c r="AT128" s="344" t="n">
        <f aca="false">IF(AT$92=$D128,$J128,0)</f>
        <v>0</v>
      </c>
      <c r="AU128" s="344" t="n">
        <f aca="false">IF(AU$92=$D128,$J128,0)</f>
        <v>0</v>
      </c>
      <c r="AV128" s="344" t="n">
        <f aca="false">IF(AV$92=$D128,$J128,0)</f>
        <v>0</v>
      </c>
      <c r="AW128" s="344" t="n">
        <f aca="false">IF(AW$92=$D128,$J128,0)</f>
        <v>0</v>
      </c>
      <c r="AX128" s="344" t="n">
        <f aca="false">IF(AX$92=$D128,$J128,0)</f>
        <v>0</v>
      </c>
      <c r="AY128" s="344" t="n">
        <f aca="false">IF(AY$92=$D128,$J128,0)</f>
        <v>0</v>
      </c>
      <c r="AZ128" s="344" t="n">
        <f aca="false">IF(AZ$92=$D128,$J128,0)</f>
        <v>0</v>
      </c>
    </row>
    <row r="129" customFormat="false" ht="12.75" hidden="false" customHeight="false" outlineLevel="0" collapsed="false">
      <c r="A129" s="344" t="s">
        <v>70</v>
      </c>
      <c r="B129" s="413" t="n">
        <v>45925</v>
      </c>
      <c r="C129" s="344" t="s">
        <v>562</v>
      </c>
      <c r="D129" s="344" t="s">
        <v>194</v>
      </c>
      <c r="E129" s="433" t="n">
        <v>50.79</v>
      </c>
      <c r="F129" s="344" t="n">
        <v>-338</v>
      </c>
      <c r="G129" s="433" t="n">
        <v>35.225</v>
      </c>
      <c r="H129" s="433" t="n">
        <f aca="false">Hoja1!$H$40</f>
        <v>67.545</v>
      </c>
      <c r="I129" s="414" t="n">
        <f aca="false">G129*F129</f>
        <v>-11906.05</v>
      </c>
      <c r="J129" s="414" t="n">
        <f aca="false">H129*F129</f>
        <v>-22830.21</v>
      </c>
      <c r="K129" s="414" t="n">
        <f aca="false">(H129-E129)*F129</f>
        <v>-5663.19</v>
      </c>
      <c r="L129" s="444" t="n">
        <f aca="false">(H129-G129)*F129</f>
        <v>-10924.16</v>
      </c>
      <c r="M129" s="268" t="n">
        <f aca="false">+(H129-G129)/G129</f>
        <v>0.917530163236338</v>
      </c>
      <c r="N129" s="408" t="n">
        <f aca="false">F129*E129</f>
        <v>-17167.02</v>
      </c>
      <c r="O129" s="42" t="n">
        <v>0.5</v>
      </c>
      <c r="P129" s="441" t="n">
        <f aca="false">O129*J129</f>
        <v>-11415.105</v>
      </c>
      <c r="V129" s="344" t="n">
        <f aca="false">IF(V$92=$D129,$J129,0)</f>
        <v>0</v>
      </c>
      <c r="W129" s="344" t="n">
        <f aca="false">IF(W$92=$D129,$J129,0)</f>
        <v>0</v>
      </c>
      <c r="X129" s="344" t="n">
        <f aca="false">IF(X$92=$D129,$J129,0)</f>
        <v>0</v>
      </c>
      <c r="Y129" s="344" t="n">
        <f aca="false">IF(Y$92=$D129,$J129,0)</f>
        <v>0</v>
      </c>
      <c r="Z129" s="344" t="n">
        <f aca="false">IF(Z$92=$D129,$J129,0)</f>
        <v>0</v>
      </c>
      <c r="AA129" s="344" t="n">
        <f aca="false">IF(AA$92=$D129,$J129,0)</f>
        <v>0</v>
      </c>
      <c r="AB129" s="344" t="n">
        <f aca="false">IF(AB$92=$D129,$J129,0)</f>
        <v>0</v>
      </c>
      <c r="AC129" s="344" t="n">
        <f aca="false">IF(AC$92=$D129,$J129,0)</f>
        <v>0</v>
      </c>
      <c r="AD129" s="344" t="n">
        <f aca="false">IF(AD$92=$D129,$J129,0)</f>
        <v>0</v>
      </c>
      <c r="AE129" s="344" t="n">
        <f aca="false">IF(AE$92=$D129,$J129,0)</f>
        <v>0</v>
      </c>
      <c r="AF129" s="344" t="n">
        <f aca="false">IF(AF$92=$D129,$J129,0)</f>
        <v>0</v>
      </c>
      <c r="AG129" s="344" t="n">
        <f aca="false">IF(AG$92=$D129,$J129,0)</f>
        <v>0</v>
      </c>
      <c r="AH129" s="344" t="n">
        <f aca="false">IF(AH$92=$D129,$J129,0)</f>
        <v>0</v>
      </c>
      <c r="AI129" s="344" t="n">
        <f aca="false">IF(AI$92=$D129,$J129,0)</f>
        <v>0</v>
      </c>
      <c r="AJ129" s="344" t="n">
        <f aca="false">IF(AJ$92=$D129,$J129,0)</f>
        <v>0</v>
      </c>
      <c r="AK129" s="344" t="n">
        <f aca="false">IF(AK$92=$D129,$J129,0)</f>
        <v>0</v>
      </c>
      <c r="AL129" s="344" t="n">
        <f aca="false">IF(AL$92=$D129,$J129,0)</f>
        <v>0</v>
      </c>
      <c r="AM129" s="344" t="n">
        <f aca="false">IF(AM$92=$D129,$J129,0)</f>
        <v>0</v>
      </c>
      <c r="AN129" s="441" t="n">
        <f aca="false">IF(AN$92=$D129,$J129,0)</f>
        <v>-22830.21</v>
      </c>
      <c r="AO129" s="344" t="n">
        <f aca="false">IF(AO$92=$D129,$J129,0)</f>
        <v>0</v>
      </c>
      <c r="AP129" s="344" t="n">
        <f aca="false">IF(AP$92=$D129,$J129,0)</f>
        <v>0</v>
      </c>
      <c r="AQ129" s="344" t="n">
        <f aca="false">IF(AQ$92=$D129,$J129,0)</f>
        <v>0</v>
      </c>
      <c r="AR129" s="344" t="n">
        <f aca="false">IF(AR$92=$D129,$J129,0)</f>
        <v>0</v>
      </c>
      <c r="AS129" s="344" t="n">
        <f aca="false">IF(AS$92=$D129,$J129,0)</f>
        <v>0</v>
      </c>
      <c r="AT129" s="344" t="n">
        <f aca="false">IF(AT$92=$D129,$J129,0)</f>
        <v>0</v>
      </c>
      <c r="AU129" s="344" t="n">
        <f aca="false">IF(AU$92=$D129,$J129,0)</f>
        <v>0</v>
      </c>
      <c r="AV129" s="344" t="n">
        <f aca="false">IF(AV$92=$D129,$J129,0)</f>
        <v>0</v>
      </c>
      <c r="AW129" s="344" t="n">
        <f aca="false">IF(AW$92=$D129,$J129,0)</f>
        <v>0</v>
      </c>
      <c r="AX129" s="344" t="n">
        <f aca="false">IF(AX$92=$D129,$J129,0)</f>
        <v>0</v>
      </c>
      <c r="AY129" s="344" t="n">
        <f aca="false">IF(AY$92=$D129,$J129,0)</f>
        <v>0</v>
      </c>
      <c r="AZ129" s="344" t="n">
        <f aca="false">IF(AZ$92=$D129,$J129,0)</f>
        <v>0</v>
      </c>
    </row>
    <row r="130" customFormat="false" ht="12.75" hidden="false" customHeight="false" outlineLevel="0" collapsed="false">
      <c r="A130" s="344" t="s">
        <v>70</v>
      </c>
      <c r="B130" s="413" t="n">
        <v>46042</v>
      </c>
      <c r="C130" s="344" t="s">
        <v>562</v>
      </c>
      <c r="D130" s="344" t="s">
        <v>194</v>
      </c>
      <c r="E130" s="433" t="n">
        <v>50.79</v>
      </c>
      <c r="F130" s="344" t="n">
        <v>-348</v>
      </c>
      <c r="G130" s="433" t="n">
        <v>59.4</v>
      </c>
      <c r="H130" s="433" t="n">
        <f aca="false">Hoja1!$H$40</f>
        <v>67.545</v>
      </c>
      <c r="I130" s="414" t="n">
        <f aca="false">G130*F130</f>
        <v>-20671.2</v>
      </c>
      <c r="J130" s="414" t="n">
        <f aca="false">H130*F130</f>
        <v>-23505.66</v>
      </c>
      <c r="K130" s="414" t="n">
        <f aca="false">(H130-E130)*F130</f>
        <v>-5830.74</v>
      </c>
      <c r="L130" s="444" t="n">
        <f aca="false">(H130-G130)*F130</f>
        <v>-2834.46</v>
      </c>
      <c r="M130" s="268" t="n">
        <f aca="false">+(H130-G130)/G130</f>
        <v>0.137121212121212</v>
      </c>
      <c r="N130" s="408" t="n">
        <f aca="false">F130*E130</f>
        <v>-17674.92</v>
      </c>
      <c r="O130" s="42" t="n">
        <v>0.5</v>
      </c>
      <c r="P130" s="441" t="n">
        <f aca="false">O130*J130</f>
        <v>-11752.83</v>
      </c>
      <c r="V130" s="344" t="n">
        <f aca="false">IF(V$92=$D130,$J130,0)</f>
        <v>0</v>
      </c>
      <c r="W130" s="344" t="n">
        <f aca="false">IF(W$92=$D130,$J130,0)</f>
        <v>0</v>
      </c>
      <c r="X130" s="344" t="n">
        <f aca="false">IF(X$92=$D130,$J130,0)</f>
        <v>0</v>
      </c>
      <c r="Y130" s="344" t="n">
        <f aca="false">IF(Y$92=$D130,$J130,0)</f>
        <v>0</v>
      </c>
      <c r="Z130" s="344" t="n">
        <f aca="false">IF(Z$92=$D130,$J130,0)</f>
        <v>0</v>
      </c>
      <c r="AA130" s="344" t="n">
        <f aca="false">IF(AA$92=$D130,$J130,0)</f>
        <v>0</v>
      </c>
      <c r="AB130" s="344" t="n">
        <f aca="false">IF(AB$92=$D130,$J130,0)</f>
        <v>0</v>
      </c>
      <c r="AC130" s="344" t="n">
        <f aca="false">IF(AC$92=$D130,$J130,0)</f>
        <v>0</v>
      </c>
      <c r="AD130" s="344" t="n">
        <f aca="false">IF(AD$92=$D130,$J130,0)</f>
        <v>0</v>
      </c>
      <c r="AE130" s="344" t="n">
        <f aca="false">IF(AE$92=$D130,$J130,0)</f>
        <v>0</v>
      </c>
      <c r="AF130" s="344" t="n">
        <f aca="false">IF(AF$92=$D130,$J130,0)</f>
        <v>0</v>
      </c>
      <c r="AG130" s="344" t="n">
        <f aca="false">IF(AG$92=$D130,$J130,0)</f>
        <v>0</v>
      </c>
      <c r="AH130" s="344" t="n">
        <f aca="false">IF(AH$92=$D130,$J130,0)</f>
        <v>0</v>
      </c>
      <c r="AI130" s="344" t="n">
        <f aca="false">IF(AI$92=$D130,$J130,0)</f>
        <v>0</v>
      </c>
      <c r="AJ130" s="344" t="n">
        <f aca="false">IF(AJ$92=$D130,$J130,0)</f>
        <v>0</v>
      </c>
      <c r="AK130" s="344" t="n">
        <f aca="false">IF(AK$92=$D130,$J130,0)</f>
        <v>0</v>
      </c>
      <c r="AL130" s="344" t="n">
        <f aca="false">IF(AL$92=$D130,$J130,0)</f>
        <v>0</v>
      </c>
      <c r="AM130" s="344" t="n">
        <f aca="false">IF(AM$92=$D130,$J130,0)</f>
        <v>0</v>
      </c>
      <c r="AN130" s="441" t="n">
        <f aca="false">IF(AN$92=$D130,$J130,0)</f>
        <v>-23505.66</v>
      </c>
      <c r="AO130" s="344" t="n">
        <f aca="false">IF(AO$92=$D130,$J130,0)</f>
        <v>0</v>
      </c>
      <c r="AP130" s="344" t="n">
        <f aca="false">IF(AP$92=$D130,$J130,0)</f>
        <v>0</v>
      </c>
      <c r="AQ130" s="344" t="n">
        <f aca="false">IF(AQ$92=$D130,$J130,0)</f>
        <v>0</v>
      </c>
      <c r="AR130" s="344" t="n">
        <f aca="false">IF(AR$92=$D130,$J130,0)</f>
        <v>0</v>
      </c>
      <c r="AS130" s="344" t="n">
        <f aca="false">IF(AS$92=$D130,$J130,0)</f>
        <v>0</v>
      </c>
      <c r="AT130" s="344" t="n">
        <f aca="false">IF(AT$92=$D130,$J130,0)</f>
        <v>0</v>
      </c>
      <c r="AU130" s="344" t="n">
        <f aca="false">IF(AU$92=$D130,$J130,0)</f>
        <v>0</v>
      </c>
      <c r="AV130" s="344" t="n">
        <f aca="false">IF(AV$92=$D130,$J130,0)</f>
        <v>0</v>
      </c>
      <c r="AW130" s="344" t="n">
        <f aca="false">IF(AW$92=$D130,$J130,0)</f>
        <v>0</v>
      </c>
      <c r="AX130" s="344" t="n">
        <f aca="false">IF(AX$92=$D130,$J130,0)</f>
        <v>0</v>
      </c>
      <c r="AY130" s="344" t="n">
        <f aca="false">IF(AY$92=$D130,$J130,0)</f>
        <v>0</v>
      </c>
      <c r="AZ130" s="344" t="n">
        <f aca="false">IF(AZ$92=$D130,$J130,0)</f>
        <v>0</v>
      </c>
    </row>
    <row r="131" customFormat="false" ht="12.75" hidden="false" customHeight="false" outlineLevel="0" collapsed="false">
      <c r="A131" s="344" t="s">
        <v>70</v>
      </c>
      <c r="B131" s="413" t="n">
        <v>45945</v>
      </c>
      <c r="C131" s="344" t="s">
        <v>563</v>
      </c>
      <c r="D131" s="344" t="s">
        <v>278</v>
      </c>
      <c r="E131" s="433" t="n">
        <v>121.93</v>
      </c>
      <c r="F131" s="344" t="n">
        <v>-358</v>
      </c>
      <c r="G131" s="433" t="n">
        <v>107.8</v>
      </c>
      <c r="H131" s="433" t="n">
        <f aca="false">Hoja1!H130</f>
        <v>132.46</v>
      </c>
      <c r="I131" s="414" t="n">
        <f aca="false">G131*F131</f>
        <v>-38592.4</v>
      </c>
      <c r="J131" s="414" t="n">
        <f aca="false">H131*F131</f>
        <v>-47420.68</v>
      </c>
      <c r="K131" s="414" t="n">
        <f aca="false">(H131-E131)*F131</f>
        <v>-3769.73999999999</v>
      </c>
      <c r="L131" s="444" t="n">
        <f aca="false">(H131-G131)*F131</f>
        <v>-8828.27999999999</v>
      </c>
      <c r="M131" s="268" t="n">
        <f aca="false">+(H131-E131)/E131</f>
        <v>0.0863610268186662</v>
      </c>
      <c r="N131" s="408" t="n">
        <f aca="false">F131*E131</f>
        <v>-43650.94</v>
      </c>
      <c r="O131" s="42" t="n">
        <v>0.5</v>
      </c>
      <c r="P131" s="441" t="n">
        <f aca="false">O131*J131</f>
        <v>-23710.34</v>
      </c>
      <c r="V131" s="344" t="n">
        <f aca="false">IF(V$92=$D131,$J131,0)</f>
        <v>0</v>
      </c>
      <c r="W131" s="344" t="n">
        <f aca="false">IF(W$92=$D131,$J131,0)</f>
        <v>0</v>
      </c>
      <c r="X131" s="344" t="n">
        <f aca="false">IF(X$92=$D131,$J131,0)</f>
        <v>0</v>
      </c>
      <c r="Y131" s="344" t="n">
        <f aca="false">IF(Y$92=$D131,$J131,0)</f>
        <v>0</v>
      </c>
      <c r="Z131" s="344" t="n">
        <f aca="false">IF(Z$92=$D131,$J131,0)</f>
        <v>0</v>
      </c>
      <c r="AA131" s="344" t="n">
        <f aca="false">IF(AA$92=$D131,$J131,0)</f>
        <v>0</v>
      </c>
      <c r="AB131" s="344" t="n">
        <f aca="false">IF(AB$92=$D131,$J131,0)</f>
        <v>0</v>
      </c>
      <c r="AC131" s="344" t="n">
        <f aca="false">IF(AC$92=$D131,$J131,0)</f>
        <v>0</v>
      </c>
      <c r="AD131" s="344" t="n">
        <f aca="false">IF(AD$92=$D131,$J131,0)</f>
        <v>0</v>
      </c>
      <c r="AE131" s="344" t="n">
        <f aca="false">IF(AE$92=$D131,$J131,0)</f>
        <v>0</v>
      </c>
      <c r="AF131" s="344" t="n">
        <f aca="false">IF(AF$92=$D131,$J131,0)</f>
        <v>0</v>
      </c>
      <c r="AG131" s="344" t="n">
        <f aca="false">IF(AG$92=$D131,$J131,0)</f>
        <v>0</v>
      </c>
      <c r="AH131" s="344" t="n">
        <f aca="false">IF(AH$92=$D131,$J131,0)</f>
        <v>0</v>
      </c>
      <c r="AI131" s="344" t="n">
        <f aca="false">IF(AI$92=$D131,$J131,0)</f>
        <v>0</v>
      </c>
      <c r="AJ131" s="344" t="n">
        <f aca="false">IF(AJ$92=$D131,$J131,0)</f>
        <v>0</v>
      </c>
      <c r="AK131" s="344" t="n">
        <f aca="false">IF(AK$92=$D131,$J131,0)</f>
        <v>0</v>
      </c>
      <c r="AL131" s="344" t="n">
        <f aca="false">IF(AL$92=$D131,$J131,0)</f>
        <v>0</v>
      </c>
      <c r="AM131" s="344" t="n">
        <f aca="false">IF(AM$92=$D131,$J131,0)</f>
        <v>0</v>
      </c>
      <c r="AN131" s="344" t="n">
        <f aca="false">IF(AN$92=$D131,$J131,0)</f>
        <v>0</v>
      </c>
      <c r="AO131" s="441" t="n">
        <f aca="false">IF(AO$92=$D131,$J131,0)</f>
        <v>-47420.68</v>
      </c>
      <c r="AP131" s="344" t="n">
        <f aca="false">IF(AP$92=$D131,$J131,0)</f>
        <v>0</v>
      </c>
      <c r="AQ131" s="344" t="n">
        <f aca="false">IF(AQ$92=$D131,$J131,0)</f>
        <v>0</v>
      </c>
      <c r="AR131" s="344" t="n">
        <f aca="false">IF(AR$92=$D131,$J131,0)</f>
        <v>0</v>
      </c>
      <c r="AS131" s="344" t="n">
        <f aca="false">IF(AS$92=$D131,$J131,0)</f>
        <v>0</v>
      </c>
      <c r="AT131" s="344" t="n">
        <f aca="false">IF(AT$92=$D131,$J131,0)</f>
        <v>0</v>
      </c>
      <c r="AU131" s="344" t="n">
        <f aca="false">IF(AU$92=$D131,$J131,0)</f>
        <v>0</v>
      </c>
      <c r="AV131" s="344" t="n">
        <f aca="false">IF(AV$92=$D131,$J131,0)</f>
        <v>0</v>
      </c>
      <c r="AW131" s="344" t="n">
        <f aca="false">IF(AW$92=$D131,$J131,0)</f>
        <v>0</v>
      </c>
      <c r="AX131" s="344" t="n">
        <f aca="false">IF(AX$92=$D131,$J131,0)</f>
        <v>0</v>
      </c>
      <c r="AY131" s="344" t="n">
        <f aca="false">IF(AY$92=$D131,$J131,0)</f>
        <v>0</v>
      </c>
      <c r="AZ131" s="344" t="n">
        <f aca="false">IF(AZ$92=$D131,$J131,0)</f>
        <v>0</v>
      </c>
    </row>
    <row r="132" customFormat="false" ht="12.75" hidden="false" customHeight="false" outlineLevel="0" collapsed="false">
      <c r="A132" s="344" t="s">
        <v>70</v>
      </c>
      <c r="B132" s="413" t="n">
        <v>45952</v>
      </c>
      <c r="C132" s="344" t="s">
        <v>563</v>
      </c>
      <c r="D132" s="344" t="s">
        <v>278</v>
      </c>
      <c r="E132" s="433" t="n">
        <v>121.93</v>
      </c>
      <c r="F132" s="344" t="n">
        <v>-368</v>
      </c>
      <c r="G132" s="433" t="n">
        <v>108.708571</v>
      </c>
      <c r="H132" s="433" t="n">
        <f aca="false">Hoja1!H130</f>
        <v>132.46</v>
      </c>
      <c r="I132" s="414" t="n">
        <f aca="false">G132*F132</f>
        <v>-40004.754128</v>
      </c>
      <c r="J132" s="414" t="n">
        <f aca="false">H132*F132</f>
        <v>-48745.28</v>
      </c>
      <c r="K132" s="414" t="n">
        <f aca="false">(H132-E132)*F132</f>
        <v>-3875.03999999999</v>
      </c>
      <c r="L132" s="444" t="n">
        <f aca="false">(H132-G132)*F132</f>
        <v>-8740.52587199999</v>
      </c>
      <c r="M132" s="268" t="n">
        <f aca="false">+(H132-E132)/E132</f>
        <v>0.0863610268186662</v>
      </c>
      <c r="N132" s="408" t="n">
        <f aca="false">F132*E132</f>
        <v>-44870.24</v>
      </c>
      <c r="O132" s="42" t="n">
        <v>0.5</v>
      </c>
      <c r="P132" s="441" t="n">
        <f aca="false">O132*J132</f>
        <v>-24372.64</v>
      </c>
      <c r="V132" s="344" t="n">
        <f aca="false">IF(V$92=$D132,$J132,0)</f>
        <v>0</v>
      </c>
      <c r="W132" s="344" t="n">
        <f aca="false">IF(W$92=$D132,$J132,0)</f>
        <v>0</v>
      </c>
      <c r="X132" s="344" t="n">
        <f aca="false">IF(X$92=$D132,$J132,0)</f>
        <v>0</v>
      </c>
      <c r="Y132" s="344" t="n">
        <f aca="false">IF(Y$92=$D132,$J132,0)</f>
        <v>0</v>
      </c>
      <c r="Z132" s="344" t="n">
        <f aca="false">IF(Z$92=$D132,$J132,0)</f>
        <v>0</v>
      </c>
      <c r="AA132" s="344" t="n">
        <f aca="false">IF(AA$92=$D132,$J132,0)</f>
        <v>0</v>
      </c>
      <c r="AB132" s="344" t="n">
        <f aca="false">IF(AB$92=$D132,$J132,0)</f>
        <v>0</v>
      </c>
      <c r="AC132" s="344" t="n">
        <f aca="false">IF(AC$92=$D132,$J132,0)</f>
        <v>0</v>
      </c>
      <c r="AD132" s="344" t="n">
        <f aca="false">IF(AD$92=$D132,$J132,0)</f>
        <v>0</v>
      </c>
      <c r="AE132" s="344" t="n">
        <f aca="false">IF(AE$92=$D132,$J132,0)</f>
        <v>0</v>
      </c>
      <c r="AF132" s="344" t="n">
        <f aca="false">IF(AF$92=$D132,$J132,0)</f>
        <v>0</v>
      </c>
      <c r="AG132" s="344" t="n">
        <f aca="false">IF(AG$92=$D132,$J132,0)</f>
        <v>0</v>
      </c>
      <c r="AH132" s="344" t="n">
        <f aca="false">IF(AH$92=$D132,$J132,0)</f>
        <v>0</v>
      </c>
      <c r="AI132" s="344" t="n">
        <f aca="false">IF(AI$92=$D132,$J132,0)</f>
        <v>0</v>
      </c>
      <c r="AJ132" s="344" t="n">
        <f aca="false">IF(AJ$92=$D132,$J132,0)</f>
        <v>0</v>
      </c>
      <c r="AK132" s="344" t="n">
        <f aca="false">IF(AK$92=$D132,$J132,0)</f>
        <v>0</v>
      </c>
      <c r="AL132" s="344" t="n">
        <f aca="false">IF(AL$92=$D132,$J132,0)</f>
        <v>0</v>
      </c>
      <c r="AM132" s="344" t="n">
        <f aca="false">IF(AM$92=$D132,$J132,0)</f>
        <v>0</v>
      </c>
      <c r="AN132" s="344" t="n">
        <f aca="false">IF(AN$92=$D132,$J132,0)</f>
        <v>0</v>
      </c>
      <c r="AO132" s="441" t="n">
        <f aca="false">IF(AO$92=$D132,$J132,0)</f>
        <v>-48745.28</v>
      </c>
      <c r="AP132" s="344" t="n">
        <f aca="false">IF(AP$92=$D132,$J132,0)</f>
        <v>0</v>
      </c>
      <c r="AQ132" s="344" t="n">
        <f aca="false">IF(AQ$92=$D132,$J132,0)</f>
        <v>0</v>
      </c>
      <c r="AR132" s="344" t="n">
        <f aca="false">IF(AR$92=$D132,$J132,0)</f>
        <v>0</v>
      </c>
      <c r="AS132" s="344" t="n">
        <f aca="false">IF(AS$92=$D132,$J132,0)</f>
        <v>0</v>
      </c>
      <c r="AT132" s="344" t="n">
        <f aca="false">IF(AT$92=$D132,$J132,0)</f>
        <v>0</v>
      </c>
      <c r="AU132" s="344" t="n">
        <f aca="false">IF(AU$92=$D132,$J132,0)</f>
        <v>0</v>
      </c>
      <c r="AV132" s="344" t="n">
        <f aca="false">IF(AV$92=$D132,$J132,0)</f>
        <v>0</v>
      </c>
      <c r="AW132" s="344" t="n">
        <f aca="false">IF(AW$92=$D132,$J132,0)</f>
        <v>0</v>
      </c>
      <c r="AX132" s="344" t="n">
        <f aca="false">IF(AX$92=$D132,$J132,0)</f>
        <v>0</v>
      </c>
      <c r="AY132" s="344" t="n">
        <f aca="false">IF(AY$92=$D132,$J132,0)</f>
        <v>0</v>
      </c>
      <c r="AZ132" s="344" t="n">
        <f aca="false">IF(AZ$92=$D132,$J132,0)</f>
        <v>0</v>
      </c>
    </row>
    <row r="133" customFormat="false" ht="12.75" hidden="false" customHeight="false" outlineLevel="0" collapsed="false">
      <c r="A133" s="344" t="s">
        <v>70</v>
      </c>
      <c r="B133" s="413" t="n">
        <v>45952</v>
      </c>
      <c r="C133" s="344" t="s">
        <v>564</v>
      </c>
      <c r="D133" s="344" t="s">
        <v>539</v>
      </c>
      <c r="E133" s="433" t="n">
        <v>76.92</v>
      </c>
      <c r="F133" s="344" t="n">
        <v>-378</v>
      </c>
      <c r="G133" s="433" t="n">
        <v>86.939985</v>
      </c>
      <c r="H133" s="433" t="n">
        <f aca="false">Hoja1!H122</f>
        <v>70.985</v>
      </c>
      <c r="I133" s="414" t="n">
        <f aca="false">G133*F133</f>
        <v>-32863.31433</v>
      </c>
      <c r="J133" s="414" t="n">
        <f aca="false">H133*F133</f>
        <v>-26832.33</v>
      </c>
      <c r="K133" s="414" t="n">
        <f aca="false">(H133-E133)*F133</f>
        <v>2243.43</v>
      </c>
      <c r="L133" s="444" t="n">
        <f aca="false">(H133-G133)*F133</f>
        <v>6030.98433</v>
      </c>
      <c r="M133" s="268" t="n">
        <f aca="false">+(H133-E133)/E133</f>
        <v>-0.077158086323453</v>
      </c>
      <c r="N133" s="408" t="n">
        <f aca="false">F133*E133</f>
        <v>-29075.76</v>
      </c>
      <c r="O133" s="42" t="n">
        <v>0.5</v>
      </c>
      <c r="P133" s="441" t="n">
        <f aca="false">O133*J133</f>
        <v>-13416.165</v>
      </c>
      <c r="V133" s="344" t="n">
        <f aca="false">IF(V$92=$D133,$J133,0)</f>
        <v>0</v>
      </c>
      <c r="W133" s="344" t="n">
        <f aca="false">IF(W$92=$D133,$J133,0)</f>
        <v>0</v>
      </c>
      <c r="X133" s="344" t="n">
        <f aca="false">IF(X$92=$D133,$J133,0)</f>
        <v>0</v>
      </c>
      <c r="Y133" s="344" t="n">
        <f aca="false">IF(Y$92=$D133,$J133,0)</f>
        <v>0</v>
      </c>
      <c r="Z133" s="344" t="n">
        <f aca="false">IF(Z$92=$D133,$J133,0)</f>
        <v>0</v>
      </c>
      <c r="AA133" s="344" t="n">
        <f aca="false">IF(AA$92=$D133,$J133,0)</f>
        <v>0</v>
      </c>
      <c r="AB133" s="344" t="n">
        <f aca="false">IF(AB$92=$D133,$J133,0)</f>
        <v>0</v>
      </c>
      <c r="AC133" s="344" t="n">
        <f aca="false">IF(AC$92=$D133,$J133,0)</f>
        <v>0</v>
      </c>
      <c r="AD133" s="344" t="n">
        <f aca="false">IF(AD$92=$D133,$J133,0)</f>
        <v>0</v>
      </c>
      <c r="AE133" s="344" t="n">
        <f aca="false">IF(AE$92=$D133,$J133,0)</f>
        <v>0</v>
      </c>
      <c r="AF133" s="344" t="n">
        <f aca="false">IF(AF$92=$D133,$J133,0)</f>
        <v>0</v>
      </c>
      <c r="AG133" s="344" t="n">
        <f aca="false">IF(AG$92=$D133,$J133,0)</f>
        <v>0</v>
      </c>
      <c r="AH133" s="344" t="n">
        <f aca="false">IF(AH$92=$D133,$J133,0)</f>
        <v>0</v>
      </c>
      <c r="AI133" s="344" t="n">
        <f aca="false">IF(AI$92=$D133,$J133,0)</f>
        <v>0</v>
      </c>
      <c r="AJ133" s="344" t="n">
        <f aca="false">IF(AJ$92=$D133,$J133,0)</f>
        <v>0</v>
      </c>
      <c r="AK133" s="344" t="n">
        <f aca="false">IF(AK$92=$D133,$J133,0)</f>
        <v>0</v>
      </c>
      <c r="AL133" s="344" t="n">
        <f aca="false">IF(AL$92=$D133,$J133,0)</f>
        <v>0</v>
      </c>
      <c r="AM133" s="344" t="n">
        <f aca="false">IF(AM$92=$D133,$J133,0)</f>
        <v>0</v>
      </c>
      <c r="AN133" s="344" t="n">
        <f aca="false">IF(AN$92=$D133,$J133,0)</f>
        <v>0</v>
      </c>
      <c r="AO133" s="344" t="n">
        <f aca="false">IF(AO$92=$D133,$J133,0)</f>
        <v>0</v>
      </c>
      <c r="AP133" s="441" t="n">
        <f aca="false">IF(AP$92=$D133,$J133,0)</f>
        <v>-26832.33</v>
      </c>
      <c r="AQ133" s="344" t="n">
        <f aca="false">IF(AQ$92=$D133,$J133,0)</f>
        <v>0</v>
      </c>
      <c r="AR133" s="344" t="n">
        <f aca="false">IF(AR$92=$D133,$J133,0)</f>
        <v>0</v>
      </c>
      <c r="AS133" s="344" t="n">
        <f aca="false">IF(AS$92=$D133,$J133,0)</f>
        <v>0</v>
      </c>
      <c r="AT133" s="344" t="n">
        <f aca="false">IF(AT$92=$D133,$J133,0)</f>
        <v>0</v>
      </c>
      <c r="AU133" s="344" t="n">
        <f aca="false">IF(AU$92=$D133,$J133,0)</f>
        <v>0</v>
      </c>
      <c r="AV133" s="344" t="n">
        <f aca="false">IF(AV$92=$D133,$J133,0)</f>
        <v>0</v>
      </c>
      <c r="AW133" s="344" t="n">
        <f aca="false">IF(AW$92=$D133,$J133,0)</f>
        <v>0</v>
      </c>
      <c r="AX133" s="344" t="n">
        <f aca="false">IF(AX$92=$D133,$J133,0)</f>
        <v>0</v>
      </c>
      <c r="AY133" s="344" t="n">
        <f aca="false">IF(AY$92=$D133,$J133,0)</f>
        <v>0</v>
      </c>
      <c r="AZ133" s="344" t="n">
        <f aca="false">IF(AZ$92=$D133,$J133,0)</f>
        <v>0</v>
      </c>
    </row>
    <row r="134" customFormat="false" ht="12.75" hidden="false" customHeight="false" outlineLevel="0" collapsed="false">
      <c r="A134" s="344" t="s">
        <v>70</v>
      </c>
      <c r="B134" s="413" t="n">
        <v>45966</v>
      </c>
      <c r="C134" s="344" t="s">
        <v>565</v>
      </c>
      <c r="D134" s="344" t="s">
        <v>183</v>
      </c>
      <c r="E134" s="433" t="n">
        <v>40.4</v>
      </c>
      <c r="F134" s="344" t="n">
        <v>-388</v>
      </c>
      <c r="G134" s="433" t="n">
        <v>35.2</v>
      </c>
      <c r="H134" s="433" t="n">
        <f aca="false">Hoja1!H25</f>
        <v>42.41</v>
      </c>
      <c r="I134" s="414" t="n">
        <f aca="false">G134*F134</f>
        <v>-13657.6</v>
      </c>
      <c r="J134" s="414" t="n">
        <f aca="false">H134*F134</f>
        <v>-16455.08</v>
      </c>
      <c r="K134" s="414" t="n">
        <f aca="false">(H134-E134)*F134</f>
        <v>-779.879999999999</v>
      </c>
      <c r="L134" s="444" t="n">
        <f aca="false">(H134-G134)*F134</f>
        <v>-2797.48</v>
      </c>
      <c r="M134" s="268" t="n">
        <f aca="false">+(H134-E134)/E134</f>
        <v>0.0497524752475247</v>
      </c>
      <c r="N134" s="408" t="n">
        <f aca="false">F134*E134</f>
        <v>-15675.2</v>
      </c>
      <c r="O134" s="42" t="n">
        <v>0.5</v>
      </c>
      <c r="P134" s="441" t="n">
        <f aca="false">O134*J134</f>
        <v>-8227.54</v>
      </c>
      <c r="V134" s="344" t="n">
        <f aca="false">IF(V$92=$D134,$J134,0)</f>
        <v>0</v>
      </c>
      <c r="W134" s="344" t="n">
        <f aca="false">IF(W$92=$D134,$J134,0)</f>
        <v>0</v>
      </c>
      <c r="X134" s="344" t="n">
        <f aca="false">IF(X$92=$D134,$J134,0)</f>
        <v>0</v>
      </c>
      <c r="Y134" s="344" t="n">
        <f aca="false">IF(Y$92=$D134,$J134,0)</f>
        <v>0</v>
      </c>
      <c r="Z134" s="344" t="n">
        <f aca="false">IF(Z$92=$D134,$J134,0)</f>
        <v>0</v>
      </c>
      <c r="AA134" s="344" t="n">
        <f aca="false">IF(AA$92=$D134,$J134,0)</f>
        <v>0</v>
      </c>
      <c r="AB134" s="344" t="n">
        <f aca="false">IF(AB$92=$D134,$J134,0)</f>
        <v>0</v>
      </c>
      <c r="AC134" s="344" t="n">
        <f aca="false">IF(AC$92=$D134,$J134,0)</f>
        <v>0</v>
      </c>
      <c r="AD134" s="344" t="n">
        <f aca="false">IF(AD$92=$D134,$J134,0)</f>
        <v>0</v>
      </c>
      <c r="AE134" s="344" t="n">
        <f aca="false">IF(AE$92=$D134,$J134,0)</f>
        <v>0</v>
      </c>
      <c r="AF134" s="344" t="n">
        <f aca="false">IF(AF$92=$D134,$J134,0)</f>
        <v>0</v>
      </c>
      <c r="AG134" s="344" t="n">
        <f aca="false">IF(AG$92=$D134,$J134,0)</f>
        <v>0</v>
      </c>
      <c r="AH134" s="344" t="n">
        <f aca="false">IF(AH$92=$D134,$J134,0)</f>
        <v>0</v>
      </c>
      <c r="AI134" s="344" t="n">
        <f aca="false">IF(AI$92=$D134,$J134,0)</f>
        <v>0</v>
      </c>
      <c r="AJ134" s="344" t="n">
        <f aca="false">IF(AJ$92=$D134,$J134,0)</f>
        <v>0</v>
      </c>
      <c r="AK134" s="344" t="n">
        <f aca="false">IF(AK$92=$D134,$J134,0)</f>
        <v>0</v>
      </c>
      <c r="AL134" s="344" t="n">
        <f aca="false">IF(AL$92=$D134,$J134,0)</f>
        <v>0</v>
      </c>
      <c r="AM134" s="344" t="n">
        <f aca="false">IF(AM$92=$D134,$J134,0)</f>
        <v>0</v>
      </c>
      <c r="AN134" s="344" t="n">
        <f aca="false">IF(AN$92=$D134,$J134,0)</f>
        <v>0</v>
      </c>
      <c r="AO134" s="344" t="n">
        <f aca="false">IF(AO$92=$D134,$J134,0)</f>
        <v>0</v>
      </c>
      <c r="AP134" s="344" t="n">
        <f aca="false">IF(AP$92=$D134,$J134,0)</f>
        <v>0</v>
      </c>
      <c r="AQ134" s="441" t="n">
        <f aca="false">IF(AQ$92=$D134,$J134,0)</f>
        <v>-16455.08</v>
      </c>
      <c r="AR134" s="344" t="n">
        <f aca="false">IF(AR$92=$D134,$J134,0)</f>
        <v>0</v>
      </c>
      <c r="AS134" s="344" t="n">
        <f aca="false">IF(AS$92=$D134,$J134,0)</f>
        <v>0</v>
      </c>
      <c r="AT134" s="344" t="n">
        <f aca="false">IF(AT$92=$D134,$J134,0)</f>
        <v>0</v>
      </c>
      <c r="AU134" s="344" t="n">
        <f aca="false">IF(AU$92=$D134,$J134,0)</f>
        <v>0</v>
      </c>
      <c r="AV134" s="344" t="n">
        <f aca="false">IF(AV$92=$D134,$J134,0)</f>
        <v>0</v>
      </c>
      <c r="AW134" s="344" t="n">
        <f aca="false">IF(AW$92=$D134,$J134,0)</f>
        <v>0</v>
      </c>
      <c r="AX134" s="344" t="n">
        <f aca="false">IF(AX$92=$D134,$J134,0)</f>
        <v>0</v>
      </c>
      <c r="AY134" s="344" t="n">
        <f aca="false">IF(AY$92=$D134,$J134,0)</f>
        <v>0</v>
      </c>
      <c r="AZ134" s="344" t="n">
        <f aca="false">IF(AZ$92=$D134,$J134,0)</f>
        <v>0</v>
      </c>
    </row>
    <row r="135" customFormat="false" ht="12.75" hidden="false" customHeight="false" outlineLevel="0" collapsed="false">
      <c r="A135" s="344" t="s">
        <v>70</v>
      </c>
      <c r="B135" s="413" t="n">
        <v>45996</v>
      </c>
      <c r="C135" s="344" t="s">
        <v>565</v>
      </c>
      <c r="D135" s="344" t="s">
        <v>183</v>
      </c>
      <c r="E135" s="433" t="n">
        <v>40.4</v>
      </c>
      <c r="F135" s="344" t="n">
        <v>-398</v>
      </c>
      <c r="G135" s="433" t="n">
        <v>38.61</v>
      </c>
      <c r="H135" s="433" t="n">
        <f aca="false">Hoja1!H25</f>
        <v>42.41</v>
      </c>
      <c r="I135" s="414" t="n">
        <f aca="false">G135*F135</f>
        <v>-15366.78</v>
      </c>
      <c r="J135" s="414" t="n">
        <f aca="false">H135*F135</f>
        <v>-16879.18</v>
      </c>
      <c r="K135" s="414" t="n">
        <f aca="false">(H135-E135)*F135</f>
        <v>-799.979999999999</v>
      </c>
      <c r="L135" s="444" t="n">
        <f aca="false">(H135-G135)*F135</f>
        <v>-1512.4</v>
      </c>
      <c r="M135" s="268" t="n">
        <f aca="false">+(H135-E135)/E135</f>
        <v>0.0497524752475247</v>
      </c>
      <c r="N135" s="408" t="n">
        <f aca="false">F135*E135</f>
        <v>-16079.2</v>
      </c>
      <c r="O135" s="42" t="n">
        <v>0.75</v>
      </c>
      <c r="P135" s="441" t="n">
        <f aca="false">O135*J135</f>
        <v>-12659.385</v>
      </c>
      <c r="V135" s="344" t="n">
        <f aca="false">IF(V$92=$D135,$J135,0)</f>
        <v>0</v>
      </c>
      <c r="W135" s="344" t="n">
        <f aca="false">IF(W$92=$D135,$J135,0)</f>
        <v>0</v>
      </c>
      <c r="X135" s="344" t="n">
        <f aca="false">IF(X$92=$D135,$J135,0)</f>
        <v>0</v>
      </c>
      <c r="Y135" s="344" t="n">
        <f aca="false">IF(Y$92=$D135,$J135,0)</f>
        <v>0</v>
      </c>
      <c r="Z135" s="344" t="n">
        <f aca="false">IF(Z$92=$D135,$J135,0)</f>
        <v>0</v>
      </c>
      <c r="AA135" s="344" t="n">
        <f aca="false">IF(AA$92=$D135,$J135,0)</f>
        <v>0</v>
      </c>
      <c r="AB135" s="344" t="n">
        <f aca="false">IF(AB$92=$D135,$J135,0)</f>
        <v>0</v>
      </c>
      <c r="AC135" s="344" t="n">
        <f aca="false">IF(AC$92=$D135,$J135,0)</f>
        <v>0</v>
      </c>
      <c r="AD135" s="344" t="n">
        <f aca="false">IF(AD$92=$D135,$J135,0)</f>
        <v>0</v>
      </c>
      <c r="AE135" s="344" t="n">
        <f aca="false">IF(AE$92=$D135,$J135,0)</f>
        <v>0</v>
      </c>
      <c r="AF135" s="344" t="n">
        <f aca="false">IF(AF$92=$D135,$J135,0)</f>
        <v>0</v>
      </c>
      <c r="AG135" s="344" t="n">
        <f aca="false">IF(AG$92=$D135,$J135,0)</f>
        <v>0</v>
      </c>
      <c r="AH135" s="344" t="n">
        <f aca="false">IF(AH$92=$D135,$J135,0)</f>
        <v>0</v>
      </c>
      <c r="AI135" s="344" t="n">
        <f aca="false">IF(AI$92=$D135,$J135,0)</f>
        <v>0</v>
      </c>
      <c r="AJ135" s="344" t="n">
        <f aca="false">IF(AJ$92=$D135,$J135,0)</f>
        <v>0</v>
      </c>
      <c r="AK135" s="344" t="n">
        <f aca="false">IF(AK$92=$D135,$J135,0)</f>
        <v>0</v>
      </c>
      <c r="AL135" s="344" t="n">
        <f aca="false">IF(AL$92=$D135,$J135,0)</f>
        <v>0</v>
      </c>
      <c r="AM135" s="344" t="n">
        <f aca="false">IF(AM$92=$D135,$J135,0)</f>
        <v>0</v>
      </c>
      <c r="AN135" s="344" t="n">
        <f aca="false">IF(AN$92=$D135,$J135,0)</f>
        <v>0</v>
      </c>
      <c r="AO135" s="344" t="n">
        <f aca="false">IF(AO$92=$D135,$J135,0)</f>
        <v>0</v>
      </c>
      <c r="AP135" s="344" t="n">
        <f aca="false">IF(AP$92=$D135,$J135,0)</f>
        <v>0</v>
      </c>
      <c r="AQ135" s="441" t="n">
        <f aca="false">IF(AQ$92=$D135,$J135,0)</f>
        <v>-16879.18</v>
      </c>
      <c r="AR135" s="344" t="n">
        <f aca="false">IF(AR$92=$D135,$J135,0)</f>
        <v>0</v>
      </c>
      <c r="AS135" s="344" t="n">
        <f aca="false">IF(AS$92=$D135,$J135,0)</f>
        <v>0</v>
      </c>
      <c r="AT135" s="344" t="n">
        <f aca="false">IF(AT$92=$D135,$J135,0)</f>
        <v>0</v>
      </c>
      <c r="AU135" s="344" t="n">
        <f aca="false">IF(AU$92=$D135,$J135,0)</f>
        <v>0</v>
      </c>
      <c r="AV135" s="344" t="n">
        <f aca="false">IF(AV$92=$D135,$J135,0)</f>
        <v>0</v>
      </c>
      <c r="AW135" s="344" t="n">
        <f aca="false">IF(AW$92=$D135,$J135,0)</f>
        <v>0</v>
      </c>
      <c r="AX135" s="344" t="n">
        <f aca="false">IF(AX$92=$D135,$J135,0)</f>
        <v>0</v>
      </c>
      <c r="AY135" s="344" t="n">
        <f aca="false">IF(AY$92=$D135,$J135,0)</f>
        <v>0</v>
      </c>
      <c r="AZ135" s="344" t="n">
        <f aca="false">IF(AZ$92=$D135,$J135,0)</f>
        <v>0</v>
      </c>
    </row>
    <row r="136" customFormat="false" ht="12.75" hidden="false" customHeight="false" outlineLevel="0" collapsed="false">
      <c r="A136" s="344" t="s">
        <v>70</v>
      </c>
      <c r="B136" s="413" t="n">
        <v>46002</v>
      </c>
      <c r="C136" s="344" t="s">
        <v>565</v>
      </c>
      <c r="D136" s="344" t="s">
        <v>183</v>
      </c>
      <c r="E136" s="433" t="n">
        <v>40.4</v>
      </c>
      <c r="F136" s="344" t="n">
        <v>-408</v>
      </c>
      <c r="G136" s="433" t="n">
        <v>39.04</v>
      </c>
      <c r="H136" s="433" t="n">
        <f aca="false">Hoja1!$H$25</f>
        <v>42.41</v>
      </c>
      <c r="I136" s="414" t="n">
        <f aca="false">G136*F136</f>
        <v>-15928.32</v>
      </c>
      <c r="J136" s="414" t="n">
        <f aca="false">H136*F136</f>
        <v>-17303.28</v>
      </c>
      <c r="K136" s="414" t="n">
        <f aca="false">(H136-E136)*F136</f>
        <v>-820.079999999999</v>
      </c>
      <c r="L136" s="444" t="n">
        <f aca="false">(H136-G136)*F136</f>
        <v>-1374.96</v>
      </c>
      <c r="M136" s="268" t="n">
        <f aca="false">+(H136-E136)/E136</f>
        <v>0.0497524752475247</v>
      </c>
      <c r="N136" s="408" t="n">
        <f aca="false">F136*E136</f>
        <v>-16483.2</v>
      </c>
      <c r="O136" s="42" t="n">
        <v>0.75</v>
      </c>
      <c r="P136" s="441" t="n">
        <f aca="false">O136*J136</f>
        <v>-12977.46</v>
      </c>
      <c r="V136" s="344" t="n">
        <f aca="false">IF(V$92=$D136,$J136,0)</f>
        <v>0</v>
      </c>
      <c r="W136" s="344" t="n">
        <f aca="false">IF(W$92=$D136,$J136,0)</f>
        <v>0</v>
      </c>
      <c r="X136" s="344" t="n">
        <f aca="false">IF(X$92=$D136,$J136,0)</f>
        <v>0</v>
      </c>
      <c r="Y136" s="344" t="n">
        <f aca="false">IF(Y$92=$D136,$J136,0)</f>
        <v>0</v>
      </c>
      <c r="Z136" s="344" t="n">
        <f aca="false">IF(Z$92=$D136,$J136,0)</f>
        <v>0</v>
      </c>
      <c r="AA136" s="344" t="n">
        <f aca="false">IF(AA$92=$D136,$J136,0)</f>
        <v>0</v>
      </c>
      <c r="AB136" s="344" t="n">
        <f aca="false">IF(AB$92=$D136,$J136,0)</f>
        <v>0</v>
      </c>
      <c r="AC136" s="344" t="n">
        <f aca="false">IF(AC$92=$D136,$J136,0)</f>
        <v>0</v>
      </c>
      <c r="AD136" s="344" t="n">
        <f aca="false">IF(AD$92=$D136,$J136,0)</f>
        <v>0</v>
      </c>
      <c r="AE136" s="344" t="n">
        <f aca="false">IF(AE$92=$D136,$J136,0)</f>
        <v>0</v>
      </c>
      <c r="AF136" s="344" t="n">
        <f aca="false">IF(AF$92=$D136,$J136,0)</f>
        <v>0</v>
      </c>
      <c r="AG136" s="344" t="n">
        <f aca="false">IF(AG$92=$D136,$J136,0)</f>
        <v>0</v>
      </c>
      <c r="AH136" s="344" t="n">
        <f aca="false">IF(AH$92=$D136,$J136,0)</f>
        <v>0</v>
      </c>
      <c r="AI136" s="344" t="n">
        <f aca="false">IF(AI$92=$D136,$J136,0)</f>
        <v>0</v>
      </c>
      <c r="AJ136" s="344" t="n">
        <f aca="false">IF(AJ$92=$D136,$J136,0)</f>
        <v>0</v>
      </c>
      <c r="AK136" s="344" t="n">
        <f aca="false">IF(AK$92=$D136,$J136,0)</f>
        <v>0</v>
      </c>
      <c r="AL136" s="344" t="n">
        <f aca="false">IF(AL$92=$D136,$J136,0)</f>
        <v>0</v>
      </c>
      <c r="AM136" s="344" t="n">
        <f aca="false">IF(AM$92=$D136,$J136,0)</f>
        <v>0</v>
      </c>
      <c r="AN136" s="344" t="n">
        <f aca="false">IF(AN$92=$D136,$J136,0)</f>
        <v>0</v>
      </c>
      <c r="AO136" s="344" t="n">
        <f aca="false">IF(AO$92=$D136,$J136,0)</f>
        <v>0</v>
      </c>
      <c r="AP136" s="344" t="n">
        <f aca="false">IF(AP$92=$D136,$J136,0)</f>
        <v>0</v>
      </c>
      <c r="AQ136" s="441" t="n">
        <f aca="false">IF(AQ$92=$D136,$J136,0)</f>
        <v>-17303.28</v>
      </c>
      <c r="AR136" s="344" t="n">
        <f aca="false">IF(AR$92=$D136,$J136,0)</f>
        <v>0</v>
      </c>
      <c r="AS136" s="344" t="n">
        <f aca="false">IF(AS$92=$D136,$J136,0)</f>
        <v>0</v>
      </c>
      <c r="AT136" s="344" t="n">
        <f aca="false">IF(AT$92=$D136,$J136,0)</f>
        <v>0</v>
      </c>
      <c r="AU136" s="344" t="n">
        <f aca="false">IF(AU$92=$D136,$J136,0)</f>
        <v>0</v>
      </c>
      <c r="AV136" s="344" t="n">
        <f aca="false">IF(AV$92=$D136,$J136,0)</f>
        <v>0</v>
      </c>
      <c r="AW136" s="344" t="n">
        <f aca="false">IF(AW$92=$D136,$J136,0)</f>
        <v>0</v>
      </c>
      <c r="AX136" s="344" t="n">
        <f aca="false">IF(AX$92=$D136,$J136,0)</f>
        <v>0</v>
      </c>
      <c r="AY136" s="344" t="n">
        <f aca="false">IF(AY$92=$D136,$J136,0)</f>
        <v>0</v>
      </c>
      <c r="AZ136" s="344" t="n">
        <f aca="false">IF(AZ$92=$D136,$J136,0)</f>
        <v>0</v>
      </c>
    </row>
    <row r="137" customFormat="false" ht="12.75" hidden="false" customHeight="false" outlineLevel="0" collapsed="false">
      <c r="A137" s="344" t="s">
        <v>70</v>
      </c>
      <c r="B137" s="413" t="n">
        <v>46038</v>
      </c>
      <c r="C137" s="344" t="s">
        <v>565</v>
      </c>
      <c r="D137" s="344" t="s">
        <v>183</v>
      </c>
      <c r="E137" s="433" t="n">
        <v>40.4</v>
      </c>
      <c r="F137" s="344" t="n">
        <v>-418</v>
      </c>
      <c r="G137" s="433" t="n">
        <v>43.563516</v>
      </c>
      <c r="H137" s="433" t="n">
        <f aca="false">Hoja1!$H$25</f>
        <v>42.41</v>
      </c>
      <c r="I137" s="414" t="n">
        <f aca="false">G137*F137</f>
        <v>-18209.549688</v>
      </c>
      <c r="J137" s="414" t="n">
        <f aca="false">H137*F137</f>
        <v>-17727.38</v>
      </c>
      <c r="K137" s="414" t="n">
        <f aca="false">(H137-E137)*F137</f>
        <v>-840.179999999999</v>
      </c>
      <c r="L137" s="444" t="n">
        <f aca="false">(H137-G137)*F137</f>
        <v>482.169688000001</v>
      </c>
      <c r="M137" s="268" t="n">
        <f aca="false">+(H137-E137)/E137</f>
        <v>0.0497524752475247</v>
      </c>
      <c r="N137" s="408" t="n">
        <f aca="false">F137*E137</f>
        <v>-16887.2</v>
      </c>
      <c r="O137" s="42" t="n">
        <v>0.5</v>
      </c>
      <c r="P137" s="441" t="n">
        <f aca="false">O137*J137</f>
        <v>-8863.69</v>
      </c>
      <c r="V137" s="344" t="n">
        <f aca="false">IF(V$92=$D137,$J137,0)</f>
        <v>0</v>
      </c>
      <c r="W137" s="344" t="n">
        <f aca="false">IF(W$92=$D137,$J137,0)</f>
        <v>0</v>
      </c>
      <c r="X137" s="344" t="n">
        <f aca="false">IF(X$92=$D137,$J137,0)</f>
        <v>0</v>
      </c>
      <c r="Y137" s="344" t="n">
        <f aca="false">IF(Y$92=$D137,$J137,0)</f>
        <v>0</v>
      </c>
      <c r="Z137" s="344" t="n">
        <f aca="false">IF(Z$92=$D137,$J137,0)</f>
        <v>0</v>
      </c>
      <c r="AA137" s="344" t="n">
        <f aca="false">IF(AA$92=$D137,$J137,0)</f>
        <v>0</v>
      </c>
      <c r="AB137" s="344" t="n">
        <f aca="false">IF(AB$92=$D137,$J137,0)</f>
        <v>0</v>
      </c>
      <c r="AC137" s="344" t="n">
        <f aca="false">IF(AC$92=$D137,$J137,0)</f>
        <v>0</v>
      </c>
      <c r="AD137" s="344" t="n">
        <f aca="false">IF(AD$92=$D137,$J137,0)</f>
        <v>0</v>
      </c>
      <c r="AE137" s="344" t="n">
        <f aca="false">IF(AE$92=$D137,$J137,0)</f>
        <v>0</v>
      </c>
      <c r="AF137" s="344" t="n">
        <f aca="false">IF(AF$92=$D137,$J137,0)</f>
        <v>0</v>
      </c>
      <c r="AG137" s="344" t="n">
        <f aca="false">IF(AG$92=$D137,$J137,0)</f>
        <v>0</v>
      </c>
      <c r="AH137" s="344" t="n">
        <f aca="false">IF(AH$92=$D137,$J137,0)</f>
        <v>0</v>
      </c>
      <c r="AI137" s="344" t="n">
        <f aca="false">IF(AI$92=$D137,$J137,0)</f>
        <v>0</v>
      </c>
      <c r="AJ137" s="344" t="n">
        <f aca="false">IF(AJ$92=$D137,$J137,0)</f>
        <v>0</v>
      </c>
      <c r="AK137" s="344" t="n">
        <f aca="false">IF(AK$92=$D137,$J137,0)</f>
        <v>0</v>
      </c>
      <c r="AL137" s="344" t="n">
        <f aca="false">IF(AL$92=$D137,$J137,0)</f>
        <v>0</v>
      </c>
      <c r="AM137" s="344" t="n">
        <f aca="false">IF(AM$92=$D137,$J137,0)</f>
        <v>0</v>
      </c>
      <c r="AN137" s="344" t="n">
        <f aca="false">IF(AN$92=$D137,$J137,0)</f>
        <v>0</v>
      </c>
      <c r="AO137" s="344" t="n">
        <f aca="false">IF(AO$92=$D137,$J137,0)</f>
        <v>0</v>
      </c>
      <c r="AP137" s="344" t="n">
        <f aca="false">IF(AP$92=$D137,$J137,0)</f>
        <v>0</v>
      </c>
      <c r="AQ137" s="441" t="n">
        <f aca="false">IF(AQ$92=$D137,$J137,0)</f>
        <v>-17727.38</v>
      </c>
      <c r="AR137" s="344" t="n">
        <f aca="false">IF(AR$92=$D137,$J137,0)</f>
        <v>0</v>
      </c>
      <c r="AS137" s="344" t="n">
        <f aca="false">IF(AS$92=$D137,$J137,0)</f>
        <v>0</v>
      </c>
      <c r="AT137" s="344" t="n">
        <f aca="false">IF(AT$92=$D137,$J137,0)</f>
        <v>0</v>
      </c>
      <c r="AU137" s="344" t="n">
        <f aca="false">IF(AU$92=$D137,$J137,0)</f>
        <v>0</v>
      </c>
      <c r="AV137" s="344" t="n">
        <f aca="false">IF(AV$92=$D137,$J137,0)</f>
        <v>0</v>
      </c>
      <c r="AW137" s="344" t="n">
        <f aca="false">IF(AW$92=$D137,$J137,0)</f>
        <v>0</v>
      </c>
      <c r="AX137" s="344" t="n">
        <f aca="false">IF(AX$92=$D137,$J137,0)</f>
        <v>0</v>
      </c>
      <c r="AY137" s="344" t="n">
        <f aca="false">IF(AY$92=$D137,$J137,0)</f>
        <v>0</v>
      </c>
      <c r="AZ137" s="344" t="n">
        <f aca="false">IF(AZ$92=$D137,$J137,0)</f>
        <v>0</v>
      </c>
    </row>
    <row r="138" customFormat="false" ht="12.75" hidden="false" customHeight="false" outlineLevel="0" collapsed="false">
      <c r="A138" s="344" t="s">
        <v>70</v>
      </c>
      <c r="B138" s="413" t="n">
        <v>45980</v>
      </c>
      <c r="C138" s="344" t="s">
        <v>566</v>
      </c>
      <c r="D138" s="344" t="s">
        <v>540</v>
      </c>
      <c r="E138" s="433" t="n">
        <v>109.66</v>
      </c>
      <c r="F138" s="344" t="n">
        <v>-428</v>
      </c>
      <c r="G138" s="433" t="n">
        <v>104.91</v>
      </c>
      <c r="H138" s="433" t="n">
        <f aca="false">Hoja1!H68</f>
        <v>117.33</v>
      </c>
      <c r="I138" s="414" t="n">
        <f aca="false">G138*F138</f>
        <v>-44901.48</v>
      </c>
      <c r="J138" s="414" t="n">
        <f aca="false">H138*F138</f>
        <v>-50217.24</v>
      </c>
      <c r="K138" s="414" t="n">
        <f aca="false">(H138-E138)*F138</f>
        <v>-3282.76</v>
      </c>
      <c r="L138" s="444" t="n">
        <f aca="false">(H138-G138)*F138</f>
        <v>-5315.76</v>
      </c>
      <c r="M138" s="268" t="n">
        <f aca="false">+(H138-E138)/E138</f>
        <v>0.0699434616086084</v>
      </c>
      <c r="N138" s="408" t="n">
        <f aca="false">F138*E138</f>
        <v>-46934.48</v>
      </c>
      <c r="O138" s="42" t="n">
        <v>0.75</v>
      </c>
      <c r="P138" s="441" t="n">
        <f aca="false">O138*J138</f>
        <v>-37662.93</v>
      </c>
      <c r="V138" s="344" t="n">
        <f aca="false">IF(V$92=$D138,$J138,0)</f>
        <v>0</v>
      </c>
      <c r="W138" s="344" t="n">
        <f aca="false">IF(W$92=$D138,$J138,0)</f>
        <v>0</v>
      </c>
      <c r="X138" s="344" t="n">
        <f aca="false">IF(X$92=$D138,$J138,0)</f>
        <v>0</v>
      </c>
      <c r="Y138" s="344" t="n">
        <f aca="false">IF(Y$92=$D138,$J138,0)</f>
        <v>0</v>
      </c>
      <c r="Z138" s="344" t="n">
        <f aca="false">IF(Z$92=$D138,$J138,0)</f>
        <v>0</v>
      </c>
      <c r="AA138" s="344" t="n">
        <f aca="false">IF(AA$92=$D138,$J138,0)</f>
        <v>0</v>
      </c>
      <c r="AB138" s="344" t="n">
        <f aca="false">IF(AB$92=$D138,$J138,0)</f>
        <v>0</v>
      </c>
      <c r="AC138" s="344" t="n">
        <f aca="false">IF(AC$92=$D138,$J138,0)</f>
        <v>0</v>
      </c>
      <c r="AD138" s="344" t="n">
        <f aca="false">IF(AD$92=$D138,$J138,0)</f>
        <v>0</v>
      </c>
      <c r="AE138" s="344" t="n">
        <f aca="false">IF(AE$92=$D138,$J138,0)</f>
        <v>0</v>
      </c>
      <c r="AF138" s="344" t="n">
        <f aca="false">IF(AF$92=$D138,$J138,0)</f>
        <v>0</v>
      </c>
      <c r="AG138" s="344" t="n">
        <f aca="false">IF(AG$92=$D138,$J138,0)</f>
        <v>0</v>
      </c>
      <c r="AH138" s="344" t="n">
        <f aca="false">IF(AH$92=$D138,$J138,0)</f>
        <v>0</v>
      </c>
      <c r="AI138" s="344" t="n">
        <f aca="false">IF(AI$92=$D138,$J138,0)</f>
        <v>0</v>
      </c>
      <c r="AJ138" s="344" t="n">
        <f aca="false">IF(AJ$92=$D138,$J138,0)</f>
        <v>0</v>
      </c>
      <c r="AK138" s="344" t="n">
        <f aca="false">IF(AK$92=$D138,$J138,0)</f>
        <v>0</v>
      </c>
      <c r="AL138" s="344" t="n">
        <f aca="false">IF(AL$92=$D138,$J138,0)</f>
        <v>0</v>
      </c>
      <c r="AM138" s="344" t="n">
        <f aca="false">IF(AM$92=$D138,$J138,0)</f>
        <v>0</v>
      </c>
      <c r="AN138" s="344" t="n">
        <f aca="false">IF(AN$92=$D138,$J138,0)</f>
        <v>0</v>
      </c>
      <c r="AO138" s="344" t="n">
        <f aca="false">IF(AO$92=$D138,$J138,0)</f>
        <v>0</v>
      </c>
      <c r="AP138" s="344" t="n">
        <f aca="false">IF(AP$92=$D138,$J138,0)</f>
        <v>0</v>
      </c>
      <c r="AQ138" s="344" t="n">
        <f aca="false">IF(AQ$92=$D138,$J138,0)</f>
        <v>0</v>
      </c>
      <c r="AR138" s="441" t="n">
        <f aca="false">IF(AR$92=$D138,$J138,0)</f>
        <v>-50217.24</v>
      </c>
      <c r="AS138" s="344" t="n">
        <f aca="false">IF(AS$92=$D138,$J138,0)</f>
        <v>0</v>
      </c>
      <c r="AT138" s="344" t="n">
        <f aca="false">IF(AT$92=$D138,$J138,0)</f>
        <v>0</v>
      </c>
      <c r="AU138" s="344" t="n">
        <f aca="false">IF(AU$92=$D138,$J138,0)</f>
        <v>0</v>
      </c>
      <c r="AV138" s="344" t="n">
        <f aca="false">IF(AV$92=$D138,$J138,0)</f>
        <v>0</v>
      </c>
      <c r="AW138" s="344" t="n">
        <f aca="false">IF(AW$92=$D138,$J138,0)</f>
        <v>0</v>
      </c>
      <c r="AX138" s="344" t="n">
        <f aca="false">IF(AX$92=$D138,$J138,0)</f>
        <v>0</v>
      </c>
      <c r="AY138" s="344" t="n">
        <f aca="false">IF(AY$92=$D138,$J138,0)</f>
        <v>0</v>
      </c>
      <c r="AZ138" s="344" t="n">
        <f aca="false">IF(AZ$92=$D138,$J138,0)</f>
        <v>0</v>
      </c>
    </row>
    <row r="139" customFormat="false" ht="12.75" hidden="false" customHeight="false" outlineLevel="0" collapsed="false">
      <c r="A139" s="344" t="s">
        <v>70</v>
      </c>
      <c r="B139" s="413" t="n">
        <v>45980</v>
      </c>
      <c r="C139" s="344" t="s">
        <v>566</v>
      </c>
      <c r="D139" s="344" t="s">
        <v>540</v>
      </c>
      <c r="E139" s="433" t="n">
        <v>109.66</v>
      </c>
      <c r="F139" s="344" t="n">
        <v>-438</v>
      </c>
      <c r="G139" s="433" t="n">
        <v>104.97</v>
      </c>
      <c r="H139" s="433" t="n">
        <f aca="false">Hoja1!H68</f>
        <v>117.33</v>
      </c>
      <c r="I139" s="414" t="n">
        <f aca="false">G139*F139</f>
        <v>-45976.86</v>
      </c>
      <c r="J139" s="414" t="n">
        <f aca="false">H139*F139</f>
        <v>-51390.54</v>
      </c>
      <c r="K139" s="414" t="n">
        <f aca="false">(H139-E139)*F139</f>
        <v>-3359.46</v>
      </c>
      <c r="L139" s="444" t="n">
        <f aca="false">(H139-G139)*F139</f>
        <v>-5413.68</v>
      </c>
      <c r="M139" s="268" t="n">
        <f aca="false">+(H139-E139)/E139</f>
        <v>0.0699434616086084</v>
      </c>
      <c r="N139" s="408" t="n">
        <f aca="false">F139*E139</f>
        <v>-48031.08</v>
      </c>
      <c r="O139" s="42" t="n">
        <v>0.75</v>
      </c>
      <c r="P139" s="441" t="n">
        <f aca="false">O139*J139</f>
        <v>-38542.905</v>
      </c>
      <c r="V139" s="344" t="n">
        <f aca="false">IF(V$92=$D139,$J139,0)</f>
        <v>0</v>
      </c>
      <c r="W139" s="344" t="n">
        <f aca="false">IF(W$92=$D139,$J139,0)</f>
        <v>0</v>
      </c>
      <c r="X139" s="344" t="n">
        <f aca="false">IF(X$92=$D139,$J139,0)</f>
        <v>0</v>
      </c>
      <c r="Y139" s="344" t="n">
        <f aca="false">IF(Y$92=$D139,$J139,0)</f>
        <v>0</v>
      </c>
      <c r="Z139" s="344" t="n">
        <f aca="false">IF(Z$92=$D139,$J139,0)</f>
        <v>0</v>
      </c>
      <c r="AA139" s="344" t="n">
        <f aca="false">IF(AA$92=$D139,$J139,0)</f>
        <v>0</v>
      </c>
      <c r="AB139" s="344" t="n">
        <f aca="false">IF(AB$92=$D139,$J139,0)</f>
        <v>0</v>
      </c>
      <c r="AC139" s="344" t="n">
        <f aca="false">IF(AC$92=$D139,$J139,0)</f>
        <v>0</v>
      </c>
      <c r="AD139" s="344" t="n">
        <f aca="false">IF(AD$92=$D139,$J139,0)</f>
        <v>0</v>
      </c>
      <c r="AE139" s="344" t="n">
        <f aca="false">IF(AE$92=$D139,$J139,0)</f>
        <v>0</v>
      </c>
      <c r="AF139" s="344" t="n">
        <f aca="false">IF(AF$92=$D139,$J139,0)</f>
        <v>0</v>
      </c>
      <c r="AG139" s="344" t="n">
        <f aca="false">IF(AG$92=$D139,$J139,0)</f>
        <v>0</v>
      </c>
      <c r="AH139" s="344" t="n">
        <f aca="false">IF(AH$92=$D139,$J139,0)</f>
        <v>0</v>
      </c>
      <c r="AI139" s="344" t="n">
        <f aca="false">IF(AI$92=$D139,$J139,0)</f>
        <v>0</v>
      </c>
      <c r="AJ139" s="344" t="n">
        <f aca="false">IF(AJ$92=$D139,$J139,0)</f>
        <v>0</v>
      </c>
      <c r="AK139" s="344" t="n">
        <f aca="false">IF(AK$92=$D139,$J139,0)</f>
        <v>0</v>
      </c>
      <c r="AL139" s="344" t="n">
        <f aca="false">IF(AL$92=$D139,$J139,0)</f>
        <v>0</v>
      </c>
      <c r="AM139" s="344" t="n">
        <f aca="false">IF(AM$92=$D139,$J139,0)</f>
        <v>0</v>
      </c>
      <c r="AN139" s="344" t="n">
        <f aca="false">IF(AN$92=$D139,$J139,0)</f>
        <v>0</v>
      </c>
      <c r="AO139" s="344" t="n">
        <f aca="false">IF(AO$92=$D139,$J139,0)</f>
        <v>0</v>
      </c>
      <c r="AP139" s="344" t="n">
        <f aca="false">IF(AP$92=$D139,$J139,0)</f>
        <v>0</v>
      </c>
      <c r="AQ139" s="344" t="n">
        <f aca="false">IF(AQ$92=$D139,$J139,0)</f>
        <v>0</v>
      </c>
      <c r="AR139" s="441" t="n">
        <f aca="false">IF(AR$92=$D139,$J139,0)</f>
        <v>-51390.54</v>
      </c>
      <c r="AS139" s="344" t="n">
        <f aca="false">IF(AS$92=$D139,$J139,0)</f>
        <v>0</v>
      </c>
      <c r="AT139" s="344" t="n">
        <f aca="false">IF(AT$92=$D139,$J139,0)</f>
        <v>0</v>
      </c>
      <c r="AU139" s="344" t="n">
        <f aca="false">IF(AU$92=$D139,$J139,0)</f>
        <v>0</v>
      </c>
      <c r="AV139" s="344" t="n">
        <f aca="false">IF(AV$92=$D139,$J139,0)</f>
        <v>0</v>
      </c>
      <c r="AW139" s="344" t="n">
        <f aca="false">IF(AW$92=$D139,$J139,0)</f>
        <v>0</v>
      </c>
      <c r="AX139" s="344" t="n">
        <f aca="false">IF(AX$92=$D139,$J139,0)</f>
        <v>0</v>
      </c>
      <c r="AY139" s="344" t="n">
        <f aca="false">IF(AY$92=$D139,$J139,0)</f>
        <v>0</v>
      </c>
      <c r="AZ139" s="344" t="n">
        <f aca="false">IF(AZ$92=$D139,$J139,0)</f>
        <v>0</v>
      </c>
    </row>
    <row r="140" customFormat="false" ht="12.75" hidden="false" customHeight="false" outlineLevel="0" collapsed="false">
      <c r="A140" s="344" t="s">
        <v>70</v>
      </c>
      <c r="B140" s="413"/>
      <c r="C140" s="344" t="s">
        <v>567</v>
      </c>
      <c r="D140" s="344" t="s">
        <v>230</v>
      </c>
      <c r="E140" s="433"/>
      <c r="F140" s="344" t="n">
        <v>-448</v>
      </c>
      <c r="G140" s="433" t="n">
        <f aca="false">(90.54+91.2199)/2</f>
        <v>90.87995</v>
      </c>
      <c r="H140" s="433" t="n">
        <v>99.2101</v>
      </c>
      <c r="I140" s="414" t="n">
        <f aca="false">G140*F140</f>
        <v>-40714.2176</v>
      </c>
      <c r="J140" s="414" t="n">
        <f aca="false">H140*F140</f>
        <v>-44446.1248</v>
      </c>
      <c r="K140" s="414" t="n">
        <f aca="false">(H140-E140)*F140</f>
        <v>-44446.1248</v>
      </c>
      <c r="L140" s="444" t="n">
        <f aca="false">(H140-G140)*F140</f>
        <v>-3731.9072</v>
      </c>
      <c r="M140" s="268" t="n">
        <f aca="false">+(H140-G140)/G140</f>
        <v>0.0916610319437895</v>
      </c>
      <c r="N140" s="408" t="n">
        <f aca="false">F140*E140</f>
        <v>-0</v>
      </c>
      <c r="O140" s="42" t="n">
        <v>0.5</v>
      </c>
      <c r="P140" s="441" t="n">
        <f aca="false">O140*J140</f>
        <v>-22223.0624</v>
      </c>
      <c r="V140" s="344" t="n">
        <f aca="false">IF(V$92=$D140,$J140,0)</f>
        <v>0</v>
      </c>
      <c r="W140" s="344" t="n">
        <f aca="false">IF(W$92=$D140,$J140,0)</f>
        <v>0</v>
      </c>
      <c r="X140" s="344" t="n">
        <f aca="false">IF(X$92=$D140,$J140,0)</f>
        <v>0</v>
      </c>
      <c r="Y140" s="344" t="n">
        <f aca="false">IF(Y$92=$D140,$J140,0)</f>
        <v>0</v>
      </c>
      <c r="Z140" s="344" t="n">
        <f aca="false">IF(Z$92=$D140,$J140,0)</f>
        <v>0</v>
      </c>
      <c r="AA140" s="344" t="n">
        <f aca="false">IF(AA$92=$D140,$J140,0)</f>
        <v>0</v>
      </c>
      <c r="AB140" s="344" t="n">
        <f aca="false">IF(AB$92=$D140,$J140,0)</f>
        <v>0</v>
      </c>
      <c r="AC140" s="344" t="n">
        <f aca="false">IF(AC$92=$D140,$J140,0)</f>
        <v>0</v>
      </c>
      <c r="AD140" s="344" t="n">
        <f aca="false">IF(AD$92=$D140,$J140,0)</f>
        <v>0</v>
      </c>
      <c r="AE140" s="344" t="n">
        <f aca="false">IF(AE$92=$D140,$J140,0)</f>
        <v>0</v>
      </c>
      <c r="AF140" s="344" t="n">
        <f aca="false">IF(AF$92=$D140,$J140,0)</f>
        <v>0</v>
      </c>
      <c r="AG140" s="344" t="n">
        <f aca="false">IF(AG$92=$D140,$J140,0)</f>
        <v>0</v>
      </c>
      <c r="AH140" s="344" t="n">
        <f aca="false">IF(AH$92=$D140,$J140,0)</f>
        <v>0</v>
      </c>
      <c r="AI140" s="344" t="n">
        <f aca="false">IF(AI$92=$D140,$J140,0)</f>
        <v>0</v>
      </c>
      <c r="AJ140" s="344" t="n">
        <f aca="false">IF(AJ$92=$D140,$J140,0)</f>
        <v>0</v>
      </c>
      <c r="AK140" s="344" t="n">
        <f aca="false">IF(AK$92=$D140,$J140,0)</f>
        <v>0</v>
      </c>
      <c r="AL140" s="344" t="n">
        <f aca="false">IF(AL$92=$D140,$J140,0)</f>
        <v>0</v>
      </c>
      <c r="AM140" s="344" t="n">
        <f aca="false">IF(AM$92=$D140,$J140,0)</f>
        <v>0</v>
      </c>
      <c r="AN140" s="344" t="n">
        <f aca="false">IF(AN$92=$D140,$J140,0)</f>
        <v>0</v>
      </c>
      <c r="AO140" s="344" t="n">
        <f aca="false">IF(AO$92=$D140,$J140,0)</f>
        <v>0</v>
      </c>
      <c r="AP140" s="344" t="n">
        <f aca="false">IF(AP$92=$D140,$J140,0)</f>
        <v>0</v>
      </c>
      <c r="AQ140" s="344" t="n">
        <f aca="false">IF(AQ$92=$D140,$J140,0)</f>
        <v>0</v>
      </c>
      <c r="AR140" s="344" t="n">
        <f aca="false">IF(AR$92=$D140,$J140,0)</f>
        <v>0</v>
      </c>
      <c r="AS140" s="441" t="n">
        <f aca="false">IF(AS$92=$D140,$J140,0)</f>
        <v>-44446.1248</v>
      </c>
      <c r="AT140" s="344" t="n">
        <f aca="false">IF(AT$92=$D140,$J140,0)</f>
        <v>0</v>
      </c>
      <c r="AU140" s="344" t="n">
        <f aca="false">IF(AU$92=$D140,$J140,0)</f>
        <v>0</v>
      </c>
      <c r="AV140" s="344" t="n">
        <f aca="false">IF(AV$92=$D140,$J140,0)</f>
        <v>0</v>
      </c>
      <c r="AW140" s="344" t="n">
        <f aca="false">IF(AW$92=$D140,$J140,0)</f>
        <v>0</v>
      </c>
      <c r="AX140" s="344" t="n">
        <f aca="false">IF(AX$92=$D140,$J140,0)</f>
        <v>0</v>
      </c>
      <c r="AY140" s="344" t="n">
        <f aca="false">IF(AY$92=$D140,$J140,0)</f>
        <v>0</v>
      </c>
      <c r="AZ140" s="344" t="n">
        <f aca="false">IF(AZ$92=$D140,$J140,0)</f>
        <v>0</v>
      </c>
    </row>
    <row r="141" customFormat="false" ht="12.75" hidden="false" customHeight="false" outlineLevel="0" collapsed="false">
      <c r="A141" s="344" t="s">
        <v>70</v>
      </c>
      <c r="B141" s="413" t="n">
        <v>45986</v>
      </c>
      <c r="C141" s="344" t="s">
        <v>568</v>
      </c>
      <c r="D141" s="344" t="s">
        <v>208</v>
      </c>
      <c r="E141" s="433" t="n">
        <v>24.98</v>
      </c>
      <c r="F141" s="344" t="n">
        <v>-458</v>
      </c>
      <c r="G141" s="344" t="n">
        <v>26.632852</v>
      </c>
      <c r="H141" s="433" t="n">
        <f aca="false">Hoja1!H54</f>
        <v>21.975</v>
      </c>
      <c r="I141" s="414" t="n">
        <f aca="false">G141*F141</f>
        <v>-12197.846216</v>
      </c>
      <c r="J141" s="414" t="n">
        <f aca="false">H141*F141</f>
        <v>-10064.55</v>
      </c>
      <c r="K141" s="414" t="n">
        <f aca="false">(H141-E141)*F141</f>
        <v>1376.29</v>
      </c>
      <c r="L141" s="444" t="n">
        <f aca="false">(H141-G141)*F141</f>
        <v>2133.296216</v>
      </c>
      <c r="M141" s="268" t="n">
        <f aca="false">+(H141-E141)/E141</f>
        <v>-0.120296236989592</v>
      </c>
      <c r="N141" s="408" t="n">
        <f aca="false">F141*E141</f>
        <v>-11440.84</v>
      </c>
      <c r="O141" s="42" t="n">
        <v>0.5</v>
      </c>
      <c r="P141" s="441" t="n">
        <f aca="false">O141*J141</f>
        <v>-5032.275</v>
      </c>
      <c r="V141" s="344" t="n">
        <f aca="false">IF(V$92=$D141,$J141,0)</f>
        <v>0</v>
      </c>
      <c r="W141" s="344" t="n">
        <f aca="false">IF(W$92=$D141,$J141,0)</f>
        <v>0</v>
      </c>
      <c r="X141" s="344" t="n">
        <f aca="false">IF(X$92=$D141,$J141,0)</f>
        <v>0</v>
      </c>
      <c r="Y141" s="344" t="n">
        <f aca="false">IF(Y$92=$D141,$J141,0)</f>
        <v>0</v>
      </c>
      <c r="Z141" s="344" t="n">
        <f aca="false">IF(Z$92=$D141,$J141,0)</f>
        <v>0</v>
      </c>
      <c r="AA141" s="344" t="n">
        <f aca="false">IF(AA$92=$D141,$J141,0)</f>
        <v>0</v>
      </c>
      <c r="AB141" s="344" t="n">
        <f aca="false">IF(AB$92=$D141,$J141,0)</f>
        <v>0</v>
      </c>
      <c r="AC141" s="344" t="n">
        <f aca="false">IF(AC$92=$D141,$J141,0)</f>
        <v>0</v>
      </c>
      <c r="AD141" s="344" t="n">
        <f aca="false">IF(AD$92=$D141,$J141,0)</f>
        <v>0</v>
      </c>
      <c r="AE141" s="344" t="n">
        <f aca="false">IF(AE$92=$D141,$J141,0)</f>
        <v>0</v>
      </c>
      <c r="AF141" s="344" t="n">
        <f aca="false">IF(AF$92=$D141,$J141,0)</f>
        <v>0</v>
      </c>
      <c r="AG141" s="344" t="n">
        <f aca="false">IF(AG$92=$D141,$J141,0)</f>
        <v>0</v>
      </c>
      <c r="AH141" s="344" t="n">
        <f aca="false">IF(AH$92=$D141,$J141,0)</f>
        <v>0</v>
      </c>
      <c r="AI141" s="344" t="n">
        <f aca="false">IF(AI$92=$D141,$J141,0)</f>
        <v>0</v>
      </c>
      <c r="AJ141" s="344" t="n">
        <f aca="false">IF(AJ$92=$D141,$J141,0)</f>
        <v>0</v>
      </c>
      <c r="AK141" s="344" t="n">
        <f aca="false">IF(AK$92=$D141,$J141,0)</f>
        <v>0</v>
      </c>
      <c r="AL141" s="344" t="n">
        <f aca="false">IF(AL$92=$D141,$J141,0)</f>
        <v>0</v>
      </c>
      <c r="AM141" s="344" t="n">
        <f aca="false">IF(AM$92=$D141,$J141,0)</f>
        <v>0</v>
      </c>
      <c r="AN141" s="344" t="n">
        <f aca="false">IF(AN$92=$D141,$J141,0)</f>
        <v>0</v>
      </c>
      <c r="AO141" s="344" t="n">
        <f aca="false">IF(AO$92=$D141,$J141,0)</f>
        <v>0</v>
      </c>
      <c r="AP141" s="344" t="n">
        <f aca="false">IF(AP$92=$D141,$J141,0)</f>
        <v>0</v>
      </c>
      <c r="AQ141" s="344" t="n">
        <f aca="false">IF(AQ$92=$D141,$J141,0)</f>
        <v>0</v>
      </c>
      <c r="AR141" s="344" t="n">
        <f aca="false">IF(AR$92=$D141,$J141,0)</f>
        <v>0</v>
      </c>
      <c r="AS141" s="344" t="n">
        <f aca="false">IF(AS$92=$D141,$J141,0)</f>
        <v>0</v>
      </c>
      <c r="AT141" s="441" t="n">
        <f aca="false">IF(AT$92=$D141,$J141,0)</f>
        <v>-10064.55</v>
      </c>
      <c r="AU141" s="344" t="n">
        <f aca="false">IF(AU$92=$D141,$J141,0)</f>
        <v>0</v>
      </c>
      <c r="AV141" s="344" t="n">
        <f aca="false">IF(AV$92=$D141,$J141,0)</f>
        <v>0</v>
      </c>
      <c r="AW141" s="344" t="n">
        <f aca="false">IF(AW$92=$D141,$J141,0)</f>
        <v>0</v>
      </c>
      <c r="AX141" s="344" t="n">
        <f aca="false">IF(AX$92=$D141,$J141,0)</f>
        <v>0</v>
      </c>
      <c r="AY141" s="344" t="n">
        <f aca="false">IF(AY$92=$D141,$J141,0)</f>
        <v>0</v>
      </c>
      <c r="AZ141" s="344" t="n">
        <f aca="false">IF(AZ$92=$D141,$J141,0)</f>
        <v>0</v>
      </c>
    </row>
    <row r="142" customFormat="false" ht="12.75" hidden="false" customHeight="false" outlineLevel="0" collapsed="false">
      <c r="A142" s="344" t="s">
        <v>70</v>
      </c>
      <c r="B142" s="413" t="n">
        <v>45917</v>
      </c>
      <c r="C142" s="344" t="s">
        <v>569</v>
      </c>
      <c r="D142" s="344" t="s">
        <v>541</v>
      </c>
      <c r="E142" s="433" t="n">
        <v>69.76</v>
      </c>
      <c r="F142" s="344" t="n">
        <v>-468</v>
      </c>
      <c r="G142" s="344" t="n">
        <v>59.92</v>
      </c>
      <c r="H142" s="433" t="n">
        <f aca="false">Hoja1!H156</f>
        <v>70.29</v>
      </c>
      <c r="I142" s="414" t="n">
        <f aca="false">G142*F142</f>
        <v>-28042.56</v>
      </c>
      <c r="J142" s="414" t="n">
        <f aca="false">H142*F142</f>
        <v>-32895.72</v>
      </c>
      <c r="K142" s="414" t="n">
        <f aca="false">(H142-E142)*F142</f>
        <v>-248.039999999994</v>
      </c>
      <c r="L142" s="444" t="n">
        <f aca="false">(H142-G142)*F142</f>
        <v>-4853.16</v>
      </c>
      <c r="M142" s="268" t="n">
        <f aca="false">+(H142-E142)/E142</f>
        <v>0.00759747706422</v>
      </c>
      <c r="N142" s="408" t="n">
        <f aca="false">F142*E142</f>
        <v>-32647.68</v>
      </c>
      <c r="O142" s="42" t="n">
        <v>0.5</v>
      </c>
      <c r="P142" s="441" t="n">
        <f aca="false">O142*J142</f>
        <v>-16447.86</v>
      </c>
      <c r="V142" s="344" t="n">
        <f aca="false">IF(V$92=$D142,$J142,0)</f>
        <v>0</v>
      </c>
      <c r="W142" s="344" t="n">
        <f aca="false">IF(W$92=$D142,$J142,0)</f>
        <v>0</v>
      </c>
      <c r="X142" s="344" t="n">
        <f aca="false">IF(X$92=$D142,$J142,0)</f>
        <v>0</v>
      </c>
      <c r="Y142" s="344" t="n">
        <f aca="false">IF(Y$92=$D142,$J142,0)</f>
        <v>0</v>
      </c>
      <c r="Z142" s="344" t="n">
        <f aca="false">IF(Z$92=$D142,$J142,0)</f>
        <v>0</v>
      </c>
      <c r="AA142" s="344" t="n">
        <f aca="false">IF(AA$92=$D142,$J142,0)</f>
        <v>0</v>
      </c>
      <c r="AB142" s="344" t="n">
        <f aca="false">IF(AB$92=$D142,$J142,0)</f>
        <v>0</v>
      </c>
      <c r="AC142" s="344" t="n">
        <f aca="false">IF(AC$92=$D142,$J142,0)</f>
        <v>0</v>
      </c>
      <c r="AD142" s="344" t="n">
        <f aca="false">IF(AD$92=$D142,$J142,0)</f>
        <v>0</v>
      </c>
      <c r="AE142" s="344" t="n">
        <f aca="false">IF(AE$92=$D142,$J142,0)</f>
        <v>0</v>
      </c>
      <c r="AF142" s="344" t="n">
        <f aca="false">IF(AF$92=$D142,$J142,0)</f>
        <v>0</v>
      </c>
      <c r="AG142" s="344" t="n">
        <f aca="false">IF(AG$92=$D142,$J142,0)</f>
        <v>0</v>
      </c>
      <c r="AH142" s="344" t="n">
        <f aca="false">IF(AH$92=$D142,$J142,0)</f>
        <v>0</v>
      </c>
      <c r="AI142" s="344" t="n">
        <f aca="false">IF(AI$92=$D142,$J142,0)</f>
        <v>0</v>
      </c>
      <c r="AJ142" s="344" t="n">
        <f aca="false">IF(AJ$92=$D142,$J142,0)</f>
        <v>0</v>
      </c>
      <c r="AK142" s="344" t="n">
        <f aca="false">IF(AK$92=$D142,$J142,0)</f>
        <v>0</v>
      </c>
      <c r="AL142" s="344" t="n">
        <f aca="false">IF(AL$92=$D142,$J142,0)</f>
        <v>0</v>
      </c>
      <c r="AM142" s="344" t="n">
        <f aca="false">IF(AM$92=$D142,$J142,0)</f>
        <v>0</v>
      </c>
      <c r="AN142" s="344" t="n">
        <f aca="false">IF(AN$92=$D142,$J142,0)</f>
        <v>0</v>
      </c>
      <c r="AO142" s="344" t="n">
        <f aca="false">IF(AO$92=$D142,$J142,0)</f>
        <v>0</v>
      </c>
      <c r="AP142" s="344" t="n">
        <f aca="false">IF(AP$92=$D142,$J142,0)</f>
        <v>0</v>
      </c>
      <c r="AQ142" s="344" t="n">
        <f aca="false">IF(AQ$92=$D142,$J142,0)</f>
        <v>0</v>
      </c>
      <c r="AR142" s="344" t="n">
        <f aca="false">IF(AR$92=$D142,$J142,0)</f>
        <v>0</v>
      </c>
      <c r="AS142" s="344" t="n">
        <f aca="false">IF(AS$92=$D142,$J142,0)</f>
        <v>0</v>
      </c>
      <c r="AT142" s="344" t="n">
        <f aca="false">IF(AT$92=$D142,$J142,0)</f>
        <v>0</v>
      </c>
      <c r="AU142" s="441" t="n">
        <f aca="false">IF(AU$92=$D142,$J142,0)</f>
        <v>-32895.72</v>
      </c>
      <c r="AV142" s="344" t="n">
        <f aca="false">IF(AV$92=$D142,$J142,0)</f>
        <v>0</v>
      </c>
      <c r="AW142" s="344" t="n">
        <f aca="false">IF(AW$92=$D142,$J142,0)</f>
        <v>0</v>
      </c>
      <c r="AX142" s="344" t="n">
        <f aca="false">IF(AX$92=$D142,$J142,0)</f>
        <v>0</v>
      </c>
      <c r="AY142" s="344" t="n">
        <f aca="false">IF(AY$92=$D142,$J142,0)</f>
        <v>0</v>
      </c>
      <c r="AZ142" s="344" t="n">
        <f aca="false">IF(AZ$92=$D142,$J142,0)</f>
        <v>0</v>
      </c>
    </row>
    <row r="143" customFormat="false" ht="12.75" hidden="false" customHeight="false" outlineLevel="0" collapsed="false">
      <c r="A143" s="344" t="s">
        <v>70</v>
      </c>
      <c r="B143" s="413" t="n">
        <v>45986</v>
      </c>
      <c r="C143" s="344" t="s">
        <v>570</v>
      </c>
      <c r="D143" s="344" t="s">
        <v>542</v>
      </c>
      <c r="E143" s="433" t="n">
        <v>25.19</v>
      </c>
      <c r="F143" s="344" t="n">
        <v>-478</v>
      </c>
      <c r="G143" s="344" t="n">
        <v>26.0108</v>
      </c>
      <c r="H143" s="433" t="n">
        <f aca="false">Hoja1!H57</f>
        <v>19.575</v>
      </c>
      <c r="I143" s="414" t="n">
        <f aca="false">G143*F143</f>
        <v>-12433.1624</v>
      </c>
      <c r="J143" s="414" t="n">
        <f aca="false">H143*F143</f>
        <v>-9356.85</v>
      </c>
      <c r="K143" s="414" t="n">
        <f aca="false">(H143-E143)*F143</f>
        <v>2683.97</v>
      </c>
      <c r="L143" s="444" t="n">
        <f aca="false">(H143-G143)*F143</f>
        <v>3076.3124</v>
      </c>
      <c r="M143" s="268" t="n">
        <f aca="false">+(H143-E143)/E143</f>
        <v>-0.222905915045653</v>
      </c>
      <c r="N143" s="408" t="n">
        <f aca="false">F143*E143</f>
        <v>-12040.82</v>
      </c>
      <c r="O143" s="42" t="n">
        <v>0.5</v>
      </c>
      <c r="P143" s="441" t="n">
        <f aca="false">O143*J143</f>
        <v>-4678.425</v>
      </c>
      <c r="Q143" s="268" t="n">
        <f aca="false">SUM(L143:L147)/SUM(I143:I147)</f>
        <v>-0.183228000022045</v>
      </c>
      <c r="V143" s="344" t="n">
        <f aca="false">IF(V$92=$D143,$J143,0)</f>
        <v>0</v>
      </c>
      <c r="W143" s="344" t="n">
        <f aca="false">IF(W$92=$D143,$J143,0)</f>
        <v>0</v>
      </c>
      <c r="X143" s="344" t="n">
        <f aca="false">IF(X$92=$D143,$J143,0)</f>
        <v>0</v>
      </c>
      <c r="Y143" s="344" t="n">
        <f aca="false">IF(Y$92=$D143,$J143,0)</f>
        <v>0</v>
      </c>
      <c r="Z143" s="344" t="n">
        <f aca="false">IF(Z$92=$D143,$J143,0)</f>
        <v>0</v>
      </c>
      <c r="AA143" s="344" t="n">
        <f aca="false">IF(AA$92=$D143,$J143,0)</f>
        <v>0</v>
      </c>
      <c r="AB143" s="344" t="n">
        <f aca="false">IF(AB$92=$D143,$J143,0)</f>
        <v>0</v>
      </c>
      <c r="AC143" s="344" t="n">
        <f aca="false">IF(AC$92=$D143,$J143,0)</f>
        <v>0</v>
      </c>
      <c r="AD143" s="344" t="n">
        <f aca="false">IF(AD$92=$D143,$J143,0)</f>
        <v>0</v>
      </c>
      <c r="AE143" s="344" t="n">
        <f aca="false">IF(AE$92=$D143,$J143,0)</f>
        <v>0</v>
      </c>
      <c r="AF143" s="344" t="n">
        <f aca="false">IF(AF$92=$D143,$J143,0)</f>
        <v>0</v>
      </c>
      <c r="AG143" s="344" t="n">
        <f aca="false">IF(AG$92=$D143,$J143,0)</f>
        <v>0</v>
      </c>
      <c r="AH143" s="344" t="n">
        <f aca="false">IF(AH$92=$D143,$J143,0)</f>
        <v>0</v>
      </c>
      <c r="AI143" s="344" t="n">
        <f aca="false">IF(AI$92=$D143,$J143,0)</f>
        <v>0</v>
      </c>
      <c r="AJ143" s="344" t="n">
        <f aca="false">IF(AJ$92=$D143,$J143,0)</f>
        <v>0</v>
      </c>
      <c r="AK143" s="344" t="n">
        <f aca="false">IF(AK$92=$D143,$J143,0)</f>
        <v>0</v>
      </c>
      <c r="AL143" s="344" t="n">
        <f aca="false">IF(AL$92=$D143,$J143,0)</f>
        <v>0</v>
      </c>
      <c r="AM143" s="344" t="n">
        <f aca="false">IF(AM$92=$D143,$J143,0)</f>
        <v>0</v>
      </c>
      <c r="AN143" s="344" t="n">
        <f aca="false">IF(AN$92=$D143,$J143,0)</f>
        <v>0</v>
      </c>
      <c r="AO143" s="344" t="n">
        <f aca="false">IF(AO$92=$D143,$J143,0)</f>
        <v>0</v>
      </c>
      <c r="AP143" s="344" t="n">
        <f aca="false">IF(AP$92=$D143,$J143,0)</f>
        <v>0</v>
      </c>
      <c r="AQ143" s="344" t="n">
        <f aca="false">IF(AQ$92=$D143,$J143,0)</f>
        <v>0</v>
      </c>
      <c r="AR143" s="344" t="n">
        <f aca="false">IF(AR$92=$D143,$J143,0)</f>
        <v>0</v>
      </c>
      <c r="AS143" s="344" t="n">
        <f aca="false">IF(AS$92=$D143,$J143,0)</f>
        <v>0</v>
      </c>
      <c r="AT143" s="344" t="n">
        <f aca="false">IF(AT$92=$D143,$J143,0)</f>
        <v>0</v>
      </c>
      <c r="AU143" s="344" t="n">
        <f aca="false">IF(AU$92=$D143,$J143,0)</f>
        <v>0</v>
      </c>
      <c r="AV143" s="441" t="n">
        <f aca="false">IF(AV$92=$D143,$J143,0)</f>
        <v>-9356.85</v>
      </c>
      <c r="AW143" s="344" t="n">
        <f aca="false">IF(AW$92=$D143,$J143,0)</f>
        <v>0</v>
      </c>
      <c r="AX143" s="344" t="n">
        <f aca="false">IF(AX$92=$D143,$J143,0)</f>
        <v>0</v>
      </c>
      <c r="AY143" s="344" t="n">
        <f aca="false">IF(AY$92=$D143,$J143,0)</f>
        <v>0</v>
      </c>
      <c r="AZ143" s="344" t="n">
        <f aca="false">IF(AZ$92=$D143,$J143,0)</f>
        <v>0</v>
      </c>
    </row>
    <row r="144" customFormat="false" ht="12.75" hidden="false" customHeight="false" outlineLevel="0" collapsed="false">
      <c r="A144" s="344" t="s">
        <v>70</v>
      </c>
      <c r="B144" s="413" t="n">
        <v>45986</v>
      </c>
      <c r="C144" s="344" t="s">
        <v>571</v>
      </c>
      <c r="D144" s="344" t="s">
        <v>543</v>
      </c>
      <c r="E144" s="433" t="n">
        <v>12.11</v>
      </c>
      <c r="F144" s="344" t="n">
        <v>-488</v>
      </c>
      <c r="G144" s="344" t="n">
        <v>12.2873</v>
      </c>
      <c r="H144" s="433" t="n">
        <f aca="false">Hoja1!H63</f>
        <v>13.935</v>
      </c>
      <c r="I144" s="414" t="n">
        <f aca="false">G144*F144</f>
        <v>-5996.2024</v>
      </c>
      <c r="J144" s="414" t="n">
        <f aca="false">H144*F144</f>
        <v>-6800.28</v>
      </c>
      <c r="K144" s="414" t="n">
        <f aca="false">(H144-E144)*F144</f>
        <v>-890.6</v>
      </c>
      <c r="L144" s="444" t="n">
        <f aca="false">(H144-G144)*F144</f>
        <v>-804.077599999999</v>
      </c>
      <c r="M144" s="268" t="n">
        <f aca="false">+(H144-E144)/E144</f>
        <v>0.150701899256813</v>
      </c>
      <c r="N144" s="408" t="n">
        <f aca="false">F144*E144</f>
        <v>-5909.68</v>
      </c>
      <c r="O144" s="42" t="n">
        <v>0.5</v>
      </c>
      <c r="P144" s="441" t="n">
        <f aca="false">O144*J144</f>
        <v>-3400.14</v>
      </c>
      <c r="V144" s="344" t="n">
        <f aca="false">IF(V$92=$D144,$J144,0)</f>
        <v>0</v>
      </c>
      <c r="W144" s="344" t="n">
        <f aca="false">IF(W$92=$D144,$J144,0)</f>
        <v>0</v>
      </c>
      <c r="X144" s="344" t="n">
        <f aca="false">IF(X$92=$D144,$J144,0)</f>
        <v>0</v>
      </c>
      <c r="Y144" s="344" t="n">
        <f aca="false">IF(Y$92=$D144,$J144,0)</f>
        <v>0</v>
      </c>
      <c r="Z144" s="344" t="n">
        <f aca="false">IF(Z$92=$D144,$J144,0)</f>
        <v>0</v>
      </c>
      <c r="AA144" s="344" t="n">
        <f aca="false">IF(AA$92=$D144,$J144,0)</f>
        <v>0</v>
      </c>
      <c r="AB144" s="344" t="n">
        <f aca="false">IF(AB$92=$D144,$J144,0)</f>
        <v>0</v>
      </c>
      <c r="AC144" s="344" t="n">
        <f aca="false">IF(AC$92=$D144,$J144,0)</f>
        <v>0</v>
      </c>
      <c r="AD144" s="344" t="n">
        <f aca="false">IF(AD$92=$D144,$J144,0)</f>
        <v>0</v>
      </c>
      <c r="AE144" s="344" t="n">
        <f aca="false">IF(AE$92=$D144,$J144,0)</f>
        <v>0</v>
      </c>
      <c r="AF144" s="344" t="n">
        <f aca="false">IF(AF$92=$D144,$J144,0)</f>
        <v>0</v>
      </c>
      <c r="AG144" s="344" t="n">
        <f aca="false">IF(AG$92=$D144,$J144,0)</f>
        <v>0</v>
      </c>
      <c r="AH144" s="344" t="n">
        <f aca="false">IF(AH$92=$D144,$J144,0)</f>
        <v>0</v>
      </c>
      <c r="AI144" s="344" t="n">
        <f aca="false">IF(AI$92=$D144,$J144,0)</f>
        <v>0</v>
      </c>
      <c r="AJ144" s="344" t="n">
        <f aca="false">IF(AJ$92=$D144,$J144,0)</f>
        <v>0</v>
      </c>
      <c r="AK144" s="344" t="n">
        <f aca="false">IF(AK$92=$D144,$J144,0)</f>
        <v>0</v>
      </c>
      <c r="AL144" s="344" t="n">
        <f aca="false">IF(AL$92=$D144,$J144,0)</f>
        <v>0</v>
      </c>
      <c r="AM144" s="344" t="n">
        <f aca="false">IF(AM$92=$D144,$J144,0)</f>
        <v>0</v>
      </c>
      <c r="AN144" s="344" t="n">
        <f aca="false">IF(AN$92=$D144,$J144,0)</f>
        <v>0</v>
      </c>
      <c r="AO144" s="344" t="n">
        <f aca="false">IF(AO$92=$D144,$J144,0)</f>
        <v>0</v>
      </c>
      <c r="AP144" s="344" t="n">
        <f aca="false">IF(AP$92=$D144,$J144,0)</f>
        <v>0</v>
      </c>
      <c r="AQ144" s="344" t="n">
        <f aca="false">IF(AQ$92=$D144,$J144,0)</f>
        <v>0</v>
      </c>
      <c r="AR144" s="344" t="n">
        <f aca="false">IF(AR$92=$D144,$J144,0)</f>
        <v>0</v>
      </c>
      <c r="AS144" s="344" t="n">
        <f aca="false">IF(AS$92=$D144,$J144,0)</f>
        <v>0</v>
      </c>
      <c r="AT144" s="344" t="n">
        <f aca="false">IF(AT$92=$D144,$J144,0)</f>
        <v>0</v>
      </c>
      <c r="AU144" s="344" t="n">
        <f aca="false">IF(AU$92=$D144,$J144,0)</f>
        <v>0</v>
      </c>
      <c r="AV144" s="344" t="n">
        <f aca="false">IF(AV$92=$D144,$J144,0)</f>
        <v>0</v>
      </c>
      <c r="AW144" s="441" t="n">
        <f aca="false">IF(AW$92=$D144,$J144,0)</f>
        <v>-6800.28</v>
      </c>
      <c r="AX144" s="344" t="n">
        <f aca="false">IF(AX$92=$D144,$J144,0)</f>
        <v>0</v>
      </c>
      <c r="AY144" s="344" t="n">
        <f aca="false">IF(AY$92=$D144,$J144,0)</f>
        <v>0</v>
      </c>
      <c r="AZ144" s="344" t="n">
        <f aca="false">IF(AZ$92=$D144,$J144,0)</f>
        <v>0</v>
      </c>
    </row>
    <row r="145" customFormat="false" ht="12.75" hidden="false" customHeight="false" outlineLevel="0" collapsed="false">
      <c r="A145" s="344" t="s">
        <v>70</v>
      </c>
      <c r="B145" s="413" t="n">
        <v>45986</v>
      </c>
      <c r="C145" s="344" t="s">
        <v>572</v>
      </c>
      <c r="D145" s="344" t="s">
        <v>544</v>
      </c>
      <c r="E145" s="433" t="n">
        <v>28.7</v>
      </c>
      <c r="F145" s="344" t="n">
        <v>-498</v>
      </c>
      <c r="G145" s="344" t="n">
        <v>29.005</v>
      </c>
      <c r="H145" s="433" t="n">
        <f aca="false">Hoja1!H81</f>
        <v>28.515</v>
      </c>
      <c r="I145" s="414" t="n">
        <f aca="false">G145*F145</f>
        <v>-14444.49</v>
      </c>
      <c r="J145" s="414" t="n">
        <f aca="false">H145*F145</f>
        <v>-14200.47</v>
      </c>
      <c r="K145" s="414" t="n">
        <f aca="false">(H145-E145)*F145</f>
        <v>92.1299999999994</v>
      </c>
      <c r="L145" s="444" t="n">
        <f aca="false">(H145-G145)*F145</f>
        <v>244.019999999999</v>
      </c>
      <c r="M145" s="268" t="n">
        <f aca="false">+(H145-E145)/E145</f>
        <v>-0.00644599303135884</v>
      </c>
      <c r="N145" s="408" t="n">
        <f aca="false">F145*E145</f>
        <v>-14292.6</v>
      </c>
      <c r="O145" s="42" t="n">
        <v>0.5</v>
      </c>
      <c r="P145" s="441" t="n">
        <f aca="false">O145*J145</f>
        <v>-7100.235</v>
      </c>
      <c r="V145" s="344" t="n">
        <f aca="false">IF(V$92=$D145,$J145,0)</f>
        <v>0</v>
      </c>
      <c r="W145" s="344" t="n">
        <f aca="false">IF(W$92=$D145,$J145,0)</f>
        <v>0</v>
      </c>
      <c r="X145" s="344" t="n">
        <f aca="false">IF(X$92=$D145,$J145,0)</f>
        <v>0</v>
      </c>
      <c r="Y145" s="344" t="n">
        <f aca="false">IF(Y$92=$D145,$J145,0)</f>
        <v>0</v>
      </c>
      <c r="Z145" s="344" t="n">
        <f aca="false">IF(Z$92=$D145,$J145,0)</f>
        <v>0</v>
      </c>
      <c r="AA145" s="344" t="n">
        <f aca="false">IF(AA$92=$D145,$J145,0)</f>
        <v>0</v>
      </c>
      <c r="AB145" s="344" t="n">
        <f aca="false">IF(AB$92=$D145,$J145,0)</f>
        <v>0</v>
      </c>
      <c r="AC145" s="344" t="n">
        <f aca="false">IF(AC$92=$D145,$J145,0)</f>
        <v>0</v>
      </c>
      <c r="AD145" s="344" t="n">
        <f aca="false">IF(AD$92=$D145,$J145,0)</f>
        <v>0</v>
      </c>
      <c r="AE145" s="344" t="n">
        <f aca="false">IF(AE$92=$D145,$J145,0)</f>
        <v>0</v>
      </c>
      <c r="AF145" s="344" t="n">
        <f aca="false">IF(AF$92=$D145,$J145,0)</f>
        <v>0</v>
      </c>
      <c r="AG145" s="344" t="n">
        <f aca="false">IF(AG$92=$D145,$J145,0)</f>
        <v>0</v>
      </c>
      <c r="AH145" s="344" t="n">
        <f aca="false">IF(AH$92=$D145,$J145,0)</f>
        <v>0</v>
      </c>
      <c r="AI145" s="344" t="n">
        <f aca="false">IF(AI$92=$D145,$J145,0)</f>
        <v>0</v>
      </c>
      <c r="AJ145" s="344" t="n">
        <f aca="false">IF(AJ$92=$D145,$J145,0)</f>
        <v>0</v>
      </c>
      <c r="AK145" s="344" t="n">
        <f aca="false">IF(AK$92=$D145,$J145,0)</f>
        <v>0</v>
      </c>
      <c r="AL145" s="344" t="n">
        <f aca="false">IF(AL$92=$D145,$J145,0)</f>
        <v>0</v>
      </c>
      <c r="AM145" s="344" t="n">
        <f aca="false">IF(AM$92=$D145,$J145,0)</f>
        <v>0</v>
      </c>
      <c r="AN145" s="344" t="n">
        <f aca="false">IF(AN$92=$D145,$J145,0)</f>
        <v>0</v>
      </c>
      <c r="AO145" s="344" t="n">
        <f aca="false">IF(AO$92=$D145,$J145,0)</f>
        <v>0</v>
      </c>
      <c r="AP145" s="344" t="n">
        <f aca="false">IF(AP$92=$D145,$J145,0)</f>
        <v>0</v>
      </c>
      <c r="AQ145" s="344" t="n">
        <f aca="false">IF(AQ$92=$D145,$J145,0)</f>
        <v>0</v>
      </c>
      <c r="AR145" s="344" t="n">
        <f aca="false">IF(AR$92=$D145,$J145,0)</f>
        <v>0</v>
      </c>
      <c r="AS145" s="344" t="n">
        <f aca="false">IF(AS$92=$D145,$J145,0)</f>
        <v>0</v>
      </c>
      <c r="AT145" s="344" t="n">
        <f aca="false">IF(AT$92=$D145,$J145,0)</f>
        <v>0</v>
      </c>
      <c r="AU145" s="344" t="n">
        <f aca="false">IF(AU$92=$D145,$J145,0)</f>
        <v>0</v>
      </c>
      <c r="AV145" s="344" t="n">
        <f aca="false">IF(AV$92=$D145,$J145,0)</f>
        <v>0</v>
      </c>
      <c r="AW145" s="344" t="n">
        <f aca="false">IF(AW$92=$D145,$J145,0)</f>
        <v>0</v>
      </c>
      <c r="AX145" s="441" t="n">
        <f aca="false">IF(AX$92=$D145,$J145,0)</f>
        <v>-14200.47</v>
      </c>
      <c r="AY145" s="344" t="n">
        <f aca="false">IF(AY$92=$D145,$J145,0)</f>
        <v>0</v>
      </c>
      <c r="AZ145" s="344" t="n">
        <f aca="false">IF(AZ$92=$D145,$J145,0)</f>
        <v>0</v>
      </c>
    </row>
    <row r="146" customFormat="false" ht="12.75" hidden="false" customHeight="false" outlineLevel="0" collapsed="false">
      <c r="A146" s="344" t="s">
        <v>70</v>
      </c>
      <c r="B146" s="413" t="n">
        <v>45986</v>
      </c>
      <c r="C146" s="344" t="s">
        <v>573</v>
      </c>
      <c r="D146" s="344" t="s">
        <v>116</v>
      </c>
      <c r="E146" s="433" t="n">
        <v>146.58</v>
      </c>
      <c r="F146" s="344" t="n">
        <v>-508</v>
      </c>
      <c r="G146" s="344" t="n">
        <v>159.245</v>
      </c>
      <c r="H146" s="433" t="n">
        <f aca="false">Hoja1!H31</f>
        <v>125.72</v>
      </c>
      <c r="I146" s="414" t="n">
        <f aca="false">G146*F146</f>
        <v>-80896.46</v>
      </c>
      <c r="J146" s="414" t="n">
        <f aca="false">H146*F146</f>
        <v>-63865.76</v>
      </c>
      <c r="K146" s="414" t="n">
        <f aca="false">(H146-E146)*F146</f>
        <v>10596.88</v>
      </c>
      <c r="L146" s="444" t="n">
        <f aca="false">(H146-G146)*F146</f>
        <v>17030.7</v>
      </c>
      <c r="M146" s="268" t="n">
        <f aca="false">+(H146-E146)/E146</f>
        <v>-0.142311365807068</v>
      </c>
      <c r="N146" s="408" t="n">
        <f aca="false">F146*E146</f>
        <v>-74462.64</v>
      </c>
      <c r="O146" s="42" t="n">
        <v>0.5</v>
      </c>
      <c r="P146" s="441" t="n">
        <f aca="false">O146*J146</f>
        <v>-31932.88</v>
      </c>
      <c r="V146" s="344" t="n">
        <f aca="false">IF(V$92=$D146,$J146,0)</f>
        <v>0</v>
      </c>
      <c r="W146" s="344" t="n">
        <f aca="false">IF(W$92=$D146,$J146,0)</f>
        <v>0</v>
      </c>
      <c r="X146" s="344" t="n">
        <f aca="false">IF(X$92=$D146,$J146,0)</f>
        <v>0</v>
      </c>
      <c r="Y146" s="344" t="n">
        <f aca="false">IF(Y$92=$D146,$J146,0)</f>
        <v>0</v>
      </c>
      <c r="Z146" s="344" t="n">
        <f aca="false">IF(Z$92=$D146,$J146,0)</f>
        <v>0</v>
      </c>
      <c r="AA146" s="344" t="n">
        <f aca="false">IF(AA$92=$D146,$J146,0)</f>
        <v>0</v>
      </c>
      <c r="AB146" s="344" t="n">
        <f aca="false">IF(AB$92=$D146,$J146,0)</f>
        <v>0</v>
      </c>
      <c r="AC146" s="344" t="n">
        <f aca="false">IF(AC$92=$D146,$J146,0)</f>
        <v>0</v>
      </c>
      <c r="AD146" s="344" t="n">
        <f aca="false">IF(AD$92=$D146,$J146,0)</f>
        <v>0</v>
      </c>
      <c r="AE146" s="344" t="n">
        <f aca="false">IF(AE$92=$D146,$J146,0)</f>
        <v>0</v>
      </c>
      <c r="AF146" s="344" t="n">
        <f aca="false">IF(AF$92=$D146,$J146,0)</f>
        <v>0</v>
      </c>
      <c r="AG146" s="344" t="n">
        <f aca="false">IF(AG$92=$D146,$J146,0)</f>
        <v>0</v>
      </c>
      <c r="AH146" s="344" t="n">
        <f aca="false">IF(AH$92=$D146,$J146,0)</f>
        <v>0</v>
      </c>
      <c r="AI146" s="344" t="n">
        <f aca="false">IF(AI$92=$D146,$J146,0)</f>
        <v>0</v>
      </c>
      <c r="AJ146" s="344" t="n">
        <f aca="false">IF(AJ$92=$D146,$J146,0)</f>
        <v>0</v>
      </c>
      <c r="AK146" s="344" t="n">
        <f aca="false">IF(AK$92=$D146,$J146,0)</f>
        <v>0</v>
      </c>
      <c r="AL146" s="344" t="n">
        <f aca="false">IF(AL$92=$D146,$J146,0)</f>
        <v>0</v>
      </c>
      <c r="AM146" s="344" t="n">
        <f aca="false">IF(AM$92=$D146,$J146,0)</f>
        <v>0</v>
      </c>
      <c r="AN146" s="344" t="n">
        <f aca="false">IF(AN$92=$D146,$J146,0)</f>
        <v>0</v>
      </c>
      <c r="AO146" s="344" t="n">
        <f aca="false">IF(AO$92=$D146,$J146,0)</f>
        <v>0</v>
      </c>
      <c r="AP146" s="344" t="n">
        <f aca="false">IF(AP$92=$D146,$J146,0)</f>
        <v>0</v>
      </c>
      <c r="AQ146" s="344" t="n">
        <f aca="false">IF(AQ$92=$D146,$J146,0)</f>
        <v>0</v>
      </c>
      <c r="AR146" s="344" t="n">
        <f aca="false">IF(AR$92=$D146,$J146,0)</f>
        <v>0</v>
      </c>
      <c r="AS146" s="344" t="n">
        <f aca="false">IF(AS$92=$D146,$J146,0)</f>
        <v>0</v>
      </c>
      <c r="AT146" s="344" t="n">
        <f aca="false">IF(AT$92=$D146,$J146,0)</f>
        <v>0</v>
      </c>
      <c r="AU146" s="344" t="n">
        <f aca="false">IF(AU$92=$D146,$J146,0)</f>
        <v>0</v>
      </c>
      <c r="AV146" s="344" t="n">
        <f aca="false">IF(AV$92=$D146,$J146,0)</f>
        <v>0</v>
      </c>
      <c r="AW146" s="344" t="n">
        <f aca="false">IF(AW$92=$D146,$J146,0)</f>
        <v>0</v>
      </c>
      <c r="AX146" s="344" t="n">
        <f aca="false">IF(AX$92=$D146,$J146,0)</f>
        <v>0</v>
      </c>
      <c r="AY146" s="441" t="n">
        <f aca="false">IF(AY$92=$D146,$J146,0)</f>
        <v>-63865.76</v>
      </c>
      <c r="AZ146" s="344" t="n">
        <f aca="false">IF(AZ$92=$D146,$J146,0)</f>
        <v>0</v>
      </c>
    </row>
    <row r="147" customFormat="false" ht="12.75" hidden="false" customHeight="false" outlineLevel="0" collapsed="false">
      <c r="A147" s="344" t="s">
        <v>70</v>
      </c>
      <c r="B147" s="413" t="n">
        <v>45986</v>
      </c>
      <c r="C147" s="344" t="s">
        <v>574</v>
      </c>
      <c r="D147" s="344" t="s">
        <v>545</v>
      </c>
      <c r="E147" s="433" t="n">
        <v>76.55</v>
      </c>
      <c r="F147" s="344" t="n">
        <v>-518</v>
      </c>
      <c r="G147" s="344" t="n">
        <v>80.35</v>
      </c>
      <c r="H147" s="433" t="n">
        <f aca="false">Hoja1!H72</f>
        <v>63.12</v>
      </c>
      <c r="I147" s="414" t="n">
        <f aca="false">G147*F147</f>
        <v>-41621.3</v>
      </c>
      <c r="J147" s="414" t="n">
        <f aca="false">H147*F147</f>
        <v>-32696.16</v>
      </c>
      <c r="K147" s="414" t="n">
        <f aca="false">(H147-E147)*F147</f>
        <v>6956.74</v>
      </c>
      <c r="L147" s="444" t="n">
        <f aca="false">(H147-G147)*F147</f>
        <v>8925.14</v>
      </c>
      <c r="M147" s="268" t="n">
        <f aca="false">+(H147-E147)/E147</f>
        <v>-0.175440888308295</v>
      </c>
      <c r="N147" s="408" t="n">
        <f aca="false">F147*E147</f>
        <v>-39652.9</v>
      </c>
      <c r="O147" s="42" t="n">
        <v>0.5</v>
      </c>
      <c r="P147" s="441" t="n">
        <f aca="false">O147*J147</f>
        <v>-16348.08</v>
      </c>
      <c r="V147" s="344" t="n">
        <f aca="false">IF(V$92=$D147,$J147,0)</f>
        <v>0</v>
      </c>
      <c r="W147" s="344" t="n">
        <f aca="false">IF(W$92=$D147,$J147,0)</f>
        <v>0</v>
      </c>
      <c r="X147" s="344" t="n">
        <f aca="false">IF(X$92=$D147,$J147,0)</f>
        <v>0</v>
      </c>
      <c r="Y147" s="344" t="n">
        <f aca="false">IF(Y$92=$D147,$J147,0)</f>
        <v>0</v>
      </c>
      <c r="Z147" s="344" t="n">
        <f aca="false">IF(Z$92=$D147,$J147,0)</f>
        <v>0</v>
      </c>
      <c r="AA147" s="344" t="n">
        <f aca="false">IF(AA$92=$D147,$J147,0)</f>
        <v>0</v>
      </c>
      <c r="AB147" s="344" t="n">
        <f aca="false">IF(AB$92=$D147,$J147,0)</f>
        <v>0</v>
      </c>
      <c r="AC147" s="344" t="n">
        <f aca="false">IF(AC$92=$D147,$J147,0)</f>
        <v>0</v>
      </c>
      <c r="AD147" s="344" t="n">
        <f aca="false">IF(AD$92=$D147,$J147,0)</f>
        <v>0</v>
      </c>
      <c r="AE147" s="344" t="n">
        <f aca="false">IF(AE$92=$D147,$J147,0)</f>
        <v>0</v>
      </c>
      <c r="AF147" s="344" t="n">
        <f aca="false">IF(AF$92=$D147,$J147,0)</f>
        <v>0</v>
      </c>
      <c r="AG147" s="344" t="n">
        <f aca="false">IF(AG$92=$D147,$J147,0)</f>
        <v>0</v>
      </c>
      <c r="AH147" s="344" t="n">
        <f aca="false">IF(AH$92=$D147,$J147,0)</f>
        <v>0</v>
      </c>
      <c r="AI147" s="344" t="n">
        <f aca="false">IF(AI$92=$D147,$J147,0)</f>
        <v>0</v>
      </c>
      <c r="AJ147" s="344" t="n">
        <f aca="false">IF(AJ$92=$D147,$J147,0)</f>
        <v>0</v>
      </c>
      <c r="AK147" s="344" t="n">
        <f aca="false">IF(AK$92=$D147,$J147,0)</f>
        <v>0</v>
      </c>
      <c r="AL147" s="344" t="n">
        <f aca="false">IF(AL$92=$D147,$J147,0)</f>
        <v>0</v>
      </c>
      <c r="AM147" s="344" t="n">
        <f aca="false">IF(AM$92=$D147,$J147,0)</f>
        <v>0</v>
      </c>
      <c r="AN147" s="344" t="n">
        <f aca="false">IF(AN$92=$D147,$J147,0)</f>
        <v>0</v>
      </c>
      <c r="AO147" s="344" t="n">
        <f aca="false">IF(AO$92=$D147,$J147,0)</f>
        <v>0</v>
      </c>
      <c r="AP147" s="344" t="n">
        <f aca="false">IF(AP$92=$D147,$J147,0)</f>
        <v>0</v>
      </c>
      <c r="AQ147" s="344" t="n">
        <f aca="false">IF(AQ$92=$D147,$J147,0)</f>
        <v>0</v>
      </c>
      <c r="AR147" s="344" t="n">
        <f aca="false">IF(AR$92=$D147,$J147,0)</f>
        <v>0</v>
      </c>
      <c r="AS147" s="344" t="n">
        <f aca="false">IF(AS$92=$D147,$J147,0)</f>
        <v>0</v>
      </c>
      <c r="AT147" s="344" t="n">
        <f aca="false">IF(AT$92=$D147,$J147,0)</f>
        <v>0</v>
      </c>
      <c r="AU147" s="344" t="n">
        <f aca="false">IF(AU$92=$D147,$J147,0)</f>
        <v>0</v>
      </c>
      <c r="AV147" s="344" t="n">
        <f aca="false">IF(AV$92=$D147,$J147,0)</f>
        <v>0</v>
      </c>
      <c r="AW147" s="344" t="n">
        <f aca="false">IF(AW$92=$D147,$J147,0)</f>
        <v>0</v>
      </c>
      <c r="AX147" s="344" t="n">
        <f aca="false">IF(AX$92=$D147,$J147,0)</f>
        <v>0</v>
      </c>
      <c r="AY147" s="344" t="n">
        <f aca="false">IF(AY$92=$D147,$J147,0)</f>
        <v>0</v>
      </c>
      <c r="AZ147" s="441" t="n">
        <f aca="false">IF(AZ$92=$D147,$J147,0)</f>
        <v>-32696.16</v>
      </c>
    </row>
    <row r="148" customFormat="false" ht="13.8" hidden="false" customHeight="false" outlineLevel="0" collapsed="false">
      <c r="A148" s="397" t="s">
        <v>19</v>
      </c>
      <c r="B148" s="413"/>
      <c r="E148" s="414"/>
      <c r="H148" s="433"/>
      <c r="I148" s="414"/>
      <c r="J148" s="414"/>
      <c r="K148" s="414"/>
      <c r="L148" s="444"/>
      <c r="M148" s="268"/>
    </row>
    <row r="149" customFormat="false" ht="13.8" hidden="false" customHeight="false" outlineLevel="0" collapsed="false">
      <c r="A149" s="397"/>
      <c r="B149" s="414"/>
      <c r="E149" s="414"/>
      <c r="H149" s="433"/>
      <c r="I149" s="414"/>
      <c r="J149" s="414"/>
      <c r="K149" s="414"/>
      <c r="L149" s="444"/>
      <c r="M149" s="268"/>
      <c r="O149" s="441"/>
    </row>
    <row r="150" customFormat="false" ht="12.75" hidden="false" customHeight="false" outlineLevel="0" collapsed="false">
      <c r="B150" s="414"/>
      <c r="E150" s="414"/>
      <c r="I150" s="438" t="n">
        <f aca="false">SUBTOTAL(9,I94:I149)</f>
        <v>-46322816.146498</v>
      </c>
      <c r="J150" s="438" t="n">
        <f aca="false">SUBTOTAL(9,J94:J149)</f>
        <v>-46034758.752</v>
      </c>
      <c r="K150" s="438" t="n">
        <f aca="false">SUBTOTAL(9,K94:K149)</f>
        <v>65103.6679999973</v>
      </c>
      <c r="L150" s="438" t="n">
        <f aca="false">SUBTOTAL(9,L94:L149)</f>
        <v>288057.394498</v>
      </c>
      <c r="M150" s="446" t="n">
        <f aca="false">K150/N150</f>
        <v>-0.00141223128622077</v>
      </c>
      <c r="N150" s="447" t="n">
        <f aca="false">SUBTOTAL(9,N94:N149)</f>
        <v>-46099862.42</v>
      </c>
      <c r="O150" s="441"/>
      <c r="P150" s="441"/>
      <c r="V150" s="344" t="str">
        <f aca="false">+V92</f>
        <v>AMZN</v>
      </c>
      <c r="W150" s="344" t="str">
        <f aca="false">+W92</f>
        <v>ARGT</v>
      </c>
      <c r="X150" s="344" t="str">
        <f aca="false">+X92</f>
        <v>BCH</v>
      </c>
      <c r="Y150" s="344" t="str">
        <f aca="false">+Y92</f>
        <v>BLK</v>
      </c>
      <c r="Z150" s="344" t="str">
        <f aca="false">+Z92</f>
        <v>BRK/B</v>
      </c>
      <c r="AA150" s="344" t="str">
        <f aca="false">+AA92</f>
        <v>CRCL</v>
      </c>
      <c r="AB150" s="344" t="str">
        <f aca="false">+AB92</f>
        <v>AIQ</v>
      </c>
      <c r="AC150" s="344" t="str">
        <f aca="false">+AC92</f>
        <v>QQQ</v>
      </c>
      <c r="AD150" s="344" t="str">
        <f aca="false">+AD92</f>
        <v>ESM6</v>
      </c>
      <c r="AE150" s="344" t="str">
        <f aca="false">+AE92</f>
        <v>SPY</v>
      </c>
      <c r="AF150" s="344" t="str">
        <f aca="false">+AF92</f>
        <v>GOOG</v>
      </c>
      <c r="AG150" s="344" t="str">
        <f aca="false">+AG92</f>
        <v>LTM</v>
      </c>
      <c r="AH150" s="344" t="str">
        <f aca="false">+AH92</f>
        <v>META</v>
      </c>
      <c r="AI150" s="344" t="str">
        <f aca="false">+AI92</f>
        <v>MSFT</v>
      </c>
      <c r="AJ150" s="344" t="str">
        <f aca="false">+AJ92</f>
        <v>NVDA</v>
      </c>
      <c r="AK150" s="344" t="str">
        <f aca="false">+AK92</f>
        <v>TGS</v>
      </c>
      <c r="AL150" s="344" t="str">
        <f aca="false">+AL92</f>
        <v>USCI</v>
      </c>
      <c r="AM150" s="344" t="str">
        <f aca="false">+AM92</f>
        <v>PLTR</v>
      </c>
      <c r="AN150" s="344" t="str">
        <f aca="false">+AN92</f>
        <v>FCX</v>
      </c>
      <c r="AO150" s="344" t="str">
        <f aca="false">+AO92</f>
        <v>XBI</v>
      </c>
      <c r="AP150" s="344" t="str">
        <f aca="false">+AP92</f>
        <v>ARKK</v>
      </c>
      <c r="AQ150" s="344" t="str">
        <f aca="false">+AQ92</f>
        <v>ECH</v>
      </c>
      <c r="AR150" s="344" t="str">
        <f aca="false">+AR92</f>
        <v>QTUM</v>
      </c>
      <c r="AS150" s="344" t="str">
        <f aca="false">+AS92</f>
        <v>SLV</v>
      </c>
      <c r="AT150" s="344" t="str">
        <f aca="false">+AT92</f>
        <v>IIF</v>
      </c>
      <c r="AU150" s="344" t="str">
        <f aca="false">+AU92</f>
        <v>RKLB</v>
      </c>
      <c r="AV150" s="344" t="str">
        <f aca="false">+AV92</f>
        <v>XIACY </v>
      </c>
      <c r="AW150" s="344" t="str">
        <f aca="false">+AW92</f>
        <v>BYDDY</v>
      </c>
      <c r="AX150" s="344" t="str">
        <f aca="false">+AX92</f>
        <v>JD</v>
      </c>
      <c r="AY150" s="344" t="str">
        <f aca="false">+AY92</f>
        <v>BABA</v>
      </c>
      <c r="AZ150" s="344" t="str">
        <f aca="false">+AZ92</f>
        <v>TCEHY </v>
      </c>
    </row>
    <row r="151" s="344" customFormat="true" ht="12.75" hidden="false" customHeight="false" outlineLevel="0" collapsed="false">
      <c r="B151" s="414"/>
      <c r="E151" s="414"/>
      <c r="L151" s="388"/>
      <c r="N151" s="344" t="s">
        <v>575</v>
      </c>
      <c r="O151" s="344" t="s">
        <v>576</v>
      </c>
      <c r="V151" s="442" t="n">
        <f aca="false">SUM(V93:V149)</f>
        <v>2995.8912</v>
      </c>
      <c r="W151" s="442" t="n">
        <f aca="false">SUM(W93:W149)</f>
        <v>-697.4376</v>
      </c>
      <c r="X151" s="442" t="n">
        <f aca="false">SUM(X93:X149)</f>
        <v>-689.22</v>
      </c>
      <c r="Y151" s="442" t="n">
        <f aca="false">SUM(Y93:Y149)</f>
        <v>-28073.78</v>
      </c>
      <c r="Z151" s="442" t="n">
        <f aca="false">SUM(Z93:Z149)</f>
        <v>-18241.52</v>
      </c>
      <c r="AA151" s="442" t="n">
        <f aca="false">SUM(AA93:AA149)</f>
        <v>-5701.0608</v>
      </c>
      <c r="AB151" s="442" t="n">
        <f aca="false">SUM(AB93:AB149)</f>
        <v>-10125.54</v>
      </c>
      <c r="AC151" s="442" t="n">
        <f aca="false">SUM(AC93:AC149)</f>
        <v>-251787.62</v>
      </c>
      <c r="AD151" s="442" t="n">
        <f aca="false">SUM(AD93:AD149)</f>
        <v>-43971928</v>
      </c>
      <c r="AE151" s="442" t="n">
        <f aca="false">SUM(AE93:AE149)</f>
        <v>-194265.5</v>
      </c>
      <c r="AF151" s="442" t="n">
        <f aca="false">SUM(AF93:AF149)</f>
        <v>-49953.28</v>
      </c>
      <c r="AG151" s="442" t="n">
        <f aca="false">SUM(AG93:AG149)</f>
        <v>-48814.2</v>
      </c>
      <c r="AH151" s="442" t="n">
        <f aca="false">SUM(AH93:AH149)</f>
        <v>-430923.97</v>
      </c>
      <c r="AI151" s="442" t="n">
        <f aca="false">SUM(AI93:AI149)</f>
        <v>-190721.52</v>
      </c>
      <c r="AJ151" s="442" t="n">
        <f aca="false">SUM(AJ93:AJ149)</f>
        <v>-157067.22</v>
      </c>
      <c r="AK151" s="442" t="n">
        <f aca="false">SUM(AK93:AK149)</f>
        <v>-9929.36</v>
      </c>
      <c r="AL151" s="442" t="n">
        <f aca="false">SUM(AL93:AL149)</f>
        <v>-29782.06</v>
      </c>
      <c r="AM151" s="442" t="n">
        <f aca="false">SUM(AM93:AM149)</f>
        <v>-85420.58</v>
      </c>
      <c r="AN151" s="442" t="n">
        <f aca="false">SUM(AN93:AN149)</f>
        <v>-46335.87</v>
      </c>
      <c r="AO151" s="442" t="n">
        <f aca="false">SUM(AO93:AO149)</f>
        <v>-96165.96</v>
      </c>
      <c r="AP151" s="442" t="n">
        <f aca="false">SUM(AP93:AP149)</f>
        <v>-26832.33</v>
      </c>
      <c r="AQ151" s="442" t="n">
        <f aca="false">SUM(AQ93:AQ149)</f>
        <v>-68364.92</v>
      </c>
      <c r="AR151" s="442" t="n">
        <f aca="false">SUM(AR93:AR149)</f>
        <v>-101607.78</v>
      </c>
      <c r="AS151" s="442" t="n">
        <f aca="false">SUM(AS93:AS149)</f>
        <v>-44446.1248</v>
      </c>
      <c r="AT151" s="442" t="n">
        <f aca="false">SUM(AT93:AT149)</f>
        <v>-10064.55</v>
      </c>
      <c r="AU151" s="442" t="n">
        <f aca="false">SUM(AU93:AU149)</f>
        <v>-32895.72</v>
      </c>
      <c r="AV151" s="442" t="n">
        <f aca="false">SUM(AV93:AV149)</f>
        <v>-9356.85</v>
      </c>
      <c r="AW151" s="442" t="n">
        <f aca="false">SUM(AW93:AW149)</f>
        <v>-6800.28</v>
      </c>
      <c r="AX151" s="442" t="n">
        <f aca="false">SUM(AX93:AX149)</f>
        <v>-14200.47</v>
      </c>
      <c r="AY151" s="442" t="n">
        <f aca="false">SUM(AY93:AY149)</f>
        <v>-63865.76</v>
      </c>
      <c r="AZ151" s="442" t="n">
        <f aca="false">SUM(AZ93:AZ149)</f>
        <v>-32696.16</v>
      </c>
    </row>
    <row r="152" s="344" customFormat="true" ht="12.75" hidden="false" customHeight="false" outlineLevel="0" collapsed="false">
      <c r="B152" s="414"/>
      <c r="E152" s="414"/>
      <c r="L152" s="388" t="s">
        <v>577</v>
      </c>
      <c r="M152" s="268" t="n">
        <f aca="false">(Hoja1!H12-681.92)/681.92</f>
        <v>-0.00391541529798211</v>
      </c>
      <c r="N152" s="268" t="n">
        <v>0.15</v>
      </c>
      <c r="O152" s="344" t="n">
        <f aca="false">+M152/N152</f>
        <v>-0.0261027686532141</v>
      </c>
    </row>
    <row r="153" s="344" customFormat="true" ht="12.75" hidden="false" customHeight="false" outlineLevel="0" collapsed="false">
      <c r="B153" s="414"/>
      <c r="E153" s="414"/>
      <c r="F153" s="414"/>
      <c r="L153" s="388" t="s">
        <v>578</v>
      </c>
      <c r="M153" s="268" t="n">
        <f aca="false">(-614.31+Hoja1!H154)/614.31</f>
        <v>-0.00516840031905708</v>
      </c>
      <c r="N153" s="268" t="n">
        <v>0.23</v>
      </c>
      <c r="O153" s="344" t="n">
        <f aca="false">+M153/N153</f>
        <v>-0.0224713057350308</v>
      </c>
    </row>
    <row r="154" s="344" customFormat="true" ht="12.75" hidden="false" customHeight="false" outlineLevel="0" collapsed="false">
      <c r="L154" s="388" t="s">
        <v>579</v>
      </c>
      <c r="M154" s="268" t="n">
        <f aca="false">(-50.86+Hoja1!H174)/50.86</f>
        <v>-0.024085725521038</v>
      </c>
      <c r="N154" s="268" t="n">
        <v>0.1931</v>
      </c>
      <c r="O154" s="344" t="n">
        <f aca="false">+M154/N154</f>
        <v>-0.124731877374614</v>
      </c>
    </row>
    <row r="155" customFormat="false" ht="12.75" hidden="false" customHeight="false" outlineLevel="0" collapsed="false">
      <c r="E155" s="414" t="n">
        <f aca="false">SUBTOTAL(9,E72:E153)</f>
        <v>38662.3260813905</v>
      </c>
      <c r="F155" s="414"/>
      <c r="L155" s="344" t="s">
        <v>580</v>
      </c>
      <c r="M155" s="42" t="e">
        <f aca="false">LN(#REF!/4346.2)</f>
        <v>#REF!</v>
      </c>
      <c r="N155" s="42" t="n">
        <v>0.17</v>
      </c>
      <c r="O155" s="344" t="e">
        <f aca="false">+M155/N155</f>
        <v>#REF!</v>
      </c>
    </row>
    <row r="156" customFormat="false" ht="12.75" hidden="false" customHeight="false" outlineLevel="0" collapsed="false">
      <c r="B156" s="448"/>
      <c r="M156" s="42" t="n">
        <f aca="false">LN(92/71.26)</f>
        <v>0.25545341687135</v>
      </c>
    </row>
    <row r="157" customFormat="false" ht="17.35" hidden="false" customHeight="false" outlineLevel="0" collapsed="false">
      <c r="A157" s="389" t="s">
        <v>581</v>
      </c>
      <c r="B157" s="389"/>
      <c r="C157" s="389"/>
      <c r="D157" s="389"/>
      <c r="E157" s="389"/>
      <c r="F157" s="389"/>
      <c r="G157" s="389"/>
      <c r="H157" s="389"/>
      <c r="I157" s="389"/>
      <c r="J157" s="389"/>
      <c r="K157" s="389"/>
    </row>
    <row r="159" customFormat="false" ht="12.75" hidden="false" customHeight="false" outlineLevel="0" collapsed="false">
      <c r="A159" s="354" t="s">
        <v>320</v>
      </c>
      <c r="B159" s="354" t="s">
        <v>321</v>
      </c>
      <c r="C159" s="354" t="s">
        <v>3</v>
      </c>
      <c r="D159" s="355" t="s">
        <v>26</v>
      </c>
      <c r="E159" s="355" t="s">
        <v>322</v>
      </c>
      <c r="F159" s="355" t="s">
        <v>323</v>
      </c>
      <c r="G159" s="355" t="s">
        <v>8</v>
      </c>
      <c r="H159" s="355" t="s">
        <v>7</v>
      </c>
      <c r="I159" s="355" t="s">
        <v>9</v>
      </c>
      <c r="J159" s="355" t="s">
        <v>324</v>
      </c>
      <c r="K159" s="449" t="s">
        <v>325</v>
      </c>
      <c r="L159" s="450" t="s">
        <v>582</v>
      </c>
    </row>
    <row r="160" customFormat="false" ht="12.75" hidden="false" customHeight="false" outlineLevel="0" collapsed="false">
      <c r="A160" s="344" t="s">
        <v>583</v>
      </c>
      <c r="B160" s="413" t="n">
        <v>46077</v>
      </c>
      <c r="C160" s="451" t="s">
        <v>363</v>
      </c>
      <c r="D160" s="344" t="n">
        <v>0.2</v>
      </c>
      <c r="E160" s="268" t="n">
        <v>0.0403</v>
      </c>
      <c r="G160" s="452" t="n">
        <f aca="false">113+8/32</f>
        <v>113.25</v>
      </c>
      <c r="H160" s="414" t="n">
        <f aca="false">G160*1000*D160</f>
        <v>22650</v>
      </c>
      <c r="I160" s="452" t="n">
        <f aca="false">111+10/32</f>
        <v>111.3125</v>
      </c>
      <c r="J160" s="414" t="n">
        <f aca="false">D160*(I160-G160)*1000</f>
        <v>-387.5</v>
      </c>
      <c r="L160" s="413"/>
    </row>
    <row r="161" customFormat="false" ht="12.75" hidden="false" customHeight="false" outlineLevel="0" collapsed="false">
      <c r="A161" s="344" t="s">
        <v>583</v>
      </c>
      <c r="B161" s="413" t="n">
        <v>46080</v>
      </c>
      <c r="C161" s="451" t="s">
        <v>363</v>
      </c>
      <c r="D161" s="344" t="n">
        <v>0.2</v>
      </c>
      <c r="E161" s="268" t="n">
        <v>0.0397</v>
      </c>
      <c r="G161" s="452" t="n">
        <v>113.65625</v>
      </c>
      <c r="H161" s="414" t="n">
        <f aca="false">G161*1000*D161</f>
        <v>22731.25</v>
      </c>
      <c r="I161" s="452" t="n">
        <f aca="false">I160</f>
        <v>111.3125</v>
      </c>
      <c r="J161" s="414" t="n">
        <f aca="false">D161*(I161-G161)*1000</f>
        <v>-468.75</v>
      </c>
      <c r="L161" s="413"/>
    </row>
    <row r="162" customFormat="false" ht="12.75" hidden="false" customHeight="false" outlineLevel="0" collapsed="false">
      <c r="A162" s="344" t="s">
        <v>583</v>
      </c>
      <c r="B162" s="413" t="n">
        <v>46090</v>
      </c>
      <c r="C162" s="451" t="s">
        <v>363</v>
      </c>
      <c r="D162" s="344" t="n">
        <v>0.2</v>
      </c>
      <c r="E162" s="268" t="n">
        <v>0.0413</v>
      </c>
      <c r="G162" s="452" t="n">
        <v>112.390625</v>
      </c>
      <c r="H162" s="414" t="n">
        <f aca="false">G162*1000*D162</f>
        <v>22478.125</v>
      </c>
      <c r="I162" s="452" t="n">
        <f aca="false">I161</f>
        <v>111.3125</v>
      </c>
      <c r="J162" s="414" t="n">
        <f aca="false">D162*(I162-G162)*1000</f>
        <v>-215.625</v>
      </c>
      <c r="L162" s="413"/>
    </row>
    <row r="163" customFormat="false" ht="12.75" hidden="false" customHeight="false" outlineLevel="0" collapsed="false">
      <c r="A163" s="344" t="s">
        <v>584</v>
      </c>
      <c r="B163" s="413" t="n">
        <v>46097</v>
      </c>
      <c r="C163" s="451" t="s">
        <v>363</v>
      </c>
      <c r="D163" s="344" t="n">
        <v>0.2</v>
      </c>
      <c r="E163" s="268" t="n">
        <v>0.0487</v>
      </c>
      <c r="G163" s="453" t="n">
        <v>117.01</v>
      </c>
      <c r="H163" s="414" t="n">
        <f aca="false">G163*1000*D163</f>
        <v>23402</v>
      </c>
      <c r="I163" s="453" t="n">
        <f aca="false">117+13/32</f>
        <v>117.40625</v>
      </c>
      <c r="J163" s="414" t="n">
        <f aca="false">D163*(I163-G163)*1000</f>
        <v>79.249999999999</v>
      </c>
      <c r="L163" s="413"/>
    </row>
    <row r="164" customFormat="false" ht="12.75" hidden="false" customHeight="false" outlineLevel="0" collapsed="false">
      <c r="A164" s="344" t="s">
        <v>19</v>
      </c>
      <c r="B164" s="413"/>
      <c r="C164" s="451"/>
      <c r="E164" s="268"/>
      <c r="G164" s="453"/>
      <c r="H164" s="414"/>
      <c r="I164" s="452"/>
      <c r="J164" s="414"/>
      <c r="L164" s="413"/>
    </row>
    <row r="165" customFormat="false" ht="12.75" hidden="false" customHeight="false" outlineLevel="0" collapsed="false">
      <c r="I165" s="408"/>
    </row>
    <row r="166" customFormat="false" ht="12.75" hidden="false" customHeight="false" outlineLevel="0" collapsed="false">
      <c r="D166" s="448" t="n">
        <f aca="false">SUM(D160:D165)</f>
        <v>0.8</v>
      </c>
      <c r="H166" s="448" t="n">
        <f aca="false">SUM(H160:H165)</f>
        <v>91261.375</v>
      </c>
      <c r="J166" s="448" t="n">
        <f aca="false">SUM(J160:J165)</f>
        <v>-992.625000000001</v>
      </c>
    </row>
    <row r="168" customFormat="false" ht="12.75" hidden="false" customHeight="false" outlineLevel="0" collapsed="false">
      <c r="H168" s="441"/>
    </row>
    <row r="171" customFormat="false" ht="12.75" hidden="false" customHeight="false" outlineLevel="0" collapsed="false">
      <c r="B171" s="344" t="s">
        <v>585</v>
      </c>
      <c r="C171" s="344" t="n">
        <v>997.91</v>
      </c>
      <c r="D171" s="454" t="n">
        <v>45657</v>
      </c>
      <c r="K171" s="455"/>
    </row>
    <row r="172" customFormat="false" ht="12.75" hidden="false" customHeight="false" outlineLevel="0" collapsed="false">
      <c r="A172" s="344" t="s">
        <v>586</v>
      </c>
      <c r="K172" s="455"/>
    </row>
    <row r="173" customFormat="false" ht="46.25" hidden="false" customHeight="false" outlineLevel="0" collapsed="false">
      <c r="A173" s="456" t="s">
        <v>587</v>
      </c>
      <c r="B173" s="457" t="s">
        <v>588</v>
      </c>
      <c r="C173" s="457" t="s">
        <v>589</v>
      </c>
      <c r="D173" s="456" t="s">
        <v>590</v>
      </c>
      <c r="E173" s="456" t="s">
        <v>591</v>
      </c>
      <c r="F173" s="456" t="s">
        <v>592</v>
      </c>
      <c r="G173" s="457" t="s">
        <v>593</v>
      </c>
      <c r="H173" s="457" t="s">
        <v>594</v>
      </c>
      <c r="I173" s="457" t="s">
        <v>595</v>
      </c>
      <c r="J173" s="457" t="s">
        <v>596</v>
      </c>
      <c r="K173" s="457" t="s">
        <v>508</v>
      </c>
      <c r="L173" s="457" t="s">
        <v>597</v>
      </c>
      <c r="M173" s="456" t="s">
        <v>598</v>
      </c>
    </row>
    <row r="174" customFormat="false" ht="12.75" hidden="false" customHeight="false" outlineLevel="0" collapsed="false">
      <c r="A174" s="458" t="n">
        <v>45372</v>
      </c>
      <c r="B174" s="459" t="s">
        <v>599</v>
      </c>
      <c r="C174" s="459" t="s">
        <v>600</v>
      </c>
      <c r="D174" s="459" t="s">
        <v>601</v>
      </c>
      <c r="E174" s="460" t="n">
        <v>12</v>
      </c>
      <c r="F174" s="460" t="n">
        <v>13</v>
      </c>
      <c r="G174" s="461" t="n">
        <v>0.0160958573856602</v>
      </c>
      <c r="H174" s="460" t="s">
        <v>372</v>
      </c>
      <c r="I174" s="462" t="s">
        <v>602</v>
      </c>
      <c r="J174" s="463" t="n">
        <f aca="true">TODAY()-A174</f>
        <v>784</v>
      </c>
      <c r="K174" s="464" t="n">
        <v>0</v>
      </c>
      <c r="L174" s="465" t="n">
        <f aca="false">(K174+F174-E174)/E174</f>
        <v>0.0833333333333333</v>
      </c>
      <c r="M174" s="465" t="n">
        <f aca="false">(1+L174)^(360/J174)-1</f>
        <v>0.0374380956964409</v>
      </c>
      <c r="N174" s="344" t="s">
        <v>603</v>
      </c>
    </row>
    <row r="175" customFormat="false" ht="12.75" hidden="false" customHeight="false" outlineLevel="0" collapsed="false">
      <c r="A175" s="458" t="n">
        <v>45463</v>
      </c>
      <c r="B175" s="459" t="s">
        <v>599</v>
      </c>
      <c r="C175" s="459" t="s">
        <v>604</v>
      </c>
      <c r="D175" s="459" t="s">
        <v>605</v>
      </c>
      <c r="E175" s="460" t="n">
        <v>12</v>
      </c>
      <c r="F175" s="460" t="n">
        <v>13</v>
      </c>
      <c r="G175" s="461" t="n">
        <v>0.0721915788228489</v>
      </c>
      <c r="H175" s="460" t="s">
        <v>372</v>
      </c>
      <c r="I175" s="462" t="s">
        <v>602</v>
      </c>
      <c r="J175" s="463" t="n">
        <f aca="true">TODAY()-A175</f>
        <v>693</v>
      </c>
      <c r="K175" s="464" t="n">
        <v>0</v>
      </c>
      <c r="L175" s="465" t="n">
        <f aca="false">(K175+F175-E175)/E175</f>
        <v>0.0833333333333333</v>
      </c>
      <c r="M175" s="465" t="n">
        <f aca="false">(1+L175)^(360/J175)-1</f>
        <v>0.0424572090388522</v>
      </c>
    </row>
    <row r="176" customFormat="false" ht="12.75" hidden="false" customHeight="false" outlineLevel="0" collapsed="false">
      <c r="A176" s="458" t="n">
        <v>45743</v>
      </c>
      <c r="B176" s="459" t="s">
        <v>599</v>
      </c>
      <c r="C176" s="459" t="s">
        <v>606</v>
      </c>
      <c r="D176" s="459" t="s">
        <v>607</v>
      </c>
      <c r="E176" s="460" t="n">
        <v>12</v>
      </c>
      <c r="F176" s="460" t="n">
        <v>13</v>
      </c>
      <c r="G176" s="461" t="n">
        <v>0.0359282530929916</v>
      </c>
      <c r="H176" s="460" t="s">
        <v>372</v>
      </c>
      <c r="I176" s="462" t="s">
        <v>608</v>
      </c>
      <c r="J176" s="463" t="n">
        <f aca="true">TODAY()-A176</f>
        <v>413</v>
      </c>
      <c r="K176" s="464"/>
      <c r="L176" s="465" t="n">
        <f aca="false">(K176+F176-E176)/E176</f>
        <v>0.0833333333333333</v>
      </c>
      <c r="M176" s="465" t="n">
        <f aca="false">(1+L176)^(360/J176)-1</f>
        <v>0.0722624797622653</v>
      </c>
      <c r="N176" s="344" t="s">
        <v>603</v>
      </c>
    </row>
    <row r="177" customFormat="false" ht="12.75" hidden="false" customHeight="false" outlineLevel="0" collapsed="false">
      <c r="A177" s="458" t="n">
        <v>45527</v>
      </c>
      <c r="B177" s="459" t="s">
        <v>599</v>
      </c>
      <c r="C177" s="459" t="s">
        <v>609</v>
      </c>
      <c r="D177" s="459" t="s">
        <v>610</v>
      </c>
      <c r="E177" s="460" t="n">
        <v>12</v>
      </c>
      <c r="F177" s="460" t="n">
        <v>13</v>
      </c>
      <c r="G177" s="461" t="n">
        <v>0.0673654745493592</v>
      </c>
      <c r="H177" s="460" t="s">
        <v>372</v>
      </c>
      <c r="I177" s="462" t="s">
        <v>608</v>
      </c>
      <c r="J177" s="463" t="n">
        <f aca="true">TODAY()-A177</f>
        <v>629</v>
      </c>
      <c r="K177" s="464" t="n">
        <v>0</v>
      </c>
      <c r="L177" s="465" t="n">
        <f aca="false">(K177+F177-E177)/E177</f>
        <v>0.0833333333333333</v>
      </c>
      <c r="M177" s="465" t="n">
        <f aca="false">(1+L177)^(360/J177)-1</f>
        <v>0.0468769582718749</v>
      </c>
      <c r="N177" s="344" t="s">
        <v>603</v>
      </c>
    </row>
    <row r="178" customFormat="false" ht="12.75" hidden="false" customHeight="false" outlineLevel="0" collapsed="false">
      <c r="A178" s="458" t="n">
        <v>45434</v>
      </c>
      <c r="B178" s="459" t="s">
        <v>599</v>
      </c>
      <c r="C178" s="459" t="s">
        <v>611</v>
      </c>
      <c r="D178" s="459" t="s">
        <v>612</v>
      </c>
      <c r="E178" s="460" t="n">
        <v>12</v>
      </c>
      <c r="F178" s="460" t="n">
        <v>13</v>
      </c>
      <c r="G178" s="461" t="n">
        <v>0.0285406856920107</v>
      </c>
      <c r="H178" s="460" t="s">
        <v>372</v>
      </c>
      <c r="I178" s="462" t="s">
        <v>608</v>
      </c>
      <c r="J178" s="463" t="n">
        <f aca="true">TODAY()-A178</f>
        <v>722</v>
      </c>
      <c r="K178" s="464" t="n">
        <v>0</v>
      </c>
      <c r="L178" s="465" t="n">
        <f aca="false">(K178+F178-E178)/E178</f>
        <v>0.0833333333333333</v>
      </c>
      <c r="M178" s="465" t="n">
        <f aca="false">(1+L178)^(360/J178)-1</f>
        <v>0.0407176168055479</v>
      </c>
      <c r="N178" s="344" t="s">
        <v>603</v>
      </c>
    </row>
    <row r="179" customFormat="false" ht="12.75" hidden="false" customHeight="false" outlineLevel="0" collapsed="false">
      <c r="A179" s="458" t="n">
        <v>45067</v>
      </c>
      <c r="B179" s="459" t="s">
        <v>599</v>
      </c>
      <c r="C179" s="459" t="s">
        <v>613</v>
      </c>
      <c r="D179" s="459" t="s">
        <v>614</v>
      </c>
      <c r="E179" s="460" t="n">
        <v>12</v>
      </c>
      <c r="F179" s="460" t="n">
        <v>13</v>
      </c>
      <c r="G179" s="461" t="n">
        <v>0.0199523960726619</v>
      </c>
      <c r="H179" s="460" t="s">
        <v>372</v>
      </c>
      <c r="I179" s="462" t="s">
        <v>608</v>
      </c>
      <c r="J179" s="463" t="n">
        <f aca="true">TODAY()-A179</f>
        <v>1089</v>
      </c>
      <c r="K179" s="464" t="n">
        <v>0</v>
      </c>
      <c r="L179" s="465" t="n">
        <f aca="false">(K179+F179-E179)/E179</f>
        <v>0.0833333333333333</v>
      </c>
      <c r="M179" s="465" t="n">
        <f aca="false">(1+L179)^(360/J179)-1</f>
        <v>0.0268135838489152</v>
      </c>
      <c r="N179" s="344" t="s">
        <v>603</v>
      </c>
    </row>
    <row r="180" customFormat="false" ht="12.75" hidden="false" customHeight="false" outlineLevel="0" collapsed="false">
      <c r="A180" s="458" t="n">
        <v>45135</v>
      </c>
      <c r="B180" s="459" t="s">
        <v>599</v>
      </c>
      <c r="C180" s="459" t="s">
        <v>615</v>
      </c>
      <c r="D180" s="459" t="s">
        <v>616</v>
      </c>
      <c r="E180" s="460" t="n">
        <v>12</v>
      </c>
      <c r="F180" s="460" t="n">
        <v>13</v>
      </c>
      <c r="G180" s="461" t="n">
        <v>0.020034312489714</v>
      </c>
      <c r="H180" s="460" t="s">
        <v>372</v>
      </c>
      <c r="I180" s="462" t="s">
        <v>608</v>
      </c>
      <c r="J180" s="463" t="n">
        <f aca="true">TODAY()-A180</f>
        <v>1021</v>
      </c>
      <c r="K180" s="464" t="n">
        <v>0</v>
      </c>
      <c r="L180" s="465" t="n">
        <f aca="false">(K180+F180-E180)/E180</f>
        <v>0.0833333333333333</v>
      </c>
      <c r="M180" s="465" t="n">
        <f aca="false">(1+L180)^(360/J180)-1</f>
        <v>0.0286247316920338</v>
      </c>
      <c r="N180" s="344" t="s">
        <v>603</v>
      </c>
    </row>
    <row r="181" customFormat="false" ht="12.75" hidden="false" customHeight="false" outlineLevel="0" collapsed="false">
      <c r="A181" s="458" t="n">
        <v>43290</v>
      </c>
      <c r="B181" s="459" t="s">
        <v>599</v>
      </c>
      <c r="C181" s="459" t="s">
        <v>617</v>
      </c>
      <c r="D181" s="459" t="s">
        <v>618</v>
      </c>
      <c r="E181" s="460" t="n">
        <v>12</v>
      </c>
      <c r="F181" s="460" t="n">
        <v>13</v>
      </c>
      <c r="G181" s="461" t="n">
        <v>0.111768196555901</v>
      </c>
      <c r="H181" s="460" t="s">
        <v>372</v>
      </c>
      <c r="I181" s="462" t="s">
        <v>602</v>
      </c>
      <c r="J181" s="463" t="n">
        <f aca="true">TODAY()-A181</f>
        <v>2866</v>
      </c>
      <c r="K181" s="464" t="n">
        <v>11316</v>
      </c>
      <c r="L181" s="465" t="n">
        <f aca="false">(K181+F181-E181)/E181</f>
        <v>943.083333333333</v>
      </c>
      <c r="M181" s="465" t="n">
        <f aca="false">(1+L181)^(360/J181)-1</f>
        <v>1.36424703917612</v>
      </c>
    </row>
    <row r="182" customFormat="false" ht="12.75" hidden="false" customHeight="false" outlineLevel="0" collapsed="false">
      <c r="A182" s="458" t="n">
        <v>43831</v>
      </c>
      <c r="B182" s="459" t="s">
        <v>599</v>
      </c>
      <c r="C182" s="459" t="s">
        <v>619</v>
      </c>
      <c r="D182" s="459" t="s">
        <v>620</v>
      </c>
      <c r="E182" s="460" t="n">
        <v>12</v>
      </c>
      <c r="F182" s="460" t="n">
        <v>13</v>
      </c>
      <c r="G182" s="461" t="n">
        <v>0.227066559547707</v>
      </c>
      <c r="H182" s="460" t="s">
        <v>372</v>
      </c>
      <c r="I182" s="462" t="s">
        <v>608</v>
      </c>
      <c r="J182" s="463" t="n">
        <f aca="true">TODAY()-A182</f>
        <v>2325</v>
      </c>
      <c r="K182" s="464" t="n">
        <v>175863.419757293</v>
      </c>
      <c r="L182" s="465" t="n">
        <f aca="false">(K182+F182-E182)/E182</f>
        <v>14655.3683131077</v>
      </c>
      <c r="M182" s="465" t="n">
        <f aca="false">(1+L182)^(360/J182)-1</f>
        <v>3.41633640717087</v>
      </c>
    </row>
    <row r="183" customFormat="false" ht="12.75" hidden="false" customHeight="false" outlineLevel="0" collapsed="false">
      <c r="A183" s="458" t="n">
        <v>43831</v>
      </c>
      <c r="B183" s="459" t="s">
        <v>599</v>
      </c>
      <c r="C183" s="459" t="s">
        <v>621</v>
      </c>
      <c r="D183" s="459" t="s">
        <v>622</v>
      </c>
      <c r="E183" s="460" t="n">
        <v>12</v>
      </c>
      <c r="F183" s="460" t="n">
        <v>13</v>
      </c>
      <c r="G183" s="461" t="n">
        <v>0.0592816176034361</v>
      </c>
      <c r="H183" s="460" t="s">
        <v>372</v>
      </c>
      <c r="I183" s="462" t="s">
        <v>608</v>
      </c>
      <c r="J183" s="463" t="n">
        <f aca="true">TODAY()-A183</f>
        <v>2325</v>
      </c>
      <c r="K183" s="464" t="n">
        <v>0</v>
      </c>
      <c r="L183" s="465" t="n">
        <f aca="false">(K183+F183-E183)/E183</f>
        <v>0.0833333333333333</v>
      </c>
      <c r="M183" s="465" t="n">
        <f aca="false">(1+L183)^(360/J183)-1</f>
        <v>0.0124708298666127</v>
      </c>
    </row>
    <row r="184" customFormat="false" ht="12.75" hidden="false" customHeight="false" outlineLevel="0" collapsed="false">
      <c r="A184" s="458" t="n">
        <v>43831</v>
      </c>
      <c r="B184" s="459" t="s">
        <v>599</v>
      </c>
      <c r="C184" s="459" t="s">
        <v>623</v>
      </c>
      <c r="D184" s="459" t="s">
        <v>624</v>
      </c>
      <c r="E184" s="460" t="n">
        <v>12</v>
      </c>
      <c r="F184" s="460" t="n">
        <v>13</v>
      </c>
      <c r="G184" s="461" t="n">
        <v>0.0891020676706191</v>
      </c>
      <c r="H184" s="460" t="s">
        <v>372</v>
      </c>
      <c r="I184" s="462" t="s">
        <v>608</v>
      </c>
      <c r="J184" s="463" t="n">
        <f aca="true">TODAY()-A184</f>
        <v>2325</v>
      </c>
      <c r="K184" s="464" t="n">
        <v>0</v>
      </c>
      <c r="L184" s="465" t="n">
        <f aca="false">(K184+F184-E184)/E184</f>
        <v>0.0833333333333333</v>
      </c>
      <c r="M184" s="465" t="n">
        <f aca="false">(1+L184)^(360/J184)-1</f>
        <v>0.0124708298666127</v>
      </c>
    </row>
    <row r="185" customFormat="false" ht="12.75" hidden="false" customHeight="false" outlineLevel="0" collapsed="false">
      <c r="A185" s="458" t="n">
        <v>45575</v>
      </c>
      <c r="B185" s="459" t="s">
        <v>599</v>
      </c>
      <c r="C185" s="459" t="s">
        <v>625</v>
      </c>
      <c r="D185" s="459" t="s">
        <v>626</v>
      </c>
      <c r="E185" s="460" t="n">
        <v>12</v>
      </c>
      <c r="F185" s="460" t="n">
        <v>13</v>
      </c>
      <c r="G185" s="461" t="n">
        <v>0.0374372397228972</v>
      </c>
      <c r="H185" s="460" t="s">
        <v>372</v>
      </c>
      <c r="I185" s="462" t="s">
        <v>608</v>
      </c>
      <c r="J185" s="463" t="n">
        <f aca="true">TODAY()-A185</f>
        <v>581</v>
      </c>
      <c r="K185" s="464" t="n">
        <v>0</v>
      </c>
      <c r="L185" s="465" t="n">
        <f aca="false">(K185+F185-E185)/E185</f>
        <v>0.0833333333333333</v>
      </c>
      <c r="M185" s="465" t="n">
        <f aca="false">(1+L185)^(360/J185)-1</f>
        <v>0.0508466472639686</v>
      </c>
    </row>
    <row r="186" customFormat="false" ht="12.75" hidden="false" customHeight="false" outlineLevel="0" collapsed="false">
      <c r="A186" s="458" t="n">
        <v>43255</v>
      </c>
      <c r="B186" s="459" t="s">
        <v>599</v>
      </c>
      <c r="C186" s="459" t="s">
        <v>627</v>
      </c>
      <c r="D186" s="459" t="s">
        <v>628</v>
      </c>
      <c r="E186" s="460" t="n">
        <v>12</v>
      </c>
      <c r="F186" s="460" t="n">
        <v>13</v>
      </c>
      <c r="G186" s="461" t="n">
        <v>0.161249809713304</v>
      </c>
      <c r="H186" s="460" t="s">
        <v>372</v>
      </c>
      <c r="I186" s="462" t="s">
        <v>608</v>
      </c>
      <c r="J186" s="463" t="n">
        <f aca="true">TODAY()-A186</f>
        <v>2901</v>
      </c>
      <c r="K186" s="464" t="n">
        <v>733611.93</v>
      </c>
      <c r="L186" s="465" t="n">
        <f aca="false">(K186+F186-E186)/E186</f>
        <v>61134.4108333333</v>
      </c>
      <c r="M186" s="465" t="n">
        <f aca="false">(1+L186)^(360/J186)-1</f>
        <v>2.92604865601788</v>
      </c>
      <c r="N186" s="344" t="s">
        <v>603</v>
      </c>
    </row>
    <row r="187" customFormat="false" ht="12.75" hidden="false" customHeight="false" outlineLevel="0" collapsed="false">
      <c r="A187" s="458" t="n">
        <v>43115</v>
      </c>
      <c r="B187" s="459" t="s">
        <v>599</v>
      </c>
      <c r="C187" s="459" t="s">
        <v>629</v>
      </c>
      <c r="D187" s="459" t="s">
        <v>630</v>
      </c>
      <c r="E187" s="460" t="n">
        <v>12</v>
      </c>
      <c r="F187" s="460" t="n">
        <v>13</v>
      </c>
      <c r="G187" s="461" t="n">
        <v>0.0072432938069069</v>
      </c>
      <c r="H187" s="460" t="s">
        <v>631</v>
      </c>
      <c r="I187" s="462" t="s">
        <v>608</v>
      </c>
      <c r="J187" s="463" t="n">
        <f aca="true">TODAY()-A187</f>
        <v>3041</v>
      </c>
      <c r="K187" s="464" t="n">
        <v>7553.30240202022</v>
      </c>
      <c r="L187" s="465" t="n">
        <f aca="false">(K187+F187-E187)/E187</f>
        <v>629.525200168352</v>
      </c>
      <c r="M187" s="465" t="n">
        <f aca="false">(1+L187)^(360/J187)-1</f>
        <v>1.1450364995539</v>
      </c>
      <c r="N187" s="344" t="s">
        <v>603</v>
      </c>
    </row>
    <row r="188" customFormat="false" ht="12.75" hidden="false" customHeight="false" outlineLevel="0" collapsed="false">
      <c r="A188" s="458" t="n">
        <v>45688</v>
      </c>
      <c r="B188" s="459" t="s">
        <v>599</v>
      </c>
      <c r="C188" s="459" t="s">
        <v>632</v>
      </c>
      <c r="D188" s="459" t="s">
        <v>633</v>
      </c>
      <c r="E188" s="460" t="n">
        <v>12</v>
      </c>
      <c r="F188" s="460" t="n">
        <v>13</v>
      </c>
      <c r="G188" s="461" t="n">
        <v>0.0108144041809905</v>
      </c>
      <c r="H188" s="460" t="s">
        <v>372</v>
      </c>
      <c r="I188" s="462" t="s">
        <v>634</v>
      </c>
      <c r="J188" s="463" t="n">
        <f aca="true">TODAY()-A188</f>
        <v>468</v>
      </c>
      <c r="K188" s="464"/>
      <c r="L188" s="465" t="n">
        <f aca="false">(K188+F188-E188)/E188</f>
        <v>0.0833333333333333</v>
      </c>
      <c r="M188" s="465" t="n">
        <f aca="false">(1+L188)^(360/J188)-1</f>
        <v>0.0635063362847401</v>
      </c>
      <c r="N188" s="344" t="s">
        <v>603</v>
      </c>
    </row>
    <row r="189" customFormat="false" ht="12.75" hidden="false" customHeight="false" outlineLevel="0" collapsed="false">
      <c r="A189" s="458" t="n">
        <v>45597</v>
      </c>
      <c r="B189" s="459" t="s">
        <v>599</v>
      </c>
      <c r="C189" s="459" t="s">
        <v>635</v>
      </c>
      <c r="D189" s="459" t="s">
        <v>636</v>
      </c>
      <c r="E189" s="460" t="n">
        <v>12</v>
      </c>
      <c r="F189" s="460" t="n">
        <v>13</v>
      </c>
      <c r="G189" s="461" t="n">
        <v>0.0359282530929916</v>
      </c>
      <c r="H189" s="460" t="s">
        <v>372</v>
      </c>
      <c r="I189" s="462" t="s">
        <v>637</v>
      </c>
      <c r="J189" s="463" t="n">
        <f aca="true">TODAY()-A189</f>
        <v>559</v>
      </c>
      <c r="K189" s="464"/>
      <c r="L189" s="465" t="n">
        <f aca="false">(K189+F189-E189)/E189</f>
        <v>0.0833333333333333</v>
      </c>
      <c r="M189" s="465" t="n">
        <f aca="false">(1+L189)^(360/J189)-1</f>
        <v>0.0528998048108749</v>
      </c>
    </row>
    <row r="190" customFormat="false" ht="13.8" hidden="false" customHeight="false" outlineLevel="0" collapsed="false">
      <c r="A190" s="466" t="s">
        <v>19</v>
      </c>
      <c r="B190" s="466"/>
      <c r="C190" s="466"/>
      <c r="D190" s="466"/>
      <c r="E190" s="467" t="n">
        <f aca="false">SUM(E174:E189)</f>
        <v>192</v>
      </c>
      <c r="F190" s="467" t="n">
        <f aca="false">SUM(F174:F189)</f>
        <v>208</v>
      </c>
      <c r="G190" s="468" t="n">
        <f aca="false">SUBTOTAL(9,G174:G189)</f>
        <v>1</v>
      </c>
      <c r="H190" s="466"/>
      <c r="I190" s="466"/>
      <c r="J190" s="466"/>
      <c r="K190" s="469" t="n">
        <f aca="false">SUM(K174:K189)</f>
        <v>928344.652159313</v>
      </c>
      <c r="L190" s="466"/>
      <c r="M190" s="466"/>
    </row>
    <row r="196" customFormat="false" ht="12.75" hidden="false" customHeight="false" outlineLevel="0" collapsed="false">
      <c r="E196" s="470"/>
      <c r="F196" s="408"/>
    </row>
    <row r="197" customFormat="false" ht="12.75" hidden="false" customHeight="false" outlineLevel="0" collapsed="false">
      <c r="E197" s="471"/>
      <c r="F197" s="471" t="s">
        <v>638</v>
      </c>
      <c r="G197" s="472" t="s">
        <v>129</v>
      </c>
      <c r="H197" s="472" t="s">
        <v>639</v>
      </c>
      <c r="I197" s="471" t="s">
        <v>10</v>
      </c>
      <c r="J197" s="471" t="s">
        <v>318</v>
      </c>
      <c r="K197" s="471" t="s">
        <v>640</v>
      </c>
      <c r="O197" s="388"/>
    </row>
    <row r="198" customFormat="false" ht="12.75" hidden="false" customHeight="false" outlineLevel="0" collapsed="false">
      <c r="C198" s="452"/>
      <c r="D198" s="473" t="s">
        <v>515</v>
      </c>
      <c r="E198" s="474"/>
      <c r="F198" s="475" t="n">
        <f aca="false">Z27-AA27</f>
        <v>67618.0294529412</v>
      </c>
      <c r="G198" s="476" t="n">
        <f aca="false">Z27+Z56</f>
        <v>75394.5994117647</v>
      </c>
      <c r="H198" s="476" t="n">
        <f aca="false">AF28+'registro rf'!AF40</f>
        <v>225051.780672456</v>
      </c>
      <c r="I198" s="476" t="n">
        <f aca="false">AA27+'registro rf'!AA40+AA56</f>
        <v>491.905013511409</v>
      </c>
      <c r="J198" s="476" t="n">
        <f aca="false">'registro rf'!AA40</f>
        <v>0.495628544940849</v>
      </c>
      <c r="K198" s="476" t="n">
        <f aca="false">J198+I198+H198</f>
        <v>225544.181314513</v>
      </c>
      <c r="L198" s="477" t="n">
        <f aca="false">(H198+K198)/G198</f>
        <v>5.97650183836188</v>
      </c>
      <c r="P198" s="388"/>
    </row>
    <row r="199" customFormat="false" ht="12.75" hidden="false" customHeight="false" outlineLevel="0" collapsed="false">
      <c r="D199" s="478" t="s">
        <v>641</v>
      </c>
      <c r="G199" s="414" t="n">
        <f aca="false">J66</f>
        <v>7625732.58568</v>
      </c>
      <c r="H199" s="414"/>
      <c r="I199" s="414" t="n">
        <f aca="false">L66+K66</f>
        <v>265307.65379</v>
      </c>
      <c r="J199" s="414"/>
      <c r="K199" s="414" t="n">
        <f aca="false">J199+I199</f>
        <v>265307.65379</v>
      </c>
      <c r="L199" s="479" t="n">
        <f aca="false">K199/G199</f>
        <v>0.0347911037804039</v>
      </c>
      <c r="P199" s="388"/>
    </row>
    <row r="200" customFormat="false" ht="12.75" hidden="false" customHeight="false" outlineLevel="0" collapsed="false">
      <c r="D200" s="478" t="s">
        <v>642</v>
      </c>
      <c r="E200" s="441"/>
      <c r="F200" s="441"/>
      <c r="G200" s="414" t="n">
        <f aca="false">J87</f>
        <v>-15767.89165</v>
      </c>
      <c r="H200" s="414"/>
      <c r="I200" s="414" t="n">
        <f aca="false">registro!K195</f>
        <v>-0.434306519912624</v>
      </c>
      <c r="J200" s="414" t="n">
        <f aca="false">registro!K194</f>
        <v>819.361714285713</v>
      </c>
      <c r="K200" s="414" t="n">
        <f aca="false">J200+I200</f>
        <v>818.9274077658</v>
      </c>
      <c r="L200" s="479" t="n">
        <f aca="false">K200/G200</f>
        <v>-0.0519363923816536</v>
      </c>
      <c r="M200" s="480"/>
      <c r="P200" s="388"/>
    </row>
    <row r="201" customFormat="false" ht="12.75" hidden="false" customHeight="false" outlineLevel="0" collapsed="false">
      <c r="D201" s="478" t="s">
        <v>643</v>
      </c>
      <c r="G201" s="414" t="n">
        <f aca="false">J150</f>
        <v>-46034758.752</v>
      </c>
      <c r="H201" s="414"/>
      <c r="I201" s="414" t="n">
        <f aca="false">K150</f>
        <v>65103.6679999973</v>
      </c>
      <c r="J201" s="414" t="n">
        <f aca="false">registro!K112</f>
        <v>69.2393649999997</v>
      </c>
      <c r="K201" s="414" t="n">
        <f aca="false">J201+I201</f>
        <v>65172.9073649973</v>
      </c>
      <c r="L201" s="479" t="n">
        <f aca="false">K201/G201</f>
        <v>-0.00141573257103614</v>
      </c>
      <c r="P201" s="388"/>
    </row>
    <row r="202" customFormat="false" ht="12.75" hidden="false" customHeight="false" outlineLevel="0" collapsed="false">
      <c r="D202" s="478" t="s">
        <v>644</v>
      </c>
      <c r="E202" s="441" t="n">
        <f aca="false">H166+10%</f>
        <v>91261.475</v>
      </c>
      <c r="F202" s="441"/>
      <c r="G202" s="414" t="n">
        <f aca="false">H166</f>
        <v>91261.375</v>
      </c>
      <c r="H202" s="414"/>
      <c r="I202" s="414" t="n">
        <f aca="false">registro!J226</f>
        <v>-992.625000000001</v>
      </c>
      <c r="J202" s="414" t="n">
        <f aca="false">registro!J225</f>
        <v>-3239.13043478261</v>
      </c>
      <c r="K202" s="414" t="n">
        <f aca="false">J202+I202</f>
        <v>-4231.75543478261</v>
      </c>
      <c r="L202" s="479"/>
      <c r="P202" s="388"/>
    </row>
    <row r="203" customFormat="false" ht="12.75" hidden="false" customHeight="false" outlineLevel="0" collapsed="false">
      <c r="D203" s="478" t="s">
        <v>645</v>
      </c>
      <c r="G203" s="414" t="n">
        <f aca="false">E190</f>
        <v>192</v>
      </c>
      <c r="H203" s="414"/>
      <c r="I203" s="414"/>
      <c r="J203" s="414"/>
      <c r="K203" s="414" t="n">
        <f aca="false">I203</f>
        <v>0</v>
      </c>
      <c r="L203" s="479" t="n">
        <f aca="false">K203/G203</f>
        <v>0</v>
      </c>
      <c r="P203" s="388"/>
    </row>
    <row r="204" s="344" customFormat="true" ht="12.75" hidden="false" customHeight="false" outlineLevel="0" collapsed="false">
      <c r="D204" s="481"/>
      <c r="G204" s="414"/>
      <c r="H204" s="414"/>
      <c r="L204" s="482"/>
      <c r="P204" s="388"/>
    </row>
    <row r="205" customFormat="false" ht="12.75" hidden="false" customHeight="false" outlineLevel="0" collapsed="false">
      <c r="D205" s="483"/>
      <c r="E205" s="484"/>
      <c r="F205" s="484"/>
      <c r="G205" s="485" t="n">
        <f aca="false">SUM(G198:G204)</f>
        <v>-38257946.0835582</v>
      </c>
      <c r="H205" s="485"/>
      <c r="I205" s="485" t="n">
        <f aca="false">SUM(I198:I204)</f>
        <v>329910.167496989</v>
      </c>
      <c r="J205" s="485" t="n">
        <f aca="false">SUM(J198:J204)</f>
        <v>-2350.03372695196</v>
      </c>
      <c r="K205" s="485" t="n">
        <f aca="false">SUM(K198:K204)</f>
        <v>552611.914442493</v>
      </c>
      <c r="L205" s="486"/>
      <c r="P205" s="388"/>
    </row>
    <row r="206" s="344" customFormat="true" ht="12.75" hidden="false" customHeight="false" outlineLevel="0" collapsed="false">
      <c r="O206" s="388"/>
    </row>
    <row r="207" customFormat="false" ht="12.75" hidden="false" customHeight="false" outlineLevel="0" collapsed="false">
      <c r="D207" s="480"/>
    </row>
    <row r="208" customFormat="false" ht="12.75" hidden="false" customHeight="false" outlineLevel="0" collapsed="false">
      <c r="D208" s="480"/>
    </row>
    <row r="209" customFormat="false" ht="12.75" hidden="false" customHeight="false" outlineLevel="0" collapsed="false">
      <c r="D209" s="480"/>
    </row>
    <row r="210" customFormat="false" ht="12.75" hidden="false" customHeight="false" outlineLevel="0" collapsed="false">
      <c r="D210" s="480"/>
    </row>
  </sheetData>
  <autoFilter ref="A3:AJ54">
    <sortState ref="A4:AJ54">
      <sortCondition ref="C4:C54" descending="1" customList=""/>
    </sortState>
  </autoFilter>
  <mergeCells count="6">
    <mergeCell ref="A1:K1"/>
    <mergeCell ref="A33:K33"/>
    <mergeCell ref="A58:K58"/>
    <mergeCell ref="A71:K71"/>
    <mergeCell ref="A91:K91"/>
    <mergeCell ref="A157:K15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C4:AG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2" activeCellId="0" sqref="O12"/>
    </sheetView>
  </sheetViews>
  <sheetFormatPr defaultColWidth="11.42578125" defaultRowHeight="12.75" zeroHeight="false" outlineLevelRow="0" outlineLevelCol="0"/>
  <cols>
    <col collapsed="false" customWidth="true" hidden="false" outlineLevel="0" max="8" min="3" style="0" width="11.57"/>
    <col collapsed="false" customWidth="true" hidden="false" outlineLevel="0" max="11" min="9" style="0" width="12"/>
    <col collapsed="false" customWidth="true" hidden="false" outlineLevel="0" max="13" min="12" style="0" width="11.57"/>
    <col collapsed="false" customWidth="true" hidden="false" outlineLevel="0" max="14" min="14" style="0" width="13"/>
    <col collapsed="false" customWidth="true" hidden="false" outlineLevel="0" max="23" min="15" style="0" width="11.57"/>
    <col collapsed="false" customWidth="true" hidden="false" outlineLevel="0" max="24" min="24" style="0" width="12"/>
    <col collapsed="false" customWidth="true" hidden="false" outlineLevel="0" max="33" min="25" style="0" width="11.57"/>
  </cols>
  <sheetData>
    <row r="4" customFormat="false" ht="12.75" hidden="false" customHeight="false" outlineLevel="0" collapsed="false">
      <c r="C4" s="487" t="str">
        <f aca="false">+cartera!V92</f>
        <v>AMZN</v>
      </c>
      <c r="D4" s="487" t="str">
        <f aca="false">+cartera!W92</f>
        <v>ARGT</v>
      </c>
      <c r="E4" s="487" t="str">
        <f aca="false">+cartera!X92</f>
        <v>BCH</v>
      </c>
      <c r="F4" s="487" t="str">
        <f aca="false">+cartera!Y92</f>
        <v>BLK</v>
      </c>
      <c r="G4" s="487" t="str">
        <f aca="false">+cartera!Z92</f>
        <v>BRK/B</v>
      </c>
      <c r="H4" s="487" t="str">
        <f aca="false">+cartera!AA92</f>
        <v>CRCL</v>
      </c>
      <c r="I4" s="487" t="str">
        <f aca="false">+cartera!AB92</f>
        <v>AIQ</v>
      </c>
      <c r="J4" s="487" t="str">
        <f aca="false">+cartera!AC92</f>
        <v>QQQ</v>
      </c>
      <c r="K4" s="487" t="str">
        <f aca="false">+cartera!AD92</f>
        <v>ESM6</v>
      </c>
      <c r="L4" s="487" t="str">
        <f aca="false">+cartera!AE92</f>
        <v>SPY</v>
      </c>
      <c r="M4" s="487" t="str">
        <f aca="false">+cartera!AF92</f>
        <v>GOOG</v>
      </c>
      <c r="N4" s="487" t="str">
        <f aca="false">+cartera!AG92</f>
        <v>LTM</v>
      </c>
      <c r="O4" s="487" t="str">
        <f aca="false">+cartera!AH92</f>
        <v>META</v>
      </c>
      <c r="P4" s="487" t="str">
        <f aca="false">+cartera!AI92</f>
        <v>MSFT</v>
      </c>
      <c r="Q4" s="487" t="str">
        <f aca="false">+cartera!AJ92</f>
        <v>NVDA</v>
      </c>
      <c r="R4" s="487" t="str">
        <f aca="false">+cartera!AK92</f>
        <v>TGS</v>
      </c>
      <c r="S4" s="487" t="str">
        <f aca="false">+cartera!AL92</f>
        <v>USCI</v>
      </c>
      <c r="T4" s="487" t="str">
        <f aca="false">+cartera!AM92</f>
        <v>PLTR</v>
      </c>
      <c r="U4" s="487" t="str">
        <f aca="false">+cartera!AN92</f>
        <v>FCX</v>
      </c>
      <c r="V4" s="487" t="str">
        <f aca="false">+cartera!AO92</f>
        <v>XBI</v>
      </c>
      <c r="W4" s="487" t="str">
        <f aca="false">+cartera!AP92</f>
        <v>ARKK</v>
      </c>
      <c r="X4" s="487" t="str">
        <f aca="false">+cartera!AQ92</f>
        <v>ECH</v>
      </c>
      <c r="Y4" s="487" t="str">
        <f aca="false">+cartera!AR92</f>
        <v>QTUM</v>
      </c>
      <c r="Z4" s="487" t="str">
        <f aca="false">+cartera!AS92</f>
        <v>SLV</v>
      </c>
      <c r="AA4" s="487" t="str">
        <f aca="false">+cartera!AT92</f>
        <v>IIF</v>
      </c>
      <c r="AB4" s="487" t="str">
        <f aca="false">+cartera!AU92</f>
        <v>RKLB</v>
      </c>
      <c r="AC4" s="487" t="str">
        <f aca="false">+cartera!AV92</f>
        <v>XIACY </v>
      </c>
      <c r="AD4" s="487" t="str">
        <f aca="false">+cartera!AW92</f>
        <v>BYDDY</v>
      </c>
      <c r="AE4" s="487" t="str">
        <f aca="false">+cartera!AX92</f>
        <v>JD</v>
      </c>
      <c r="AF4" s="487" t="str">
        <f aca="false">+cartera!AY92</f>
        <v>BABA</v>
      </c>
      <c r="AG4" s="487" t="str">
        <f aca="false">+cartera!AZ92</f>
        <v>TCEHY </v>
      </c>
    </row>
    <row r="5" customFormat="false" ht="12.75" hidden="false" customHeight="false" outlineLevel="0" collapsed="false">
      <c r="C5" s="487" t="n">
        <f aca="false">+cartera!V151</f>
        <v>2995.8912</v>
      </c>
      <c r="D5" s="487" t="n">
        <f aca="false">+cartera!W151</f>
        <v>-697.4376</v>
      </c>
      <c r="E5" s="487" t="n">
        <f aca="false">+cartera!X151</f>
        <v>-689.22</v>
      </c>
      <c r="F5" s="487" t="n">
        <f aca="false">+cartera!Y151</f>
        <v>-28073.78</v>
      </c>
      <c r="G5" s="487" t="n">
        <f aca="false">+cartera!Z151</f>
        <v>-18241.52</v>
      </c>
      <c r="H5" s="487" t="n">
        <f aca="false">+cartera!AA151</f>
        <v>-5701.0608</v>
      </c>
      <c r="I5" s="487" t="n">
        <f aca="false">+cartera!AB151</f>
        <v>-10125.54</v>
      </c>
      <c r="J5" s="487" t="n">
        <f aca="false">+cartera!AC151</f>
        <v>-251787.62</v>
      </c>
      <c r="K5" s="487" t="n">
        <f aca="false">+cartera!AD151</f>
        <v>-43971928</v>
      </c>
      <c r="L5" s="487" t="n">
        <f aca="false">+cartera!AE151</f>
        <v>-194265.5</v>
      </c>
      <c r="M5" s="487" t="n">
        <f aca="false">+cartera!AF151</f>
        <v>-49953.28</v>
      </c>
      <c r="N5" s="487" t="n">
        <f aca="false">+cartera!AG151</f>
        <v>-48814.2</v>
      </c>
      <c r="O5" s="487" t="n">
        <f aca="false">+cartera!AH151</f>
        <v>-430923.97</v>
      </c>
      <c r="P5" s="487" t="n">
        <f aca="false">+cartera!AI151</f>
        <v>-190721.52</v>
      </c>
      <c r="Q5" s="487" t="n">
        <f aca="false">+cartera!AJ151</f>
        <v>-157067.22</v>
      </c>
      <c r="R5" s="487" t="n">
        <f aca="false">+cartera!AK151</f>
        <v>-9929.36</v>
      </c>
      <c r="S5" s="487" t="n">
        <f aca="false">+cartera!AL151</f>
        <v>-29782.06</v>
      </c>
      <c r="T5" s="487" t="n">
        <f aca="false">+cartera!AM151</f>
        <v>-85420.58</v>
      </c>
      <c r="U5" s="487" t="n">
        <f aca="false">+cartera!AN151</f>
        <v>-46335.87</v>
      </c>
      <c r="V5" s="487" t="n">
        <f aca="false">+cartera!AO151</f>
        <v>-96165.96</v>
      </c>
      <c r="W5" s="487" t="n">
        <f aca="false">+cartera!AP151</f>
        <v>-26832.33</v>
      </c>
      <c r="X5" s="487" t="n">
        <f aca="false">+cartera!AQ151</f>
        <v>-68364.92</v>
      </c>
      <c r="Y5" s="487" t="n">
        <f aca="false">+cartera!AR151</f>
        <v>-101607.78</v>
      </c>
      <c r="Z5" s="487" t="n">
        <f aca="false">+cartera!AS151</f>
        <v>-44446.1248</v>
      </c>
      <c r="AA5" s="487" t="n">
        <f aca="false">+cartera!AT151</f>
        <v>-10064.55</v>
      </c>
      <c r="AB5" s="487" t="n">
        <f aca="false">+cartera!AU151</f>
        <v>-32895.72</v>
      </c>
      <c r="AC5" s="487" t="n">
        <f aca="false">+cartera!AV151</f>
        <v>-9356.85</v>
      </c>
      <c r="AD5" s="487" t="n">
        <f aca="false">+cartera!AW151</f>
        <v>-6800.28</v>
      </c>
      <c r="AE5" s="487" t="n">
        <f aca="false">+cartera!AX151</f>
        <v>-14200.47</v>
      </c>
      <c r="AF5" s="487" t="n">
        <f aca="false">+cartera!AY151</f>
        <v>-63865.76</v>
      </c>
      <c r="AG5" s="487" t="n">
        <f aca="false">+cartera!AZ151</f>
        <v>-32696.16</v>
      </c>
    </row>
    <row r="8" customFormat="false" ht="12.75" hidden="false" customHeight="false" outlineLevel="0" collapsed="false">
      <c r="M8" s="488" t="s">
        <v>523</v>
      </c>
      <c r="N8" s="489" t="s">
        <v>646</v>
      </c>
      <c r="O8" s="490" t="s">
        <v>593</v>
      </c>
      <c r="P8" s="490" t="s">
        <v>647</v>
      </c>
    </row>
    <row r="9" customFormat="false" ht="12.75" hidden="false" customHeight="false" outlineLevel="0" collapsed="false">
      <c r="D9" s="487"/>
      <c r="M9" s="488" t="s">
        <v>120</v>
      </c>
      <c r="N9" s="491" t="n">
        <f aca="false">_xlfn.xlookup(M9,C$4:AG$4,C$5:AG$5,"")</f>
        <v>2995.8912</v>
      </c>
      <c r="O9" s="492" t="n">
        <f aca="false">+N9/N$42</f>
        <v>-6.50788943228652E-005</v>
      </c>
    </row>
    <row r="10" customFormat="false" ht="12.75" hidden="true" customHeight="false" outlineLevel="0" collapsed="false">
      <c r="D10" s="487"/>
      <c r="M10" s="493" t="s">
        <v>533</v>
      </c>
      <c r="N10" s="491" t="e">
        <f aca="false">_xlfn.xlookup(M10,C$4:AG$4,C$5:AG$5,"")</f>
        <v>#NAME?</v>
      </c>
      <c r="O10" s="492" t="e">
        <f aca="false">+N10/N$42</f>
        <v>#NAME?</v>
      </c>
    </row>
    <row r="11" customFormat="false" ht="12.75" hidden="false" customHeight="false" outlineLevel="0" collapsed="false">
      <c r="D11" s="487"/>
      <c r="M11" s="488" t="s">
        <v>200</v>
      </c>
      <c r="N11" s="491" t="e">
        <f aca="false">_xlfn.xlookup(M11,C$4:AG$4,C$5:AG$5,"")</f>
        <v>#NAME?</v>
      </c>
      <c r="O11" s="492" t="e">
        <f aca="false">+N11/N$42</f>
        <v>#NAME?</v>
      </c>
    </row>
    <row r="12" customFormat="false" ht="12.75" hidden="false" customHeight="false" outlineLevel="0" collapsed="false">
      <c r="D12" s="487"/>
      <c r="M12" s="488" t="s">
        <v>262</v>
      </c>
      <c r="N12" s="491" t="e">
        <f aca="false">_xlfn.xlookup(M12,C$4:AG$4,C$5:AG$5,"")</f>
        <v>#NAME?</v>
      </c>
      <c r="O12" s="492" t="e">
        <f aca="false">+N12/N$42</f>
        <v>#NAME?</v>
      </c>
    </row>
    <row r="13" customFormat="false" ht="12.75" hidden="false" customHeight="false" outlineLevel="0" collapsed="false">
      <c r="D13" s="487"/>
      <c r="M13" s="488" t="s">
        <v>534</v>
      </c>
      <c r="N13" s="491" t="e">
        <f aca="false">_xlfn.xlookup(M13,C$4:AG$4,C$5:AG$5,"")</f>
        <v>#NAME?</v>
      </c>
      <c r="O13" s="492" t="e">
        <f aca="false">+N13/N$42</f>
        <v>#NAME?</v>
      </c>
    </row>
    <row r="14" customFormat="false" ht="12.75" hidden="false" customHeight="false" outlineLevel="0" collapsed="false">
      <c r="D14" s="487"/>
      <c r="M14" s="488" t="s">
        <v>535</v>
      </c>
      <c r="N14" s="491" t="e">
        <f aca="false">_xlfn.xlookup(M14,C$4:AG$4,C$5:AG$5,"")</f>
        <v>#NAME?</v>
      </c>
      <c r="O14" s="492" t="e">
        <f aca="false">+N14/N$42</f>
        <v>#NAME?</v>
      </c>
    </row>
    <row r="15" customFormat="false" ht="12.75" hidden="false" customHeight="false" outlineLevel="0" collapsed="false">
      <c r="D15" s="487"/>
      <c r="M15" s="488" t="s">
        <v>143</v>
      </c>
      <c r="N15" s="491" t="e">
        <f aca="false">_xlfn.xlookup(M15,C$4:AG$4,C$5:AG$5,"")</f>
        <v>#NAME?</v>
      </c>
      <c r="O15" s="492" t="e">
        <f aca="false">+N15/N$42</f>
        <v>#NAME?</v>
      </c>
    </row>
    <row r="16" customFormat="false" ht="12.75" hidden="false" customHeight="false" outlineLevel="0" collapsed="false">
      <c r="D16" s="487"/>
      <c r="M16" s="488" t="s">
        <v>71</v>
      </c>
      <c r="N16" s="491" t="e">
        <f aca="false">_xlfn.xlookup(M16,C$4:AG$4,C$5:AG$5,"")</f>
        <v>#NAME?</v>
      </c>
      <c r="O16" s="492" t="e">
        <f aca="false">+N16/N$42</f>
        <v>#NAME?</v>
      </c>
    </row>
    <row r="17" customFormat="false" ht="12.75" hidden="false" customHeight="false" outlineLevel="0" collapsed="false">
      <c r="D17" s="487"/>
      <c r="M17" s="488" t="s">
        <v>536</v>
      </c>
      <c r="N17" s="491" t="e">
        <f aca="false">_xlfn.xlookup(M17,C$4:AG$4,C$5:AG$5,"")</f>
        <v>#NAME?</v>
      </c>
      <c r="O17" s="492" t="e">
        <f aca="false">+N17/N$42</f>
        <v>#NAME?</v>
      </c>
    </row>
    <row r="18" customFormat="false" ht="12.75" hidden="false" customHeight="false" outlineLevel="0" collapsed="false">
      <c r="D18" s="487"/>
      <c r="M18" s="488" t="s">
        <v>73</v>
      </c>
      <c r="N18" s="491" t="e">
        <f aca="false">_xlfn.xlookup(M18,C$4:AG$4,C$5:AG$5,"")</f>
        <v>#NAME?</v>
      </c>
      <c r="O18" s="492" t="e">
        <f aca="false">+N18/N$42</f>
        <v>#NAME?</v>
      </c>
    </row>
    <row r="19" customFormat="false" ht="12.75" hidden="false" customHeight="false" outlineLevel="0" collapsed="false">
      <c r="D19" s="487"/>
      <c r="M19" s="488" t="s">
        <v>112</v>
      </c>
      <c r="N19" s="491" t="e">
        <f aca="false">_xlfn.xlookup(M19,C$4:AG$4,C$5:AG$5,"")</f>
        <v>#NAME?</v>
      </c>
      <c r="O19" s="492" t="e">
        <f aca="false">+N19/N$42</f>
        <v>#NAME?</v>
      </c>
    </row>
    <row r="20" customFormat="false" ht="12.75" hidden="false" customHeight="false" outlineLevel="0" collapsed="false">
      <c r="D20" s="487"/>
      <c r="M20" s="488" t="s">
        <v>312</v>
      </c>
      <c r="N20" s="491" t="e">
        <f aca="false">_xlfn.xlookup(M20,C$4:AG$4,C$5:AG$5,"")</f>
        <v>#NAME?</v>
      </c>
      <c r="O20" s="492" t="e">
        <f aca="false">+N20/N$42</f>
        <v>#NAME?</v>
      </c>
    </row>
    <row r="21" customFormat="false" ht="12.75" hidden="false" customHeight="false" outlineLevel="0" collapsed="false">
      <c r="D21" s="487"/>
      <c r="M21" s="488" t="s">
        <v>97</v>
      </c>
      <c r="N21" s="491" t="e">
        <f aca="false">_xlfn.xlookup(M21,C$4:AG$4,C$5:AG$5,"")</f>
        <v>#NAME?</v>
      </c>
      <c r="O21" s="492" t="e">
        <f aca="false">+N21/N$42</f>
        <v>#NAME?</v>
      </c>
    </row>
    <row r="22" customFormat="false" ht="12.75" hidden="false" customHeight="false" outlineLevel="0" collapsed="false">
      <c r="D22" s="487"/>
      <c r="M22" s="488" t="s">
        <v>145</v>
      </c>
      <c r="N22" s="491" t="e">
        <f aca="false">_xlfn.xlookup(M22,C$4:AG$4,C$5:AG$5,"")</f>
        <v>#NAME?</v>
      </c>
      <c r="O22" s="492" t="e">
        <f aca="false">+N22/N$42</f>
        <v>#NAME?</v>
      </c>
    </row>
    <row r="23" customFormat="false" ht="12.75" hidden="false" customHeight="false" outlineLevel="0" collapsed="false">
      <c r="D23" s="487"/>
      <c r="M23" s="488" t="s">
        <v>86</v>
      </c>
      <c r="N23" s="491" t="e">
        <f aca="false">_xlfn.xlookup(M23,C$4:AG$4,C$5:AG$5,"")</f>
        <v>#NAME?</v>
      </c>
      <c r="O23" s="492" t="e">
        <f aca="false">+N23/N$42</f>
        <v>#NAME?</v>
      </c>
    </row>
    <row r="24" customFormat="false" ht="12.75" hidden="true" customHeight="false" outlineLevel="0" collapsed="false">
      <c r="D24" s="487"/>
      <c r="M24" s="493" t="s">
        <v>306</v>
      </c>
      <c r="N24" s="491" t="e">
        <f aca="false">_xlfn.xlookup(M24,C$4:AG$4,C$5:AG$5,"")</f>
        <v>#NAME?</v>
      </c>
      <c r="O24" s="492" t="e">
        <f aca="false">+N24/N$42</f>
        <v>#NAME?</v>
      </c>
    </row>
    <row r="25" customFormat="false" ht="12.75" hidden="false" customHeight="false" outlineLevel="0" collapsed="false">
      <c r="D25" s="487"/>
      <c r="M25" s="488" t="s">
        <v>537</v>
      </c>
      <c r="N25" s="491" t="e">
        <f aca="false">_xlfn.xlookup(M25,C$4:AG$4,C$5:AG$5,"")</f>
        <v>#NAME?</v>
      </c>
      <c r="O25" s="492" t="e">
        <f aca="false">+N25/N$42</f>
        <v>#NAME?</v>
      </c>
    </row>
    <row r="26" customFormat="false" ht="12.75" hidden="false" customHeight="false" outlineLevel="0" collapsed="false">
      <c r="D26" s="487"/>
      <c r="M26" s="488" t="s">
        <v>538</v>
      </c>
      <c r="N26" s="491" t="e">
        <f aca="false">_xlfn.xlookup(M26,C$4:AG$4,C$5:AG$5,"")</f>
        <v>#NAME?</v>
      </c>
      <c r="O26" s="492" t="e">
        <f aca="false">+N26/N$42</f>
        <v>#NAME?</v>
      </c>
    </row>
    <row r="27" customFormat="false" ht="12.75" hidden="false" customHeight="false" outlineLevel="0" collapsed="false">
      <c r="D27" s="487"/>
      <c r="M27" s="488" t="s">
        <v>194</v>
      </c>
      <c r="N27" s="491" t="e">
        <f aca="false">_xlfn.xlookup(M27,C$4:AG$4,C$5:AG$5,"")</f>
        <v>#NAME?</v>
      </c>
      <c r="O27" s="492" t="e">
        <f aca="false">+N27/N$42</f>
        <v>#NAME?</v>
      </c>
    </row>
    <row r="28" customFormat="false" ht="12.75" hidden="false" customHeight="false" outlineLevel="0" collapsed="false">
      <c r="D28" s="487"/>
      <c r="M28" s="488" t="s">
        <v>278</v>
      </c>
      <c r="N28" s="491" t="e">
        <f aca="false">_xlfn.xlookup(M28,C$4:AG$4,C$5:AG$5,"")</f>
        <v>#NAME?</v>
      </c>
      <c r="O28" s="492" t="e">
        <f aca="false">+N28/N$42</f>
        <v>#NAME?</v>
      </c>
    </row>
    <row r="29" customFormat="false" ht="12.75" hidden="false" customHeight="false" outlineLevel="0" collapsed="false">
      <c r="D29" s="487"/>
      <c r="M29" s="488" t="s">
        <v>539</v>
      </c>
      <c r="N29" s="491" t="e">
        <f aca="false">_xlfn.xlookup(M29,C$4:AG$4,C$5:AG$5,"")</f>
        <v>#NAME?</v>
      </c>
      <c r="O29" s="492" t="e">
        <f aca="false">+N29/N$42</f>
        <v>#NAME?</v>
      </c>
    </row>
    <row r="30" customFormat="false" ht="12.75" hidden="false" customHeight="false" outlineLevel="0" collapsed="false">
      <c r="D30" s="487"/>
      <c r="M30" s="488" t="s">
        <v>183</v>
      </c>
      <c r="N30" s="491" t="e">
        <f aca="false">_xlfn.xlookup(M30,C$4:AG$4,C$5:AG$5,"")</f>
        <v>#NAME?</v>
      </c>
      <c r="O30" s="492" t="e">
        <f aca="false">+N30/N$42</f>
        <v>#NAME?</v>
      </c>
    </row>
    <row r="31" customFormat="false" ht="12.75" hidden="false" customHeight="false" outlineLevel="0" collapsed="false">
      <c r="D31" s="487"/>
      <c r="M31" s="488" t="s">
        <v>540</v>
      </c>
      <c r="N31" s="491" t="e">
        <f aca="false">_xlfn.xlookup(M31,C$4:AG$4,C$5:AG$5,"")</f>
        <v>#NAME?</v>
      </c>
      <c r="O31" s="492" t="e">
        <f aca="false">+N31/N$42</f>
        <v>#NAME?</v>
      </c>
    </row>
    <row r="32" customFormat="false" ht="12.75" hidden="true" customHeight="false" outlineLevel="0" collapsed="false">
      <c r="D32" s="487"/>
      <c r="M32" s="493" t="s">
        <v>230</v>
      </c>
      <c r="N32" s="491" t="e">
        <f aca="false">_xlfn.xlookup(M32,C$4:AG$4,C$5:AG$5,"")</f>
        <v>#NAME?</v>
      </c>
      <c r="O32" s="492" t="e">
        <f aca="false">+N32/N$42</f>
        <v>#NAME?</v>
      </c>
    </row>
    <row r="33" customFormat="false" ht="12.75" hidden="false" customHeight="false" outlineLevel="0" collapsed="false">
      <c r="D33" s="487"/>
      <c r="M33" s="488" t="s">
        <v>208</v>
      </c>
      <c r="N33" s="491" t="e">
        <f aca="false">_xlfn.xlookup(M33,C$4:AG$4,C$5:AG$5,"")</f>
        <v>#NAME?</v>
      </c>
      <c r="O33" s="492" t="e">
        <f aca="false">+N33/N$42</f>
        <v>#NAME?</v>
      </c>
    </row>
    <row r="34" customFormat="false" ht="12.75" hidden="false" customHeight="false" outlineLevel="0" collapsed="false">
      <c r="D34" s="487"/>
      <c r="M34" s="488" t="s">
        <v>541</v>
      </c>
      <c r="N34" s="491" t="e">
        <f aca="false">_xlfn.xlookup(M34,C$4:AG$4,C$5:AG$5,"")</f>
        <v>#NAME?</v>
      </c>
      <c r="O34" s="492" t="e">
        <f aca="false">+N34/N$42</f>
        <v>#NAME?</v>
      </c>
    </row>
    <row r="35" customFormat="false" ht="12.75" hidden="true" customHeight="false" outlineLevel="0" collapsed="false">
      <c r="D35" s="487"/>
      <c r="M35" s="493" t="s">
        <v>542</v>
      </c>
      <c r="N35" s="491" t="e">
        <f aca="false">_xlfn.xlookup(M35,C$4:AG$4,C$5:AG$5,"")</f>
        <v>#NAME?</v>
      </c>
      <c r="O35" s="492" t="e">
        <f aca="false">+N35/N$42</f>
        <v>#NAME?</v>
      </c>
    </row>
    <row r="36" customFormat="false" ht="12.75" hidden="true" customHeight="false" outlineLevel="0" collapsed="false">
      <c r="D36" s="487"/>
      <c r="M36" s="493" t="s">
        <v>543</v>
      </c>
      <c r="N36" s="491" t="e">
        <f aca="false">_xlfn.xlookup(M36,C$4:AG$4,C$5:AG$5,"")</f>
        <v>#NAME?</v>
      </c>
      <c r="O36" s="492" t="e">
        <f aca="false">+N36/N$42</f>
        <v>#NAME?</v>
      </c>
    </row>
    <row r="37" customFormat="false" ht="12.75" hidden="false" customHeight="false" outlineLevel="0" collapsed="false">
      <c r="D37" s="487"/>
      <c r="M37" s="488" t="s">
        <v>544</v>
      </c>
      <c r="N37" s="491" t="e">
        <f aca="false">_xlfn.xlookup(M37,C$4:AG$4,C$5:AG$5,"")</f>
        <v>#NAME?</v>
      </c>
      <c r="O37" s="492" t="e">
        <f aca="false">+N37/N$42</f>
        <v>#NAME?</v>
      </c>
    </row>
    <row r="38" customFormat="false" ht="12.75" hidden="false" customHeight="false" outlineLevel="0" collapsed="false">
      <c r="D38" s="487"/>
      <c r="M38" s="488" t="s">
        <v>116</v>
      </c>
      <c r="N38" s="491" t="e">
        <f aca="false">_xlfn.xlookup(M38,C$4:AG$4,C$5:AG$5,"")</f>
        <v>#NAME?</v>
      </c>
      <c r="O38" s="492" t="e">
        <f aca="false">+N38/N$42</f>
        <v>#NAME?</v>
      </c>
    </row>
    <row r="39" customFormat="false" ht="12.75" hidden="true" customHeight="false" outlineLevel="0" collapsed="false">
      <c r="D39" s="487"/>
      <c r="M39" s="493" t="s">
        <v>545</v>
      </c>
      <c r="N39" s="491" t="e">
        <f aca="false">_xlfn.xlookup(M39,C$4:AG$4,C$5:AG$5,"")</f>
        <v>#NAME?</v>
      </c>
      <c r="O39" s="492" t="e">
        <f aca="false">+N39/N$42</f>
        <v>#NAME?</v>
      </c>
    </row>
    <row r="42" customFormat="false" ht="12.75" hidden="false" customHeight="false" outlineLevel="0" collapsed="false">
      <c r="M42" s="493" t="s">
        <v>640</v>
      </c>
      <c r="N42" s="494" t="n">
        <f aca="false">SUM(N9:N41)</f>
        <v>-46034758.752</v>
      </c>
    </row>
  </sheetData>
  <autoFilter ref="M8:O39">
    <filterColumn colId="1" hiddenButton="1">
      <filters>
        <filter val="1.024.207,5"/>
        <filter val="1.113.280,0"/>
        <filter val="1.850.600,0"/>
        <filter val="1.878.380,4"/>
        <filter val="116.984,3"/>
        <filter val="118.037,2"/>
        <filter val="124.218,0"/>
        <filter val="127.093,1"/>
        <filter val="165.590,9"/>
        <filter val="176.812,5"/>
        <filter val="187.841,6"/>
        <filter val="2.161.761,0"/>
        <filter val="219.020,0"/>
        <filter val="228.148,3"/>
        <filter val="238.578,0"/>
        <filter val="26.508,9"/>
        <filter val="289.375,0"/>
        <filter val="305.991,8"/>
        <filter val="309.307,0"/>
        <filter val="309.721,0"/>
        <filter val="356.958,0"/>
        <filter val="370.379,2"/>
        <filter val="42.096,0"/>
        <filter val="648.380,1"/>
        <filter val="792.053,8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O228"/>
  <sheetViews>
    <sheetView showFormulas="false" showGridLines="true" showRowColHeaders="true" showZeros="true" rightToLeft="false" tabSelected="false" showOutlineSymbols="true" defaultGridColor="true" view="normal" topLeftCell="A27" colorId="64" zoomScale="100" zoomScaleNormal="100" zoomScalePageLayoutView="100" workbookViewId="0">
      <selection pane="topLeft" activeCell="A138" activeCellId="0" sqref="A138"/>
    </sheetView>
  </sheetViews>
  <sheetFormatPr defaultColWidth="11.42578125" defaultRowHeight="12.75" zeroHeight="false" outlineLevelRow="0" outlineLevelCol="0"/>
  <cols>
    <col collapsed="false" customWidth="true" hidden="false" outlineLevel="0" max="1" min="1" style="0" width="9.86"/>
    <col collapsed="false" customWidth="true" hidden="false" outlineLevel="0" max="2" min="2" style="345" width="10.42"/>
    <col collapsed="false" customWidth="true" hidden="false" outlineLevel="0" max="3" min="3" style="0" width="11"/>
    <col collapsed="false" customWidth="true" hidden="false" outlineLevel="0" max="4" min="4" style="0" width="7.86"/>
    <col collapsed="false" customWidth="true" hidden="false" outlineLevel="0" max="6" min="6" style="0" width="10.57"/>
    <col collapsed="false" customWidth="true" hidden="false" outlineLevel="0" max="7" min="7" style="0" width="16.85"/>
    <col collapsed="false" customWidth="true" hidden="false" outlineLevel="0" max="8" min="8" style="0" width="16.14"/>
    <col collapsed="false" customWidth="true" hidden="false" outlineLevel="0" max="10" min="9" style="0" width="13.15"/>
    <col collapsed="false" customWidth="true" hidden="false" outlineLevel="0" max="11" min="11" style="0" width="12"/>
    <col collapsed="false" customWidth="true" hidden="false" outlineLevel="0" max="12" min="12" style="0" width="12.57"/>
    <col collapsed="false" customWidth="true" hidden="false" outlineLevel="0" max="13" min="13" style="345" width="11.71"/>
    <col collapsed="false" customWidth="true" hidden="false" outlineLevel="0" max="14" min="14" style="0" width="11.14"/>
  </cols>
  <sheetData>
    <row r="1" customFormat="false" ht="12.75" hidden="false" customHeight="false" outlineLevel="0" collapsed="false">
      <c r="A1" s="388" t="s">
        <v>329</v>
      </c>
      <c r="B1" s="495" t="s">
        <v>25</v>
      </c>
      <c r="C1" s="388" t="s">
        <v>504</v>
      </c>
      <c r="D1" s="388" t="s">
        <v>523</v>
      </c>
      <c r="E1" s="388" t="s">
        <v>546</v>
      </c>
      <c r="F1" s="388" t="s">
        <v>505</v>
      </c>
      <c r="G1" s="388" t="s">
        <v>335</v>
      </c>
      <c r="H1" s="388" t="s">
        <v>507</v>
      </c>
      <c r="I1" s="388" t="s">
        <v>524</v>
      </c>
      <c r="J1" s="388" t="s">
        <v>129</v>
      </c>
      <c r="K1" s="388" t="s">
        <v>10</v>
      </c>
      <c r="L1" s="388" t="s">
        <v>353</v>
      </c>
      <c r="M1" s="495" t="s">
        <v>525</v>
      </c>
      <c r="N1" s="110" t="s">
        <v>648</v>
      </c>
    </row>
    <row r="2" customFormat="false" ht="12.75" hidden="false" customHeight="false" outlineLevel="0" collapsed="false">
      <c r="A2" s="344" t="s">
        <v>363</v>
      </c>
      <c r="B2" s="428" t="n">
        <v>46045</v>
      </c>
      <c r="C2" s="344" t="s">
        <v>567</v>
      </c>
      <c r="D2" s="344" t="s">
        <v>230</v>
      </c>
      <c r="E2" s="344"/>
      <c r="F2" s="433" t="n">
        <v>13</v>
      </c>
      <c r="G2" s="433" t="n">
        <f aca="false">F2*1.1</f>
        <v>14.3</v>
      </c>
      <c r="H2" s="433" t="n">
        <f aca="false">G2*1.2</f>
        <v>17.16</v>
      </c>
      <c r="I2" s="433" t="n">
        <v>1537.96838461538</v>
      </c>
      <c r="J2" s="433" t="n">
        <v>11.830526035503</v>
      </c>
      <c r="K2" s="414" t="n">
        <v>183.2633</v>
      </c>
      <c r="L2" s="414" t="n">
        <v>1.832633</v>
      </c>
      <c r="M2" s="42"/>
      <c r="N2" s="454" t="n">
        <v>46048</v>
      </c>
      <c r="O2" s="28"/>
    </row>
    <row r="3" customFormat="false" ht="12.75" hidden="false" customHeight="false" outlineLevel="0" collapsed="false">
      <c r="A3" s="344" t="s">
        <v>363</v>
      </c>
      <c r="B3" s="428" t="n">
        <v>45986</v>
      </c>
      <c r="C3" s="344" t="s">
        <v>556</v>
      </c>
      <c r="D3" s="344" t="s">
        <v>649</v>
      </c>
      <c r="E3" s="344" t="n">
        <v>6892.5</v>
      </c>
      <c r="F3" s="433" t="n">
        <v>3</v>
      </c>
      <c r="G3" s="433" t="n">
        <f aca="false">F3*1.1</f>
        <v>3.3</v>
      </c>
      <c r="H3" s="433" t="n">
        <f aca="false">G3*1.2</f>
        <v>3.96</v>
      </c>
      <c r="I3" s="433" t="n">
        <v>7822.38461538461</v>
      </c>
      <c r="J3" s="433" t="n">
        <v>60.1721893491124</v>
      </c>
      <c r="K3" s="414" t="n">
        <v>-61.5</v>
      </c>
      <c r="L3" s="414" t="n">
        <v>-0.615</v>
      </c>
      <c r="M3" s="496" t="n">
        <v>-0.00594849474066014</v>
      </c>
      <c r="N3" s="454" t="n">
        <v>46077</v>
      </c>
      <c r="O3" s="28"/>
    </row>
    <row r="4" customFormat="false" ht="12.75" hidden="false" customHeight="false" outlineLevel="0" collapsed="false">
      <c r="A4" s="344" t="s">
        <v>363</v>
      </c>
      <c r="B4" s="428" t="n">
        <v>45873</v>
      </c>
      <c r="C4" s="344" t="s">
        <v>97</v>
      </c>
      <c r="D4" s="344" t="s">
        <v>97</v>
      </c>
      <c r="E4" s="344" t="n">
        <v>660.09</v>
      </c>
      <c r="F4" s="433" t="n">
        <v>4</v>
      </c>
      <c r="G4" s="433" t="n">
        <f aca="false">F4*1.1</f>
        <v>4.4</v>
      </c>
      <c r="H4" s="433" t="n">
        <f aca="false">G4*1.2</f>
        <v>5.28</v>
      </c>
      <c r="I4" s="433" t="n">
        <v>772.3499</v>
      </c>
      <c r="J4" s="433" t="n">
        <v>5.94115307692308</v>
      </c>
      <c r="K4" s="414" t="n">
        <v>-32.0905000000001</v>
      </c>
      <c r="L4" s="414" t="n">
        <v>-0.320905000000001</v>
      </c>
      <c r="M4" s="496" t="n">
        <v>-0.0373964156402916</v>
      </c>
      <c r="N4" s="454" t="n">
        <v>46090</v>
      </c>
      <c r="O4" s="28"/>
    </row>
    <row r="5" customFormat="false" ht="12.75" hidden="false" customHeight="false" outlineLevel="0" collapsed="false">
      <c r="A5" s="344" t="s">
        <v>363</v>
      </c>
      <c r="B5" s="428" t="n">
        <v>45870</v>
      </c>
      <c r="C5" s="344" t="s">
        <v>121</v>
      </c>
      <c r="D5" s="344" t="s">
        <v>120</v>
      </c>
      <c r="E5" s="344" t="n">
        <v>230.82</v>
      </c>
      <c r="F5" s="433" t="n">
        <v>5</v>
      </c>
      <c r="G5" s="433" t="n">
        <f aca="false">F5*1.1</f>
        <v>5.5</v>
      </c>
      <c r="H5" s="433" t="n">
        <f aca="false">G5*1.2</f>
        <v>6.6</v>
      </c>
      <c r="I5" s="433" t="n">
        <v>1538.47396153846</v>
      </c>
      <c r="J5" s="433" t="n">
        <v>11.8344150887574</v>
      </c>
      <c r="K5" s="414" t="n">
        <v>-192.13707</v>
      </c>
      <c r="L5" s="414" t="n">
        <v>-1.9213707</v>
      </c>
      <c r="M5" s="496" t="n">
        <v>-0.0895065418941166</v>
      </c>
      <c r="N5" s="454" t="n">
        <v>46090</v>
      </c>
      <c r="O5" s="28"/>
    </row>
    <row r="6" customFormat="false" ht="12.75" hidden="false" customHeight="false" outlineLevel="0" collapsed="false">
      <c r="A6" s="344" t="s">
        <v>363</v>
      </c>
      <c r="B6" s="428" t="n">
        <v>45859</v>
      </c>
      <c r="C6" s="344" t="s">
        <v>553</v>
      </c>
      <c r="D6" s="344" t="s">
        <v>535</v>
      </c>
      <c r="E6" s="344" t="n">
        <v>79.3</v>
      </c>
      <c r="F6" s="433" t="n">
        <v>23</v>
      </c>
      <c r="G6" s="433" t="n">
        <f aca="false">F6*1.1</f>
        <v>25.3</v>
      </c>
      <c r="H6" s="433" t="n">
        <f aca="false">G6*1.2</f>
        <v>30.36</v>
      </c>
      <c r="I6" s="433" t="n">
        <v>768.626930769231</v>
      </c>
      <c r="J6" s="433" t="n">
        <v>5.91251485207101</v>
      </c>
      <c r="K6" s="414" t="n">
        <v>171.703635</v>
      </c>
      <c r="L6" s="414" t="n">
        <v>1.71703635</v>
      </c>
      <c r="M6" s="496" t="n">
        <v>0.497756620428752</v>
      </c>
      <c r="N6" s="454" t="n">
        <v>46091</v>
      </c>
      <c r="O6" s="28"/>
    </row>
    <row r="7" customFormat="false" ht="12.75" hidden="false" customHeight="false" outlineLevel="0" collapsed="false">
      <c r="A7" s="344"/>
      <c r="B7" s="428"/>
      <c r="C7" s="344"/>
      <c r="D7" s="344"/>
      <c r="E7" s="344"/>
      <c r="F7" s="433"/>
      <c r="G7" s="433"/>
      <c r="H7" s="433"/>
      <c r="I7" s="433"/>
      <c r="J7" s="433"/>
      <c r="K7" s="414"/>
      <c r="L7" s="414"/>
      <c r="M7" s="496"/>
      <c r="N7" s="454"/>
    </row>
    <row r="8" customFormat="false" ht="12.75" hidden="false" customHeight="false" outlineLevel="0" collapsed="false">
      <c r="A8" s="344"/>
      <c r="B8" s="428"/>
      <c r="C8" s="344"/>
      <c r="D8" s="344"/>
      <c r="E8" s="344"/>
      <c r="F8" s="433"/>
      <c r="G8" s="433"/>
      <c r="H8" s="433"/>
      <c r="I8" s="433"/>
      <c r="J8" s="433"/>
      <c r="K8" s="414"/>
      <c r="L8" s="414"/>
      <c r="M8" s="496"/>
      <c r="N8" s="454"/>
    </row>
    <row r="9" customFormat="false" ht="12.75" hidden="false" customHeight="false" outlineLevel="0" collapsed="false">
      <c r="A9" s="344"/>
      <c r="B9" s="428"/>
      <c r="C9" s="344"/>
      <c r="D9" s="344"/>
      <c r="E9" s="344"/>
      <c r="F9" s="433"/>
      <c r="G9" s="433"/>
      <c r="H9" s="433"/>
      <c r="I9" s="433"/>
      <c r="J9" s="433"/>
      <c r="K9" s="414"/>
      <c r="L9" s="414"/>
      <c r="M9" s="496"/>
      <c r="N9" s="454"/>
    </row>
    <row r="10" customFormat="false" ht="12.75" hidden="false" customHeight="false" outlineLevel="0" collapsed="false">
      <c r="A10" s="344"/>
      <c r="B10" s="428"/>
      <c r="C10" s="344"/>
      <c r="D10" s="344"/>
      <c r="E10" s="344"/>
      <c r="F10" s="433"/>
      <c r="G10" s="433"/>
      <c r="H10" s="433"/>
      <c r="I10" s="433"/>
      <c r="J10" s="433"/>
      <c r="K10" s="414"/>
      <c r="L10" s="414"/>
      <c r="M10" s="496"/>
      <c r="N10" s="454"/>
    </row>
    <row r="11" customFormat="false" ht="12.75" hidden="false" customHeight="false" outlineLevel="0" collapsed="false">
      <c r="A11" s="344"/>
      <c r="B11" s="428"/>
      <c r="C11" s="344"/>
      <c r="D11" s="344"/>
      <c r="E11" s="344"/>
      <c r="F11" s="433"/>
      <c r="G11" s="433"/>
      <c r="H11" s="433"/>
      <c r="I11" s="433"/>
      <c r="J11" s="433"/>
      <c r="K11" s="414"/>
      <c r="L11" s="414"/>
      <c r="M11" s="496"/>
      <c r="N11" s="454"/>
    </row>
    <row r="12" customFormat="false" ht="12.75" hidden="false" customHeight="false" outlineLevel="0" collapsed="false">
      <c r="A12" s="344"/>
      <c r="B12" s="428"/>
      <c r="C12" s="344"/>
      <c r="D12" s="344"/>
      <c r="E12" s="344"/>
      <c r="F12" s="433"/>
      <c r="G12" s="433"/>
      <c r="H12" s="433"/>
      <c r="I12" s="433"/>
      <c r="J12" s="433"/>
      <c r="K12" s="414"/>
      <c r="L12" s="414"/>
      <c r="M12" s="496"/>
      <c r="N12" s="454"/>
    </row>
    <row r="13" customFormat="false" ht="12.75" hidden="false" customHeight="false" outlineLevel="0" collapsed="false">
      <c r="A13" s="344"/>
      <c r="B13" s="428"/>
      <c r="C13" s="344"/>
      <c r="D13" s="344"/>
      <c r="E13" s="344"/>
      <c r="F13" s="433"/>
      <c r="G13" s="433"/>
      <c r="H13" s="433"/>
      <c r="I13" s="433"/>
      <c r="J13" s="433"/>
      <c r="K13" s="414"/>
      <c r="L13" s="414"/>
      <c r="M13" s="496"/>
      <c r="N13" s="454"/>
    </row>
    <row r="14" customFormat="false" ht="12.75" hidden="false" customHeight="false" outlineLevel="0" collapsed="false">
      <c r="A14" s="344"/>
      <c r="B14" s="428"/>
      <c r="C14" s="344"/>
      <c r="D14" s="344"/>
      <c r="E14" s="344"/>
      <c r="F14" s="433"/>
      <c r="G14" s="433"/>
      <c r="H14" s="433"/>
      <c r="I14" s="433"/>
      <c r="J14" s="433"/>
      <c r="K14" s="414"/>
      <c r="L14" s="414"/>
      <c r="M14" s="496"/>
      <c r="N14" s="454"/>
    </row>
    <row r="15" customFormat="false" ht="12.75" hidden="false" customHeight="false" outlineLevel="0" collapsed="false">
      <c r="A15" s="344"/>
      <c r="B15" s="428"/>
      <c r="C15" s="344"/>
      <c r="D15" s="344"/>
      <c r="E15" s="344"/>
      <c r="F15" s="433"/>
      <c r="G15" s="433"/>
      <c r="H15" s="433"/>
      <c r="I15" s="433"/>
      <c r="J15" s="433"/>
      <c r="K15" s="414"/>
      <c r="L15" s="414"/>
      <c r="M15" s="496"/>
      <c r="N15" s="454"/>
    </row>
    <row r="16" customFormat="false" ht="12.75" hidden="false" customHeight="false" outlineLevel="0" collapsed="false">
      <c r="A16" s="344"/>
      <c r="B16" s="428"/>
      <c r="C16" s="344"/>
      <c r="D16" s="344"/>
      <c r="E16" s="344"/>
      <c r="F16" s="433"/>
      <c r="G16" s="433"/>
      <c r="H16" s="433"/>
      <c r="I16" s="433"/>
      <c r="J16" s="433"/>
      <c r="K16" s="414"/>
      <c r="L16" s="414"/>
      <c r="M16" s="496"/>
      <c r="N16" s="454"/>
    </row>
    <row r="17" customFormat="false" ht="12.75" hidden="false" customHeight="false" outlineLevel="0" collapsed="false">
      <c r="A17" s="344"/>
      <c r="B17" s="428"/>
      <c r="C17" s="344"/>
      <c r="D17" s="344"/>
      <c r="E17" s="344"/>
      <c r="F17" s="433"/>
      <c r="G17" s="433"/>
      <c r="H17" s="433"/>
      <c r="I17" s="433"/>
      <c r="J17" s="433"/>
      <c r="K17" s="414"/>
      <c r="L17" s="414"/>
      <c r="M17" s="496"/>
      <c r="N17" s="454"/>
    </row>
    <row r="18" customFormat="false" ht="12.75" hidden="false" customHeight="false" outlineLevel="0" collapsed="false">
      <c r="A18" s="344"/>
      <c r="B18" s="428"/>
      <c r="C18" s="344"/>
      <c r="D18" s="344"/>
      <c r="E18" s="344"/>
      <c r="F18" s="433"/>
      <c r="G18" s="433"/>
      <c r="H18" s="433"/>
      <c r="I18" s="433"/>
      <c r="J18" s="433"/>
      <c r="K18" s="414"/>
      <c r="L18" s="414"/>
      <c r="M18" s="496"/>
      <c r="N18" s="454"/>
    </row>
    <row r="19" customFormat="false" ht="12.75" hidden="false" customHeight="false" outlineLevel="0" collapsed="false">
      <c r="A19" s="344"/>
      <c r="B19" s="428"/>
      <c r="C19" s="344"/>
      <c r="D19" s="344"/>
      <c r="E19" s="344"/>
      <c r="F19" s="433"/>
      <c r="G19" s="433"/>
      <c r="H19" s="433"/>
      <c r="I19" s="433"/>
      <c r="J19" s="433"/>
      <c r="K19" s="414"/>
      <c r="L19" s="414"/>
      <c r="M19" s="496"/>
      <c r="N19" s="454"/>
    </row>
    <row r="20" customFormat="false" ht="12.75" hidden="false" customHeight="false" outlineLevel="0" collapsed="false">
      <c r="A20" s="344"/>
      <c r="B20" s="428"/>
      <c r="C20" s="344"/>
      <c r="D20" s="344"/>
      <c r="E20" s="344"/>
      <c r="F20" s="433"/>
      <c r="G20" s="433"/>
      <c r="H20" s="433"/>
      <c r="I20" s="433"/>
      <c r="J20" s="433"/>
      <c r="K20" s="414"/>
      <c r="L20" s="414"/>
      <c r="M20" s="496"/>
      <c r="N20" s="454"/>
    </row>
    <row r="21" customFormat="false" ht="12.75" hidden="false" customHeight="false" outlineLevel="0" collapsed="false">
      <c r="A21" s="344"/>
      <c r="B21" s="428"/>
      <c r="C21" s="344"/>
      <c r="D21" s="344"/>
      <c r="E21" s="344"/>
      <c r="F21" s="433"/>
      <c r="G21" s="433"/>
      <c r="H21" s="433"/>
      <c r="I21" s="433"/>
      <c r="J21" s="433"/>
      <c r="K21" s="414"/>
      <c r="L21" s="414"/>
      <c r="M21" s="496"/>
      <c r="N21" s="454"/>
    </row>
    <row r="22" customFormat="false" ht="12.75" hidden="false" customHeight="false" outlineLevel="0" collapsed="false">
      <c r="A22" s="344"/>
      <c r="B22" s="428"/>
      <c r="C22" s="344"/>
      <c r="D22" s="344"/>
      <c r="E22" s="344"/>
      <c r="F22" s="433"/>
      <c r="G22" s="433"/>
      <c r="H22" s="433"/>
      <c r="I22" s="433"/>
      <c r="J22" s="433"/>
      <c r="K22" s="414"/>
      <c r="L22" s="414"/>
      <c r="M22" s="496"/>
      <c r="N22" s="454"/>
    </row>
    <row r="23" customFormat="false" ht="12.75" hidden="false" customHeight="false" outlineLevel="0" collapsed="false">
      <c r="A23" s="344"/>
      <c r="B23" s="428"/>
      <c r="C23" s="344"/>
      <c r="D23" s="344"/>
      <c r="E23" s="344"/>
      <c r="F23" s="433"/>
      <c r="G23" s="433"/>
      <c r="H23" s="433"/>
      <c r="I23" s="433"/>
      <c r="J23" s="433"/>
      <c r="K23" s="414"/>
      <c r="L23" s="414"/>
      <c r="M23" s="496"/>
      <c r="N23" s="454"/>
    </row>
    <row r="24" customFormat="false" ht="12.75" hidden="false" customHeight="false" outlineLevel="0" collapsed="false">
      <c r="A24" s="344"/>
      <c r="B24" s="428"/>
      <c r="C24" s="344"/>
      <c r="D24" s="344"/>
      <c r="E24" s="344"/>
      <c r="F24" s="433"/>
      <c r="G24" s="433"/>
      <c r="H24" s="433"/>
      <c r="I24" s="433"/>
      <c r="J24" s="433"/>
      <c r="K24" s="414"/>
      <c r="L24" s="268"/>
      <c r="M24" s="428"/>
    </row>
    <row r="25" customFormat="false" ht="12.75" hidden="false" customHeight="false" outlineLevel="0" collapsed="false">
      <c r="A25" s="344"/>
      <c r="B25" s="428"/>
      <c r="C25" s="344"/>
      <c r="D25" s="344"/>
      <c r="E25" s="344"/>
      <c r="F25" s="433"/>
      <c r="G25" s="433"/>
      <c r="H25" s="433"/>
      <c r="I25" s="433"/>
      <c r="J25" s="433"/>
      <c r="K25" s="414"/>
      <c r="L25" s="268"/>
      <c r="M25" s="428"/>
    </row>
    <row r="26" customFormat="false" ht="12.75" hidden="false" customHeight="false" outlineLevel="0" collapsed="false">
      <c r="A26" s="344"/>
      <c r="B26" s="428"/>
      <c r="C26" s="344"/>
      <c r="D26" s="344"/>
      <c r="E26" s="344"/>
      <c r="F26" s="433"/>
      <c r="G26" s="433"/>
      <c r="H26" s="433"/>
      <c r="I26" s="433"/>
      <c r="J26" s="433"/>
      <c r="K26" s="414"/>
      <c r="L26" s="268"/>
      <c r="M26" s="428"/>
    </row>
    <row r="27" customFormat="false" ht="12.75" hidden="false" customHeight="false" outlineLevel="0" collapsed="false">
      <c r="A27" s="344"/>
      <c r="B27" s="428"/>
      <c r="C27" s="344"/>
      <c r="D27" s="344"/>
      <c r="E27" s="344"/>
      <c r="F27" s="433"/>
      <c r="G27" s="433"/>
      <c r="H27" s="433"/>
      <c r="I27" s="433"/>
      <c r="J27" s="433"/>
      <c r="K27" s="414"/>
      <c r="L27" s="268"/>
      <c r="M27" s="428"/>
    </row>
    <row r="28" customFormat="false" ht="12.75" hidden="false" customHeight="false" outlineLevel="0" collapsed="false">
      <c r="A28" s="344"/>
      <c r="B28" s="428"/>
      <c r="C28" s="344"/>
      <c r="D28" s="344"/>
      <c r="E28" s="344"/>
      <c r="F28" s="433"/>
      <c r="G28" s="433"/>
      <c r="H28" s="433"/>
      <c r="I28" s="433"/>
      <c r="J28" s="433"/>
      <c r="K28" s="414"/>
      <c r="L28" s="268"/>
      <c r="M28" s="428"/>
    </row>
    <row r="29" customFormat="false" ht="12.75" hidden="false" customHeight="false" outlineLevel="0" collapsed="false">
      <c r="A29" s="344"/>
      <c r="B29" s="428"/>
      <c r="C29" s="344"/>
      <c r="D29" s="344"/>
      <c r="E29" s="344"/>
      <c r="F29" s="433"/>
      <c r="G29" s="433"/>
      <c r="H29" s="433"/>
      <c r="I29" s="433"/>
      <c r="J29" s="433"/>
      <c r="K29" s="414"/>
      <c r="L29" s="268"/>
      <c r="M29" s="428"/>
    </row>
    <row r="30" customFormat="false" ht="12.75" hidden="false" customHeight="false" outlineLevel="0" collapsed="false">
      <c r="A30" s="344"/>
      <c r="B30" s="428"/>
      <c r="C30" s="344"/>
      <c r="D30" s="344"/>
      <c r="E30" s="344"/>
      <c r="F30" s="433"/>
      <c r="G30" s="433"/>
      <c r="H30" s="433"/>
      <c r="I30" s="433"/>
      <c r="J30" s="433"/>
      <c r="K30" s="414"/>
      <c r="L30" s="268"/>
      <c r="M30" s="428"/>
    </row>
    <row r="31" customFormat="false" ht="12.75" hidden="false" customHeight="false" outlineLevel="0" collapsed="false">
      <c r="A31" s="344"/>
      <c r="B31" s="428"/>
      <c r="C31" s="344"/>
      <c r="D31" s="344"/>
      <c r="E31" s="344"/>
      <c r="F31" s="433"/>
      <c r="G31" s="433"/>
      <c r="H31" s="433"/>
      <c r="I31" s="433"/>
      <c r="J31" s="433"/>
      <c r="K31" s="414"/>
      <c r="L31" s="268"/>
      <c r="M31" s="428"/>
    </row>
    <row r="32" customFormat="false" ht="12.75" hidden="false" customHeight="false" outlineLevel="0" collapsed="false">
      <c r="A32" s="344"/>
      <c r="B32" s="428"/>
      <c r="C32" s="344"/>
      <c r="D32" s="344"/>
      <c r="E32" s="344"/>
      <c r="F32" s="433"/>
      <c r="G32" s="433"/>
      <c r="H32" s="433"/>
      <c r="I32" s="433"/>
      <c r="J32" s="433"/>
      <c r="K32" s="414"/>
      <c r="L32" s="268"/>
      <c r="M32" s="428"/>
    </row>
    <row r="33" customFormat="false" ht="12.75" hidden="false" customHeight="false" outlineLevel="0" collapsed="false">
      <c r="A33" s="344"/>
      <c r="B33" s="428"/>
      <c r="C33" s="344"/>
      <c r="D33" s="344"/>
      <c r="E33" s="344"/>
      <c r="F33" s="433"/>
      <c r="G33" s="433"/>
      <c r="H33" s="433"/>
      <c r="I33" s="433"/>
      <c r="J33" s="433"/>
      <c r="K33" s="414"/>
      <c r="L33" s="268"/>
      <c r="M33" s="428"/>
    </row>
    <row r="34" customFormat="false" ht="12.75" hidden="false" customHeight="false" outlineLevel="0" collapsed="false">
      <c r="A34" s="344"/>
      <c r="B34" s="428"/>
      <c r="C34" s="344"/>
      <c r="D34" s="344"/>
      <c r="E34" s="344"/>
      <c r="F34" s="433"/>
      <c r="G34" s="433"/>
      <c r="H34" s="433"/>
      <c r="I34" s="433"/>
      <c r="J34" s="433"/>
      <c r="K34" s="414"/>
      <c r="L34" s="268"/>
      <c r="M34" s="428"/>
    </row>
    <row r="35" customFormat="false" ht="12.75" hidden="false" customHeight="false" outlineLevel="0" collapsed="false">
      <c r="A35" s="344"/>
      <c r="B35" s="428"/>
      <c r="C35" s="344"/>
      <c r="D35" s="344"/>
      <c r="E35" s="344"/>
      <c r="F35" s="433"/>
      <c r="G35" s="433"/>
      <c r="H35" s="433"/>
      <c r="I35" s="433"/>
      <c r="J35" s="433"/>
      <c r="K35" s="414"/>
      <c r="L35" s="268"/>
      <c r="M35" s="428"/>
    </row>
    <row r="36" customFormat="false" ht="12.75" hidden="false" customHeight="false" outlineLevel="0" collapsed="false">
      <c r="I36" s="430"/>
      <c r="J36" s="430"/>
      <c r="K36" s="414"/>
      <c r="L36" s="268"/>
      <c r="M36" s="428"/>
    </row>
    <row r="37" customFormat="false" ht="12.75" hidden="false" customHeight="false" outlineLevel="0" collapsed="false">
      <c r="I37" s="430"/>
      <c r="J37" s="430"/>
      <c r="K37" s="414"/>
      <c r="L37" s="268"/>
      <c r="M37" s="428"/>
    </row>
    <row r="38" customFormat="false" ht="12.75" hidden="false" customHeight="false" outlineLevel="0" collapsed="false">
      <c r="I38" s="430"/>
      <c r="J38" s="430"/>
      <c r="K38" s="414"/>
      <c r="L38" s="268"/>
      <c r="M38" s="428"/>
    </row>
    <row r="39" customFormat="false" ht="12.75" hidden="false" customHeight="false" outlineLevel="0" collapsed="false">
      <c r="I39" s="430"/>
      <c r="J39" s="430"/>
      <c r="K39" s="414"/>
      <c r="L39" s="268"/>
      <c r="M39" s="428"/>
    </row>
    <row r="40" customFormat="false" ht="12.75" hidden="false" customHeight="false" outlineLevel="0" collapsed="false">
      <c r="I40" s="430"/>
      <c r="J40" s="430"/>
      <c r="K40" s="414"/>
      <c r="L40" s="268"/>
      <c r="M40" s="428"/>
    </row>
    <row r="41" customFormat="false" ht="12.75" hidden="false" customHeight="false" outlineLevel="0" collapsed="false">
      <c r="I41" s="430"/>
      <c r="J41" s="430"/>
      <c r="K41" s="414"/>
      <c r="L41" s="268"/>
      <c r="M41" s="428"/>
    </row>
    <row r="42" customFormat="false" ht="12.75" hidden="false" customHeight="false" outlineLevel="0" collapsed="false">
      <c r="I42" s="430"/>
      <c r="J42" s="430"/>
      <c r="K42" s="414"/>
      <c r="L42" s="268"/>
      <c r="M42" s="428"/>
    </row>
    <row r="43" customFormat="false" ht="12.75" hidden="false" customHeight="false" outlineLevel="0" collapsed="false">
      <c r="I43" s="430"/>
      <c r="J43" s="430"/>
      <c r="K43" s="414"/>
      <c r="L43" s="268"/>
      <c r="M43" s="428"/>
    </row>
    <row r="44" customFormat="false" ht="12.75" hidden="false" customHeight="false" outlineLevel="0" collapsed="false">
      <c r="A44" s="344"/>
      <c r="D44" s="344"/>
      <c r="F44" s="414"/>
      <c r="G44" s="430"/>
      <c r="H44" s="497"/>
      <c r="I44" s="430"/>
      <c r="J44" s="430"/>
      <c r="K44" s="414"/>
      <c r="L44" s="340"/>
      <c r="N44" s="498"/>
    </row>
    <row r="45" customFormat="false" ht="12.75" hidden="false" customHeight="false" outlineLevel="0" collapsed="false">
      <c r="A45" s="344"/>
      <c r="D45" s="344"/>
      <c r="F45" s="414"/>
      <c r="G45" s="430"/>
      <c r="H45" s="497"/>
      <c r="I45" s="430"/>
      <c r="J45" s="430"/>
      <c r="K45" s="414"/>
      <c r="L45" s="340"/>
    </row>
    <row r="46" customFormat="false" ht="12.75" hidden="false" customHeight="false" outlineLevel="0" collapsed="false">
      <c r="A46" s="344"/>
      <c r="D46" s="344"/>
      <c r="F46" s="414"/>
      <c r="G46" s="430"/>
      <c r="H46" s="497"/>
      <c r="I46" s="430"/>
      <c r="J46" s="430"/>
      <c r="K46" s="414"/>
      <c r="L46" s="340"/>
      <c r="N46" s="498"/>
    </row>
    <row r="47" customFormat="false" ht="12.75" hidden="false" customHeight="false" outlineLevel="0" collapsed="false">
      <c r="A47" s="344"/>
      <c r="D47" s="344"/>
      <c r="F47" s="414"/>
      <c r="G47" s="430"/>
      <c r="H47" s="497"/>
      <c r="I47" s="430"/>
      <c r="J47" s="430"/>
      <c r="K47" s="414"/>
      <c r="L47" s="340"/>
      <c r="N47" s="414"/>
    </row>
    <row r="48" customFormat="false" ht="12.75" hidden="false" customHeight="false" outlineLevel="0" collapsed="false">
      <c r="A48" s="344"/>
      <c r="D48" s="344"/>
      <c r="F48" s="414"/>
      <c r="G48" s="430"/>
      <c r="H48" s="497"/>
      <c r="I48" s="430"/>
      <c r="J48" s="430"/>
      <c r="K48" s="414"/>
      <c r="L48" s="340"/>
    </row>
    <row r="49" customFormat="false" ht="12.75" hidden="false" customHeight="false" outlineLevel="0" collapsed="false">
      <c r="A49" s="344"/>
      <c r="D49" s="344"/>
      <c r="F49" s="414"/>
      <c r="G49" s="430"/>
      <c r="H49" s="497"/>
      <c r="I49" s="430"/>
      <c r="J49" s="430"/>
      <c r="K49" s="414"/>
      <c r="L49" s="340"/>
    </row>
    <row r="50" customFormat="false" ht="12.75" hidden="false" customHeight="false" outlineLevel="0" collapsed="false">
      <c r="A50" s="344"/>
      <c r="D50" s="344"/>
      <c r="F50" s="414"/>
      <c r="G50" s="430"/>
      <c r="H50" s="497"/>
      <c r="I50" s="430"/>
      <c r="J50" s="430"/>
      <c r="K50" s="414"/>
      <c r="L50" s="340"/>
    </row>
    <row r="51" customFormat="false" ht="12.75" hidden="false" customHeight="false" outlineLevel="0" collapsed="false">
      <c r="A51" s="344"/>
      <c r="D51" s="344"/>
      <c r="F51" s="414"/>
      <c r="G51" s="430"/>
      <c r="H51" s="497"/>
      <c r="I51" s="430"/>
      <c r="J51" s="430"/>
      <c r="K51" s="414"/>
      <c r="L51" s="340"/>
    </row>
    <row r="52" customFormat="false" ht="12.75" hidden="false" customHeight="false" outlineLevel="0" collapsed="false">
      <c r="A52" s="344"/>
      <c r="D52" s="344"/>
      <c r="F52" s="414"/>
      <c r="G52" s="430"/>
      <c r="H52" s="497"/>
      <c r="I52" s="430"/>
      <c r="J52" s="430"/>
      <c r="K52" s="414"/>
      <c r="L52" s="340"/>
    </row>
    <row r="53" customFormat="false" ht="12.75" hidden="false" customHeight="false" outlineLevel="0" collapsed="false">
      <c r="A53" s="344"/>
      <c r="D53" s="344"/>
      <c r="F53" s="414"/>
      <c r="G53" s="430"/>
      <c r="H53" s="497"/>
      <c r="I53" s="430"/>
      <c r="J53" s="430"/>
      <c r="K53" s="414"/>
      <c r="L53" s="340"/>
    </row>
    <row r="54" customFormat="false" ht="12.75" hidden="false" customHeight="false" outlineLevel="0" collapsed="false">
      <c r="A54" s="344"/>
      <c r="D54" s="344"/>
      <c r="F54" s="414"/>
      <c r="G54" s="430"/>
      <c r="H54" s="497"/>
      <c r="I54" s="430"/>
      <c r="J54" s="430"/>
      <c r="K54" s="414"/>
      <c r="L54" s="340"/>
      <c r="N54" s="344"/>
    </row>
    <row r="55" customFormat="false" ht="12.75" hidden="false" customHeight="false" outlineLevel="0" collapsed="false">
      <c r="A55" s="344"/>
      <c r="D55" s="344"/>
      <c r="F55" s="414"/>
      <c r="G55" s="430"/>
      <c r="H55" s="497"/>
      <c r="I55" s="430"/>
      <c r="J55" s="430"/>
      <c r="K55" s="414"/>
      <c r="L55" s="340"/>
      <c r="N55" s="344"/>
    </row>
    <row r="56" customFormat="false" ht="12.75" hidden="false" customHeight="false" outlineLevel="0" collapsed="false">
      <c r="A56" s="344"/>
      <c r="D56" s="344"/>
      <c r="F56" s="414"/>
      <c r="G56" s="430"/>
      <c r="H56" s="497"/>
      <c r="I56" s="430"/>
      <c r="J56" s="430"/>
      <c r="K56" s="414"/>
      <c r="L56" s="340"/>
      <c r="N56" s="344"/>
    </row>
    <row r="57" customFormat="false" ht="12.75" hidden="false" customHeight="false" outlineLevel="0" collapsed="false">
      <c r="A57" s="344"/>
      <c r="D57" s="344"/>
      <c r="F57" s="414"/>
      <c r="G57" s="430"/>
      <c r="H57" s="497"/>
      <c r="I57" s="430"/>
      <c r="J57" s="430"/>
      <c r="K57" s="414"/>
      <c r="L57" s="340"/>
    </row>
    <row r="58" customFormat="false" ht="12.75" hidden="false" customHeight="false" outlineLevel="0" collapsed="false">
      <c r="A58" s="344"/>
      <c r="D58" s="344"/>
      <c r="F58" s="414"/>
      <c r="G58" s="430"/>
      <c r="H58" s="497"/>
      <c r="I58" s="430"/>
      <c r="J58" s="430"/>
      <c r="K58" s="414"/>
      <c r="L58" s="340"/>
    </row>
    <row r="59" customFormat="false" ht="12.75" hidden="false" customHeight="false" outlineLevel="0" collapsed="false">
      <c r="A59" s="344"/>
      <c r="D59" s="344"/>
      <c r="F59" s="414"/>
      <c r="G59" s="430"/>
      <c r="H59" s="497"/>
      <c r="I59" s="430"/>
      <c r="J59" s="430"/>
      <c r="K59" s="414"/>
      <c r="L59" s="340"/>
    </row>
    <row r="60" customFormat="false" ht="12.75" hidden="false" customHeight="false" outlineLevel="0" collapsed="false">
      <c r="A60" s="344"/>
      <c r="D60" s="344"/>
      <c r="F60" s="414"/>
      <c r="G60" s="430"/>
      <c r="H60" s="497"/>
      <c r="I60" s="430"/>
      <c r="J60" s="430"/>
      <c r="K60" s="414"/>
      <c r="L60" s="340"/>
    </row>
    <row r="61" customFormat="false" ht="12.75" hidden="false" customHeight="false" outlineLevel="0" collapsed="false">
      <c r="A61" s="344"/>
      <c r="D61" s="344"/>
      <c r="F61" s="414"/>
      <c r="G61" s="430"/>
      <c r="H61" s="497"/>
      <c r="I61" s="430"/>
      <c r="J61" s="430"/>
      <c r="K61" s="414"/>
      <c r="L61" s="340"/>
    </row>
    <row r="62" customFormat="false" ht="12.75" hidden="false" customHeight="false" outlineLevel="0" collapsed="false">
      <c r="A62" s="344"/>
      <c r="D62" s="344"/>
      <c r="F62" s="414"/>
      <c r="G62" s="430"/>
      <c r="H62" s="497"/>
      <c r="I62" s="430"/>
      <c r="J62" s="430"/>
      <c r="K62" s="414"/>
      <c r="L62" s="340"/>
    </row>
    <row r="63" customFormat="false" ht="12.75" hidden="false" customHeight="false" outlineLevel="0" collapsed="false">
      <c r="A63" s="344"/>
      <c r="D63" s="344"/>
      <c r="F63" s="414"/>
      <c r="G63" s="430"/>
      <c r="H63" s="497"/>
      <c r="I63" s="430"/>
      <c r="J63" s="430"/>
      <c r="K63" s="414"/>
      <c r="L63" s="340"/>
    </row>
    <row r="64" customFormat="false" ht="12.75" hidden="false" customHeight="false" outlineLevel="0" collapsed="false">
      <c r="A64" s="344"/>
      <c r="D64" s="344"/>
      <c r="F64" s="414"/>
      <c r="G64" s="430"/>
      <c r="H64" s="497"/>
      <c r="I64" s="430"/>
      <c r="J64" s="430"/>
      <c r="K64" s="414"/>
      <c r="L64" s="340"/>
    </row>
    <row r="65" customFormat="false" ht="12.75" hidden="false" customHeight="false" outlineLevel="0" collapsed="false">
      <c r="A65" s="344"/>
      <c r="D65" s="344"/>
      <c r="F65" s="414"/>
      <c r="G65" s="430"/>
      <c r="H65" s="497"/>
      <c r="I65" s="430"/>
      <c r="J65" s="430"/>
      <c r="K65" s="414"/>
      <c r="L65" s="340"/>
    </row>
    <row r="66" customFormat="false" ht="12.75" hidden="false" customHeight="false" outlineLevel="0" collapsed="false">
      <c r="A66" s="344"/>
      <c r="D66" s="344"/>
      <c r="F66" s="414"/>
      <c r="G66" s="430"/>
      <c r="H66" s="497"/>
      <c r="I66" s="430"/>
      <c r="J66" s="430"/>
      <c r="K66" s="414"/>
      <c r="L66" s="340"/>
      <c r="N66" s="344"/>
    </row>
    <row r="67" customFormat="false" ht="12.75" hidden="false" customHeight="false" outlineLevel="0" collapsed="false">
      <c r="A67" s="344"/>
      <c r="D67" s="344"/>
      <c r="F67" s="414"/>
      <c r="G67" s="430"/>
      <c r="H67" s="497"/>
      <c r="I67" s="430"/>
      <c r="J67" s="430"/>
      <c r="K67" s="414"/>
      <c r="L67" s="340"/>
      <c r="N67" s="344"/>
    </row>
    <row r="68" customFormat="false" ht="12.75" hidden="false" customHeight="false" outlineLevel="0" collapsed="false">
      <c r="A68" s="344"/>
      <c r="D68" s="344"/>
      <c r="F68" s="414"/>
      <c r="G68" s="430"/>
      <c r="H68" s="497"/>
      <c r="I68" s="430"/>
      <c r="J68" s="430"/>
      <c r="K68" s="414"/>
      <c r="L68" s="340"/>
      <c r="N68" s="344"/>
    </row>
    <row r="69" customFormat="false" ht="12.75" hidden="false" customHeight="false" outlineLevel="0" collapsed="false">
      <c r="A69" s="344"/>
      <c r="D69" s="344"/>
      <c r="F69" s="414"/>
      <c r="G69" s="430"/>
      <c r="H69" s="497"/>
      <c r="I69" s="430"/>
      <c r="J69" s="430"/>
      <c r="K69" s="414"/>
      <c r="L69" s="340"/>
    </row>
    <row r="70" customFormat="false" ht="12.75" hidden="false" customHeight="false" outlineLevel="0" collapsed="false">
      <c r="A70" s="344"/>
      <c r="D70" s="344"/>
      <c r="F70" s="414"/>
      <c r="G70" s="430"/>
      <c r="H70" s="497"/>
      <c r="I70" s="430"/>
      <c r="J70" s="430"/>
      <c r="K70" s="414"/>
      <c r="L70" s="340"/>
    </row>
    <row r="71" customFormat="false" ht="12.75" hidden="false" customHeight="false" outlineLevel="0" collapsed="false">
      <c r="A71" s="344"/>
      <c r="D71" s="344"/>
      <c r="F71" s="414"/>
      <c r="G71" s="430"/>
      <c r="H71" s="497"/>
      <c r="I71" s="430"/>
      <c r="J71" s="430"/>
      <c r="K71" s="414"/>
      <c r="L71" s="340"/>
    </row>
    <row r="72" customFormat="false" ht="12.75" hidden="false" customHeight="false" outlineLevel="0" collapsed="false">
      <c r="A72" s="344"/>
      <c r="D72" s="344"/>
      <c r="F72" s="414"/>
      <c r="G72" s="430"/>
      <c r="H72" s="497"/>
      <c r="I72" s="430"/>
      <c r="J72" s="430"/>
      <c r="K72" s="414"/>
      <c r="L72" s="340"/>
    </row>
    <row r="73" customFormat="false" ht="12.75" hidden="false" customHeight="false" outlineLevel="0" collapsed="false">
      <c r="A73" s="344"/>
      <c r="D73" s="344"/>
      <c r="F73" s="414"/>
      <c r="G73" s="430"/>
      <c r="H73" s="497"/>
      <c r="I73" s="430"/>
      <c r="J73" s="430"/>
      <c r="K73" s="414"/>
      <c r="L73" s="340"/>
    </row>
    <row r="74" customFormat="false" ht="12.75" hidden="false" customHeight="false" outlineLevel="0" collapsed="false">
      <c r="A74" s="344"/>
      <c r="D74" s="344"/>
      <c r="F74" s="414"/>
      <c r="G74" s="430"/>
      <c r="H74" s="497"/>
      <c r="I74" s="430"/>
      <c r="J74" s="430"/>
      <c r="K74" s="414"/>
      <c r="L74" s="340"/>
    </row>
    <row r="75" customFormat="false" ht="12.75" hidden="false" customHeight="false" outlineLevel="0" collapsed="false">
      <c r="A75" s="344"/>
      <c r="D75" s="344"/>
      <c r="F75" s="414"/>
      <c r="G75" s="430"/>
      <c r="H75" s="497"/>
      <c r="I75" s="430"/>
      <c r="J75" s="430"/>
      <c r="K75" s="414"/>
      <c r="L75" s="340"/>
    </row>
    <row r="76" customFormat="false" ht="12.75" hidden="false" customHeight="false" outlineLevel="0" collapsed="false">
      <c r="A76" s="344"/>
      <c r="D76" s="344"/>
      <c r="F76" s="414"/>
      <c r="G76" s="430"/>
      <c r="H76" s="497"/>
      <c r="I76" s="430"/>
      <c r="J76" s="430"/>
      <c r="K76" s="414"/>
      <c r="L76" s="340"/>
    </row>
    <row r="77" customFormat="false" ht="12.75" hidden="false" customHeight="false" outlineLevel="0" collapsed="false">
      <c r="A77" s="344"/>
      <c r="D77" s="344"/>
      <c r="F77" s="414"/>
      <c r="G77" s="430"/>
      <c r="H77" s="497"/>
      <c r="I77" s="430"/>
      <c r="J77" s="430"/>
      <c r="K77" s="414"/>
      <c r="L77" s="340"/>
    </row>
    <row r="78" customFormat="false" ht="12.75" hidden="false" customHeight="false" outlineLevel="0" collapsed="false">
      <c r="A78" s="344"/>
      <c r="D78" s="344"/>
      <c r="F78" s="414"/>
      <c r="G78" s="430"/>
      <c r="H78" s="497"/>
      <c r="I78" s="430"/>
      <c r="J78" s="430"/>
      <c r="K78" s="414"/>
      <c r="L78" s="340"/>
    </row>
    <row r="79" customFormat="false" ht="12.75" hidden="false" customHeight="false" outlineLevel="0" collapsed="false">
      <c r="A79" s="344"/>
      <c r="D79" s="344"/>
      <c r="F79" s="414"/>
      <c r="G79" s="430"/>
      <c r="H79" s="497"/>
      <c r="I79" s="430"/>
      <c r="J79" s="430"/>
      <c r="K79" s="414"/>
      <c r="L79" s="340"/>
    </row>
    <row r="80" customFormat="false" ht="12.75" hidden="false" customHeight="false" outlineLevel="0" collapsed="false">
      <c r="A80" s="344"/>
      <c r="D80" s="344"/>
      <c r="F80" s="414"/>
      <c r="G80" s="430"/>
      <c r="H80" s="497"/>
      <c r="I80" s="430"/>
      <c r="J80" s="430"/>
      <c r="K80" s="414"/>
      <c r="L80" s="340"/>
    </row>
    <row r="81" customFormat="false" ht="12.75" hidden="false" customHeight="false" outlineLevel="0" collapsed="false">
      <c r="A81" s="344"/>
      <c r="D81" s="344"/>
      <c r="F81" s="414"/>
      <c r="G81" s="430"/>
      <c r="H81" s="497"/>
      <c r="I81" s="430"/>
      <c r="J81" s="430"/>
      <c r="K81" s="414"/>
      <c r="L81" s="340"/>
    </row>
    <row r="82" customFormat="false" ht="12.75" hidden="false" customHeight="false" outlineLevel="0" collapsed="false">
      <c r="A82" s="344"/>
      <c r="D82" s="344"/>
      <c r="F82" s="414"/>
      <c r="G82" s="430"/>
      <c r="H82" s="497"/>
      <c r="I82" s="430"/>
      <c r="J82" s="430"/>
      <c r="K82" s="414"/>
      <c r="L82" s="340"/>
    </row>
    <row r="83" customFormat="false" ht="12.75" hidden="false" customHeight="false" outlineLevel="0" collapsed="false">
      <c r="A83" s="344"/>
      <c r="D83" s="344"/>
      <c r="F83" s="414"/>
      <c r="G83" s="430"/>
      <c r="H83" s="497"/>
      <c r="I83" s="430"/>
      <c r="J83" s="430"/>
      <c r="K83" s="414"/>
      <c r="L83" s="340"/>
    </row>
    <row r="84" customFormat="false" ht="12.75" hidden="false" customHeight="false" outlineLevel="0" collapsed="false">
      <c r="A84" s="344"/>
      <c r="D84" s="344"/>
      <c r="F84" s="414"/>
      <c r="G84" s="430"/>
      <c r="H84" s="497"/>
      <c r="I84" s="430"/>
      <c r="J84" s="430"/>
      <c r="K84" s="414"/>
      <c r="L84" s="340"/>
    </row>
    <row r="85" customFormat="false" ht="12.75" hidden="false" customHeight="false" outlineLevel="0" collapsed="false">
      <c r="A85" s="344"/>
      <c r="D85" s="344"/>
      <c r="F85" s="414"/>
      <c r="G85" s="430"/>
      <c r="H85" s="497"/>
      <c r="I85" s="430"/>
      <c r="J85" s="430"/>
      <c r="K85" s="414"/>
      <c r="L85" s="340"/>
    </row>
    <row r="86" customFormat="false" ht="12.75" hidden="false" customHeight="false" outlineLevel="0" collapsed="false">
      <c r="A86" s="344"/>
      <c r="D86" s="344"/>
      <c r="F86" s="414"/>
      <c r="G86" s="430"/>
      <c r="H86" s="497"/>
      <c r="I86" s="430"/>
      <c r="J86" s="430"/>
      <c r="K86" s="414"/>
      <c r="L86" s="340"/>
    </row>
    <row r="87" customFormat="false" ht="12.75" hidden="false" customHeight="false" outlineLevel="0" collapsed="false">
      <c r="A87" s="344"/>
      <c r="D87" s="344"/>
      <c r="F87" s="414"/>
      <c r="G87" s="430"/>
      <c r="H87" s="497"/>
      <c r="I87" s="430"/>
      <c r="J87" s="430"/>
      <c r="K87" s="414"/>
      <c r="L87" s="340"/>
    </row>
    <row r="88" customFormat="false" ht="12.75" hidden="false" customHeight="false" outlineLevel="0" collapsed="false">
      <c r="A88" s="344"/>
      <c r="D88" s="344"/>
      <c r="F88" s="414"/>
      <c r="G88" s="430"/>
      <c r="H88" s="497"/>
      <c r="I88" s="430"/>
      <c r="J88" s="430"/>
      <c r="K88" s="414"/>
      <c r="L88" s="340"/>
    </row>
    <row r="89" customFormat="false" ht="12.75" hidden="false" customHeight="false" outlineLevel="0" collapsed="false">
      <c r="A89" s="344"/>
      <c r="D89" s="344"/>
      <c r="F89" s="414"/>
      <c r="G89" s="430"/>
      <c r="H89" s="497"/>
      <c r="I89" s="430"/>
      <c r="J89" s="430"/>
      <c r="K89" s="414"/>
      <c r="L89" s="340"/>
    </row>
    <row r="90" customFormat="false" ht="12.75" hidden="false" customHeight="false" outlineLevel="0" collapsed="false">
      <c r="A90" s="344"/>
      <c r="D90" s="344"/>
      <c r="F90" s="414"/>
      <c r="G90" s="430"/>
      <c r="H90" s="497"/>
      <c r="I90" s="430"/>
      <c r="J90" s="430"/>
      <c r="K90" s="414"/>
      <c r="L90" s="340"/>
    </row>
    <row r="91" customFormat="false" ht="12.75" hidden="false" customHeight="false" outlineLevel="0" collapsed="false">
      <c r="A91" s="344"/>
      <c r="D91" s="344"/>
      <c r="F91" s="414"/>
      <c r="G91" s="430"/>
      <c r="H91" s="497"/>
      <c r="I91" s="430"/>
      <c r="J91" s="430"/>
      <c r="K91" s="414"/>
      <c r="L91" s="340"/>
    </row>
    <row r="92" customFormat="false" ht="12.75" hidden="false" customHeight="false" outlineLevel="0" collapsed="false">
      <c r="A92" s="344"/>
      <c r="D92" s="344"/>
      <c r="F92" s="414"/>
      <c r="G92" s="430"/>
      <c r="H92" s="497"/>
      <c r="I92" s="430"/>
      <c r="J92" s="430"/>
      <c r="K92" s="414"/>
      <c r="L92" s="340"/>
    </row>
    <row r="93" customFormat="false" ht="12.75" hidden="false" customHeight="false" outlineLevel="0" collapsed="false">
      <c r="A93" s="344"/>
      <c r="D93" s="344"/>
      <c r="F93" s="414"/>
      <c r="G93" s="430"/>
      <c r="H93" s="497"/>
      <c r="I93" s="430"/>
      <c r="J93" s="430"/>
      <c r="K93" s="414"/>
      <c r="L93" s="340"/>
    </row>
    <row r="94" customFormat="false" ht="12.75" hidden="false" customHeight="false" outlineLevel="0" collapsed="false">
      <c r="A94" s="344"/>
      <c r="D94" s="344"/>
      <c r="F94" s="414"/>
      <c r="G94" s="430"/>
      <c r="H94" s="497"/>
      <c r="I94" s="430"/>
      <c r="J94" s="430"/>
      <c r="K94" s="414"/>
      <c r="L94" s="340"/>
    </row>
    <row r="95" customFormat="false" ht="12.75" hidden="false" customHeight="false" outlineLevel="0" collapsed="false">
      <c r="A95" s="344"/>
      <c r="D95" s="344"/>
      <c r="F95" s="414"/>
      <c r="G95" s="430"/>
      <c r="H95" s="497"/>
      <c r="I95" s="430"/>
      <c r="J95" s="430"/>
      <c r="K95" s="414"/>
      <c r="L95" s="340"/>
    </row>
    <row r="96" customFormat="false" ht="12.75" hidden="false" customHeight="false" outlineLevel="0" collapsed="false">
      <c r="A96" s="344"/>
      <c r="D96" s="344"/>
      <c r="F96" s="414"/>
      <c r="G96" s="430"/>
      <c r="H96" s="497"/>
      <c r="I96" s="430"/>
      <c r="J96" s="430"/>
      <c r="K96" s="414"/>
      <c r="L96" s="340"/>
    </row>
    <row r="97" customFormat="false" ht="12.75" hidden="false" customHeight="false" outlineLevel="0" collapsed="false">
      <c r="A97" s="344"/>
      <c r="D97" s="344"/>
      <c r="F97" s="414"/>
      <c r="G97" s="430"/>
      <c r="H97" s="497"/>
      <c r="I97" s="430"/>
      <c r="J97" s="430"/>
      <c r="K97" s="414"/>
      <c r="L97" s="340"/>
    </row>
    <row r="98" customFormat="false" ht="12.75" hidden="false" customHeight="false" outlineLevel="0" collapsed="false">
      <c r="A98" s="344"/>
      <c r="D98" s="344"/>
      <c r="F98" s="414"/>
      <c r="G98" s="430"/>
      <c r="H98" s="497"/>
      <c r="I98" s="430"/>
      <c r="J98" s="430"/>
      <c r="K98" s="414"/>
      <c r="L98" s="340"/>
    </row>
    <row r="99" customFormat="false" ht="12.75" hidden="false" customHeight="false" outlineLevel="0" collapsed="false">
      <c r="A99" s="344"/>
      <c r="D99" s="344"/>
      <c r="F99" s="414"/>
      <c r="G99" s="430"/>
      <c r="H99" s="497"/>
      <c r="I99" s="430"/>
      <c r="J99" s="430"/>
      <c r="K99" s="414"/>
      <c r="L99" s="340"/>
    </row>
    <row r="100" customFormat="false" ht="12.75" hidden="false" customHeight="false" outlineLevel="0" collapsed="false">
      <c r="A100" s="344"/>
      <c r="D100" s="344"/>
      <c r="F100" s="414"/>
      <c r="G100" s="430"/>
      <c r="H100" s="497"/>
      <c r="I100" s="430"/>
      <c r="J100" s="430"/>
      <c r="K100" s="414"/>
      <c r="L100" s="340"/>
      <c r="N100" s="414"/>
      <c r="O100" s="28"/>
    </row>
    <row r="101" customFormat="false" ht="12.75" hidden="false" customHeight="false" outlineLevel="0" collapsed="false">
      <c r="A101" s="344"/>
      <c r="D101" s="344"/>
      <c r="F101" s="414"/>
      <c r="G101" s="430"/>
      <c r="H101" s="497"/>
      <c r="I101" s="430"/>
      <c r="J101" s="430"/>
      <c r="K101" s="414"/>
      <c r="L101" s="340"/>
    </row>
    <row r="102" customFormat="false" ht="12.75" hidden="false" customHeight="false" outlineLevel="0" collapsed="false">
      <c r="A102" s="344"/>
      <c r="D102" s="344"/>
      <c r="F102" s="414"/>
      <c r="G102" s="430"/>
      <c r="H102" s="497"/>
      <c r="I102" s="430"/>
      <c r="J102" s="430"/>
      <c r="K102" s="414"/>
      <c r="L102" s="340"/>
    </row>
    <row r="103" customFormat="false" ht="12.75" hidden="false" customHeight="false" outlineLevel="0" collapsed="false">
      <c r="A103" s="344"/>
      <c r="D103" s="344"/>
      <c r="F103" s="414"/>
      <c r="G103" s="430"/>
      <c r="H103" s="497"/>
      <c r="I103" s="430"/>
      <c r="J103" s="430"/>
      <c r="K103" s="414"/>
      <c r="L103" s="340"/>
    </row>
    <row r="104" customFormat="false" ht="12.75" hidden="false" customHeight="false" outlineLevel="0" collapsed="false">
      <c r="A104" s="344"/>
      <c r="D104" s="344"/>
      <c r="F104" s="414"/>
      <c r="G104" s="430"/>
      <c r="H104" s="497"/>
      <c r="I104" s="430"/>
      <c r="J104" s="430"/>
      <c r="K104" s="414"/>
      <c r="L104" s="340"/>
    </row>
    <row r="105" customFormat="false" ht="12.75" hidden="false" customHeight="false" outlineLevel="0" collapsed="false">
      <c r="A105" s="344"/>
      <c r="D105" s="344"/>
      <c r="F105" s="414"/>
      <c r="G105" s="430"/>
      <c r="H105" s="497"/>
      <c r="I105" s="430"/>
      <c r="J105" s="430"/>
      <c r="K105" s="414"/>
      <c r="L105" s="340"/>
    </row>
    <row r="106" customFormat="false" ht="12.75" hidden="false" customHeight="false" outlineLevel="0" collapsed="false">
      <c r="A106" s="344"/>
      <c r="D106" s="344"/>
      <c r="F106" s="414"/>
      <c r="G106" s="430"/>
      <c r="H106" s="497"/>
      <c r="I106" s="430"/>
      <c r="J106" s="430"/>
      <c r="K106" s="414"/>
      <c r="L106" s="340"/>
    </row>
    <row r="107" customFormat="false" ht="12.75" hidden="false" customHeight="false" outlineLevel="0" collapsed="false">
      <c r="A107" s="344"/>
      <c r="D107" s="344"/>
      <c r="F107" s="414"/>
      <c r="G107" s="497"/>
      <c r="H107" s="497"/>
      <c r="I107" s="430"/>
      <c r="J107" s="430"/>
      <c r="K107" s="414"/>
      <c r="L107" s="340"/>
    </row>
    <row r="108" customFormat="false" ht="12.75" hidden="false" customHeight="false" outlineLevel="0" collapsed="false">
      <c r="A108" s="344"/>
      <c r="D108" s="344"/>
      <c r="F108" s="414"/>
      <c r="G108" s="497"/>
      <c r="H108" s="497"/>
      <c r="I108" s="430"/>
      <c r="J108" s="430"/>
      <c r="K108" s="414"/>
      <c r="L108" s="340"/>
    </row>
    <row r="109" customFormat="false" ht="12.75" hidden="false" customHeight="false" outlineLevel="0" collapsed="false">
      <c r="A109" s="344"/>
      <c r="D109" s="344"/>
      <c r="F109" s="414"/>
      <c r="G109" s="497"/>
      <c r="H109" s="497"/>
      <c r="I109" s="430"/>
      <c r="J109" s="430"/>
      <c r="K109" s="414"/>
      <c r="L109" s="340"/>
    </row>
    <row r="110" customFormat="false" ht="12.75" hidden="false" customHeight="false" outlineLevel="0" collapsed="false">
      <c r="A110" s="344"/>
      <c r="D110" s="344"/>
      <c r="F110" s="414"/>
      <c r="G110" s="497"/>
      <c r="H110" s="497"/>
      <c r="I110" s="430"/>
      <c r="J110" s="430"/>
      <c r="K110" s="414"/>
      <c r="L110" s="340"/>
    </row>
    <row r="112" customFormat="false" ht="12.75" hidden="false" customHeight="false" outlineLevel="0" collapsed="false">
      <c r="J112" s="455" t="s">
        <v>318</v>
      </c>
      <c r="K112" s="499" t="n">
        <f aca="false">SUM(K2:K111)</f>
        <v>69.2393649999997</v>
      </c>
      <c r="L112" s="49"/>
    </row>
    <row r="113" customFormat="false" ht="12.75" hidden="false" customHeight="false" outlineLevel="0" collapsed="false">
      <c r="J113" s="455" t="s">
        <v>10</v>
      </c>
      <c r="K113" s="438" t="n">
        <f aca="false">cartera!K150</f>
        <v>65103.6679999973</v>
      </c>
      <c r="L113" s="49"/>
    </row>
    <row r="114" customFormat="false" ht="12.75" hidden="false" customHeight="false" outlineLevel="0" collapsed="false">
      <c r="K114" s="455"/>
    </row>
    <row r="115" customFormat="false" ht="12.75" hidden="false" customHeight="false" outlineLevel="0" collapsed="false">
      <c r="J115" s="455" t="s">
        <v>640</v>
      </c>
      <c r="K115" s="499" t="n">
        <f aca="false">SUM(K112:K114)</f>
        <v>65172.9073649973</v>
      </c>
      <c r="L115" s="455"/>
    </row>
    <row r="123" customFormat="false" ht="12.75" hidden="false" customHeight="false" outlineLevel="0" collapsed="false">
      <c r="A123" s="500" t="s">
        <v>641</v>
      </c>
      <c r="B123" s="500"/>
      <c r="C123" s="500"/>
      <c r="D123" s="500"/>
      <c r="E123" s="500"/>
      <c r="F123" s="500"/>
      <c r="G123" s="500"/>
      <c r="H123" s="500"/>
      <c r="I123" s="500"/>
      <c r="J123" s="500"/>
      <c r="K123" s="500"/>
      <c r="L123" s="500"/>
      <c r="M123" s="500"/>
    </row>
    <row r="125" customFormat="false" ht="12.75" hidden="false" customHeight="false" outlineLevel="0" collapsed="false">
      <c r="A125" s="388" t="s">
        <v>329</v>
      </c>
      <c r="B125" s="495" t="s">
        <v>25</v>
      </c>
      <c r="C125" s="388" t="s">
        <v>504</v>
      </c>
      <c r="D125" s="388" t="s">
        <v>523</v>
      </c>
      <c r="E125" s="388"/>
      <c r="F125" s="388" t="s">
        <v>505</v>
      </c>
      <c r="G125" s="388" t="s">
        <v>335</v>
      </c>
      <c r="H125" s="388"/>
      <c r="I125" s="388" t="s">
        <v>650</v>
      </c>
      <c r="J125" s="388" t="s">
        <v>129</v>
      </c>
      <c r="K125" s="388" t="s">
        <v>651</v>
      </c>
      <c r="L125" s="388" t="s">
        <v>525</v>
      </c>
      <c r="M125" s="495" t="s">
        <v>158</v>
      </c>
    </row>
    <row r="126" customFormat="false" ht="12.75" hidden="false" customHeight="false" outlineLevel="0" collapsed="false">
      <c r="A126" s="344"/>
      <c r="D126" s="344"/>
      <c r="F126" s="414"/>
      <c r="G126" s="497"/>
      <c r="H126" s="497"/>
      <c r="I126" s="497"/>
      <c r="J126" s="430"/>
      <c r="K126" s="414"/>
      <c r="L126" s="340"/>
    </row>
    <row r="127" customFormat="false" ht="12.75" hidden="false" customHeight="false" outlineLevel="0" collapsed="false">
      <c r="A127" s="344"/>
      <c r="D127" s="344"/>
      <c r="F127" s="414"/>
      <c r="G127" s="497"/>
      <c r="H127" s="497"/>
      <c r="I127" s="497"/>
      <c r="J127" s="430"/>
      <c r="K127" s="414"/>
      <c r="L127" s="340"/>
    </row>
    <row r="128" customFormat="false" ht="12.75" hidden="false" customHeight="false" outlineLevel="0" collapsed="false">
      <c r="A128" s="344"/>
      <c r="D128" s="344"/>
      <c r="F128" s="414"/>
      <c r="G128" s="497"/>
      <c r="H128" s="497"/>
      <c r="I128" s="501"/>
      <c r="J128" s="430"/>
      <c r="K128" s="414"/>
      <c r="L128" s="502"/>
    </row>
    <row r="129" customFormat="false" ht="12.75" hidden="false" customHeight="false" outlineLevel="0" collapsed="false">
      <c r="A129" s="344"/>
      <c r="D129" s="344"/>
      <c r="F129" s="414"/>
      <c r="G129" s="497"/>
      <c r="H129" s="497"/>
      <c r="I129" s="501"/>
      <c r="J129" s="430"/>
      <c r="K129" s="414"/>
      <c r="L129" s="502"/>
    </row>
    <row r="130" customFormat="false" ht="12.75" hidden="false" customHeight="false" outlineLevel="0" collapsed="false">
      <c r="A130" s="344"/>
      <c r="D130" s="344"/>
      <c r="F130" s="414"/>
      <c r="G130" s="497"/>
      <c r="H130" s="497"/>
      <c r="I130" s="497"/>
      <c r="J130" s="430"/>
      <c r="K130" s="414"/>
      <c r="L130" s="502"/>
    </row>
    <row r="131" customFormat="false" ht="12.75" hidden="false" customHeight="false" outlineLevel="0" collapsed="false">
      <c r="A131" s="344"/>
      <c r="D131" s="344"/>
      <c r="F131" s="414"/>
      <c r="G131" s="430"/>
      <c r="H131" s="497"/>
      <c r="I131" s="430"/>
      <c r="J131" s="430"/>
      <c r="K131" s="414"/>
      <c r="L131" s="340"/>
    </row>
    <row r="132" customFormat="false" ht="12.75" hidden="false" customHeight="false" outlineLevel="0" collapsed="false">
      <c r="A132" s="344"/>
      <c r="D132" s="344"/>
      <c r="F132" s="414"/>
      <c r="G132" s="430"/>
      <c r="H132" s="497"/>
      <c r="I132" s="430"/>
      <c r="J132" s="438" t="s">
        <v>10</v>
      </c>
      <c r="K132" s="438" t="n">
        <f aca="false">SUM(K126:K131)</f>
        <v>0</v>
      </c>
      <c r="L132" s="340"/>
    </row>
    <row r="133" customFormat="false" ht="12.75" hidden="false" customHeight="false" outlineLevel="0" collapsed="false">
      <c r="A133" s="344"/>
      <c r="D133" s="344"/>
      <c r="F133" s="414"/>
      <c r="G133" s="430"/>
      <c r="H133" s="497"/>
      <c r="I133" s="430"/>
      <c r="J133" s="430"/>
      <c r="K133" s="414"/>
      <c r="L133" s="340"/>
    </row>
    <row r="134" customFormat="false" ht="12.75" hidden="false" customHeight="false" outlineLevel="0" collapsed="false">
      <c r="A134" s="344"/>
      <c r="D134" s="344"/>
      <c r="F134" s="414"/>
      <c r="G134" s="430"/>
      <c r="H134" s="497"/>
      <c r="I134" s="430"/>
      <c r="J134" s="430"/>
      <c r="K134" s="414"/>
      <c r="L134" s="340"/>
    </row>
    <row r="135" customFormat="false" ht="12.75" hidden="false" customHeight="false" outlineLevel="0" collapsed="false">
      <c r="A135" s="344"/>
      <c r="D135" s="344"/>
      <c r="F135" s="414"/>
      <c r="G135" s="430"/>
      <c r="H135" s="497"/>
      <c r="I135" s="430"/>
      <c r="J135" s="430"/>
      <c r="K135" s="414"/>
      <c r="L135" s="340"/>
    </row>
    <row r="136" customFormat="false" ht="12.75" hidden="false" customHeight="false" outlineLevel="0" collapsed="false">
      <c r="A136" s="344"/>
      <c r="D136" s="344"/>
      <c r="F136" s="414"/>
      <c r="G136" s="430"/>
      <c r="H136" s="497"/>
      <c r="I136" s="430"/>
      <c r="J136" s="430"/>
      <c r="K136" s="414"/>
      <c r="L136" s="340"/>
    </row>
    <row r="137" customFormat="false" ht="12.75" hidden="false" customHeight="false" outlineLevel="0" collapsed="false">
      <c r="A137" s="500" t="s">
        <v>529</v>
      </c>
      <c r="B137" s="500"/>
      <c r="C137" s="500"/>
      <c r="D137" s="500"/>
      <c r="E137" s="500"/>
      <c r="F137" s="500"/>
      <c r="G137" s="500"/>
      <c r="H137" s="500"/>
      <c r="I137" s="500"/>
      <c r="J137" s="500"/>
      <c r="K137" s="500"/>
      <c r="L137" s="500"/>
      <c r="M137" s="500"/>
    </row>
    <row r="138" customFormat="false" ht="12.75" hidden="false" customHeight="false" outlineLevel="0" collapsed="false">
      <c r="A138" s="344" t="s">
        <v>81</v>
      </c>
      <c r="B138" s="345" t="n">
        <v>46035</v>
      </c>
      <c r="C138" s="110" t="s">
        <v>56</v>
      </c>
      <c r="D138" s="344" t="s">
        <v>529</v>
      </c>
      <c r="F138" s="414" t="n">
        <v>-1400</v>
      </c>
      <c r="G138" s="430" t="n">
        <v>4627</v>
      </c>
      <c r="H138" s="497" t="n">
        <v>4608.755</v>
      </c>
      <c r="I138" s="430" t="n">
        <v>-14082.1739130435</v>
      </c>
      <c r="J138" s="430" t="n">
        <v>-14082.1739130435</v>
      </c>
      <c r="K138" s="414" t="n">
        <v>45.6124999999997</v>
      </c>
      <c r="L138" s="340" t="n">
        <v>-0.00394315971471794</v>
      </c>
      <c r="M138" s="345" t="n">
        <v>0</v>
      </c>
      <c r="N138" s="345" t="n">
        <v>46038</v>
      </c>
      <c r="O138" s="498"/>
    </row>
    <row r="139" customFormat="false" ht="12.75" hidden="false" customHeight="false" outlineLevel="0" collapsed="false">
      <c r="A139" s="344" t="s">
        <v>81</v>
      </c>
      <c r="B139" s="345" t="n">
        <v>46008</v>
      </c>
      <c r="C139" s="110" t="s">
        <v>56</v>
      </c>
      <c r="D139" s="344" t="s">
        <v>529</v>
      </c>
      <c r="F139" s="414" t="n">
        <v>1400</v>
      </c>
      <c r="G139" s="430" t="n">
        <v>4333.3</v>
      </c>
      <c r="H139" s="497" t="n">
        <v>4608.755</v>
      </c>
      <c r="I139" s="430" t="n">
        <v>13188.3043478261</v>
      </c>
      <c r="J139" s="430" t="n">
        <v>13188.3043478261</v>
      </c>
      <c r="K139" s="414" t="n">
        <v>688.6375</v>
      </c>
      <c r="L139" s="340" t="n">
        <v>0.0635670274386726</v>
      </c>
      <c r="M139" s="345" t="n">
        <v>0</v>
      </c>
      <c r="N139" s="345" t="n">
        <v>46038</v>
      </c>
      <c r="O139" s="498"/>
    </row>
    <row r="140" customFormat="false" ht="12.75" hidden="false" customHeight="false" outlineLevel="0" collapsed="false">
      <c r="A140" s="344" t="s">
        <v>81</v>
      </c>
      <c r="B140" s="345" t="n">
        <v>46035</v>
      </c>
      <c r="C140" s="110" t="s">
        <v>56</v>
      </c>
      <c r="D140" s="344" t="s">
        <v>529</v>
      </c>
      <c r="F140" s="414" t="n">
        <v>1400</v>
      </c>
      <c r="G140" s="430" t="n">
        <v>4634.54</v>
      </c>
      <c r="H140" s="497" t="n">
        <v>5280.325</v>
      </c>
      <c r="I140" s="430" t="n">
        <v>14105.1217391304</v>
      </c>
      <c r="J140" s="430" t="n">
        <v>14105.1217391304</v>
      </c>
      <c r="K140" s="414" t="n">
        <v>1614.4625</v>
      </c>
      <c r="L140" s="340" t="n">
        <v>0.139341768546609</v>
      </c>
      <c r="M140" s="345" t="n">
        <v>2</v>
      </c>
      <c r="N140" s="345" t="n">
        <v>46052</v>
      </c>
      <c r="O140" s="498"/>
    </row>
    <row r="141" customFormat="false" ht="12.75" hidden="false" customHeight="false" outlineLevel="0" collapsed="false">
      <c r="A141" s="344" t="s">
        <v>81</v>
      </c>
      <c r="B141" s="345" t="n">
        <v>46050</v>
      </c>
      <c r="C141" s="110" t="s">
        <v>56</v>
      </c>
      <c r="D141" s="344" t="s">
        <v>529</v>
      </c>
      <c r="F141" s="414" t="n">
        <v>-1400</v>
      </c>
      <c r="G141" s="430" t="n">
        <v>5275</v>
      </c>
      <c r="H141" s="497" t="n">
        <v>5280.325</v>
      </c>
      <c r="I141" s="430" t="n">
        <v>-16054.347826087</v>
      </c>
      <c r="J141" s="430" t="n">
        <v>-16054.347826087</v>
      </c>
      <c r="K141" s="414" t="n">
        <v>-13.3124999999995</v>
      </c>
      <c r="L141" s="340" t="n">
        <v>0.00100947867298575</v>
      </c>
      <c r="M141" s="345" t="n">
        <v>2</v>
      </c>
      <c r="N141" s="345" t="n">
        <v>46052</v>
      </c>
      <c r="O141" s="498"/>
    </row>
    <row r="142" customFormat="false" ht="12.75" hidden="false" customHeight="false" outlineLevel="0" collapsed="false">
      <c r="A142" s="344" t="s">
        <v>22</v>
      </c>
      <c r="B142" s="345" t="n">
        <v>46048</v>
      </c>
      <c r="C142" s="110" t="s">
        <v>521</v>
      </c>
      <c r="D142" s="344" t="s">
        <v>528</v>
      </c>
      <c r="F142" s="414" t="n">
        <v>3000</v>
      </c>
      <c r="G142" s="503" t="n">
        <v>110</v>
      </c>
      <c r="H142" s="497" t="n">
        <v>115.45755</v>
      </c>
      <c r="I142" s="430" t="n">
        <v>717.391304347826</v>
      </c>
      <c r="J142" s="430" t="n">
        <v>717.391304347826</v>
      </c>
      <c r="K142" s="414" t="n">
        <v>29.236875</v>
      </c>
      <c r="L142" s="340" t="n">
        <v>0.0496140909090909</v>
      </c>
      <c r="M142" s="345" t="n">
        <v>16</v>
      </c>
      <c r="N142" s="345" t="n">
        <v>46066</v>
      </c>
      <c r="O142" s="498"/>
    </row>
    <row r="143" customFormat="false" ht="12.75" hidden="false" customHeight="false" outlineLevel="0" collapsed="false">
      <c r="A143" s="344" t="s">
        <v>22</v>
      </c>
      <c r="B143" s="345" t="n">
        <v>46050</v>
      </c>
      <c r="C143" s="110" t="s">
        <v>521</v>
      </c>
      <c r="D143" s="344" t="s">
        <v>528</v>
      </c>
      <c r="F143" s="414" t="n">
        <v>-3000</v>
      </c>
      <c r="G143" s="503" t="n">
        <v>115.2</v>
      </c>
      <c r="H143" s="497" t="n">
        <v>115.45755</v>
      </c>
      <c r="I143" s="430" t="n">
        <v>-750</v>
      </c>
      <c r="J143" s="430" t="n">
        <v>-750</v>
      </c>
      <c r="K143" s="414" t="n">
        <v>-1.37973214285712</v>
      </c>
      <c r="L143" s="340" t="n">
        <v>0.00397869565217389</v>
      </c>
      <c r="M143" s="345" t="n">
        <v>16</v>
      </c>
      <c r="N143" s="345" t="n">
        <v>46066</v>
      </c>
      <c r="O143" s="498"/>
    </row>
    <row r="144" customFormat="false" ht="12.75" hidden="false" customHeight="false" outlineLevel="0" collapsed="false">
      <c r="A144" s="344" t="s">
        <v>81</v>
      </c>
      <c r="B144" s="428" t="n">
        <v>46050</v>
      </c>
      <c r="C144" s="344" t="s">
        <v>56</v>
      </c>
      <c r="D144" s="344" t="s">
        <v>529</v>
      </c>
      <c r="E144" s="344"/>
      <c r="F144" s="433" t="n">
        <v>700</v>
      </c>
      <c r="G144" s="433" t="n">
        <v>5291.5</v>
      </c>
      <c r="H144" s="433" t="n">
        <v>5297.00015</v>
      </c>
      <c r="I144" s="414" t="n">
        <v>8052.28260869565</v>
      </c>
      <c r="J144" s="414" t="n">
        <v>8052.28260869565</v>
      </c>
      <c r="K144" s="414" t="n">
        <v>6.87518749999981</v>
      </c>
      <c r="L144" s="268" t="n">
        <v>0.00103943116318621</v>
      </c>
      <c r="M144" s="344" t="n">
        <v>30</v>
      </c>
      <c r="N144" s="345" t="n">
        <v>46080</v>
      </c>
      <c r="O144" s="498"/>
    </row>
    <row r="145" customFormat="false" ht="12.75" hidden="false" customHeight="false" outlineLevel="0" collapsed="false">
      <c r="A145" s="344" t="s">
        <v>81</v>
      </c>
      <c r="B145" s="428" t="n">
        <v>46050</v>
      </c>
      <c r="C145" s="344" t="s">
        <v>56</v>
      </c>
      <c r="D145" s="344" t="s">
        <v>529</v>
      </c>
      <c r="E145" s="344"/>
      <c r="F145" s="433" t="n">
        <v>-200</v>
      </c>
      <c r="G145" s="433" t="n">
        <v>5285</v>
      </c>
      <c r="H145" s="433" t="n">
        <v>5297.00015</v>
      </c>
      <c r="I145" s="414" t="n">
        <v>-2297.82608695652</v>
      </c>
      <c r="J145" s="414" t="n">
        <v>-2297.82608695652</v>
      </c>
      <c r="K145" s="414" t="n">
        <v>-4.2857678571428</v>
      </c>
      <c r="L145" s="268" t="n">
        <v>0.00227060548722798</v>
      </c>
      <c r="M145" s="344" t="n">
        <v>30</v>
      </c>
      <c r="N145" s="345" t="n">
        <v>46080</v>
      </c>
      <c r="O145" s="498"/>
    </row>
    <row r="146" customFormat="false" ht="12.75" hidden="false" customHeight="false" outlineLevel="0" collapsed="false">
      <c r="A146" s="0" t="s">
        <v>81</v>
      </c>
      <c r="B146" s="345" t="n">
        <v>46050</v>
      </c>
      <c r="C146" s="110" t="s">
        <v>56</v>
      </c>
      <c r="D146" s="110" t="s">
        <v>529</v>
      </c>
      <c r="F146" s="0" t="n">
        <v>-500</v>
      </c>
      <c r="G146" s="0" t="n">
        <v>5302</v>
      </c>
      <c r="H146" s="0" t="n">
        <v>5297.00015</v>
      </c>
      <c r="I146" s="430" t="n">
        <v>-5763.04347826087</v>
      </c>
      <c r="J146" s="430" t="n">
        <v>-5763.04347826087</v>
      </c>
      <c r="K146" s="414" t="n">
        <v>4.46415178571442</v>
      </c>
      <c r="L146" s="268" t="n">
        <v>-0.000943012070916664</v>
      </c>
      <c r="M146" s="344" t="n">
        <v>30</v>
      </c>
      <c r="N146" s="345" t="n">
        <v>46080</v>
      </c>
      <c r="O146" s="498"/>
    </row>
    <row r="147" customFormat="false" ht="12.75" hidden="false" customHeight="false" outlineLevel="0" collapsed="false">
      <c r="A147" s="344" t="s">
        <v>21</v>
      </c>
      <c r="B147" s="345" t="n">
        <v>46056</v>
      </c>
      <c r="C147" s="110" t="s">
        <v>146</v>
      </c>
      <c r="D147" s="344" t="s">
        <v>530</v>
      </c>
      <c r="F147" s="414" t="n">
        <v>5600</v>
      </c>
      <c r="G147" s="430" t="n">
        <v>88.9282</v>
      </c>
      <c r="H147" s="497" t="n">
        <v>84.3218</v>
      </c>
      <c r="I147" s="430" t="n">
        <v>1082.60417391304</v>
      </c>
      <c r="J147" s="430" t="n">
        <v>1082.60417391304</v>
      </c>
      <c r="K147" s="414" t="n">
        <v>-46.0640000000001</v>
      </c>
      <c r="L147" s="340" t="n">
        <v>-0.0466466205320697</v>
      </c>
      <c r="N147" s="345" t="n">
        <v>46059</v>
      </c>
      <c r="O147" s="498"/>
    </row>
    <row r="148" customFormat="false" ht="12.75" hidden="false" customHeight="false" outlineLevel="0" collapsed="false">
      <c r="A148" s="344" t="s">
        <v>386</v>
      </c>
      <c r="B148" s="345" t="n">
        <v>46048</v>
      </c>
      <c r="C148" s="110" t="s">
        <v>521</v>
      </c>
      <c r="D148" s="344" t="s">
        <v>528</v>
      </c>
      <c r="F148" s="414" t="n">
        <v>6000</v>
      </c>
      <c r="G148" s="430" t="n">
        <v>110.75</v>
      </c>
      <c r="H148" s="497" t="n">
        <v>83.43</v>
      </c>
      <c r="I148" s="430" t="n">
        <v>1444.5652173913</v>
      </c>
      <c r="J148" s="430" t="n">
        <v>1444.5652173913</v>
      </c>
      <c r="K148" s="414" t="n">
        <v>-292.714285714286</v>
      </c>
      <c r="L148" s="340" t="n">
        <v>-0.246681715575621</v>
      </c>
      <c r="M148" s="345" t="n">
        <v>1</v>
      </c>
      <c r="N148" s="345" t="n">
        <v>46066</v>
      </c>
      <c r="O148" s="498"/>
    </row>
    <row r="149" customFormat="false" ht="12.75" hidden="false" customHeight="false" outlineLevel="0" collapsed="false">
      <c r="A149" s="344" t="s">
        <v>386</v>
      </c>
      <c r="B149" s="345" t="n">
        <v>46052</v>
      </c>
      <c r="C149" s="110" t="s">
        <v>521</v>
      </c>
      <c r="D149" s="344" t="s">
        <v>528</v>
      </c>
      <c r="F149" s="414" t="n">
        <v>6000</v>
      </c>
      <c r="G149" s="430" t="n">
        <v>103.5</v>
      </c>
      <c r="H149" s="497" t="n">
        <v>83.43</v>
      </c>
      <c r="I149" s="430" t="n">
        <v>1350</v>
      </c>
      <c r="J149" s="430" t="n">
        <v>1350</v>
      </c>
      <c r="K149" s="414" t="n">
        <v>-215.035714285714</v>
      </c>
      <c r="L149" s="340" t="n">
        <v>-0.193913043478261</v>
      </c>
      <c r="M149" s="345" t="n">
        <v>1</v>
      </c>
      <c r="N149" s="345" t="n">
        <v>46066</v>
      </c>
      <c r="O149" s="498"/>
    </row>
    <row r="150" customFormat="false" ht="12.75" hidden="false" customHeight="false" outlineLevel="0" collapsed="false">
      <c r="A150" s="344" t="s">
        <v>386</v>
      </c>
      <c r="B150" s="345" t="n">
        <v>46052</v>
      </c>
      <c r="C150" s="110" t="s">
        <v>521</v>
      </c>
      <c r="D150" s="344" t="s">
        <v>528</v>
      </c>
      <c r="F150" s="414" t="n">
        <v>3000</v>
      </c>
      <c r="G150" s="430" t="n">
        <v>86</v>
      </c>
      <c r="H150" s="497" t="n">
        <v>83.43</v>
      </c>
      <c r="I150" s="430" t="n">
        <v>560.869565217391</v>
      </c>
      <c r="J150" s="430" t="n">
        <v>560.869565217391</v>
      </c>
      <c r="K150" s="414" t="n">
        <v>-13.7678571428571</v>
      </c>
      <c r="L150" s="340" t="n">
        <v>-0.0298837209302325</v>
      </c>
      <c r="M150" s="345" t="n">
        <v>1</v>
      </c>
      <c r="N150" s="345" t="n">
        <v>46066</v>
      </c>
      <c r="O150" s="498"/>
    </row>
    <row r="151" customFormat="false" ht="12.75" hidden="false" customHeight="false" outlineLevel="0" collapsed="false">
      <c r="A151" s="344" t="s">
        <v>386</v>
      </c>
      <c r="B151" s="345" t="n">
        <v>46064</v>
      </c>
      <c r="C151" s="110" t="s">
        <v>521</v>
      </c>
      <c r="D151" s="344" t="s">
        <v>528</v>
      </c>
      <c r="F151" s="414" t="n">
        <v>-15000</v>
      </c>
      <c r="G151" s="430" t="n">
        <v>83.288</v>
      </c>
      <c r="H151" s="497" t="n">
        <v>83.43</v>
      </c>
      <c r="I151" s="430" t="n">
        <v>-2715.91304347826</v>
      </c>
      <c r="J151" s="430" t="n">
        <v>-2715.91304347826</v>
      </c>
      <c r="K151" s="414" t="n">
        <v>-3.8035714285717</v>
      </c>
      <c r="L151" s="340" t="n">
        <v>0.00170492748054954</v>
      </c>
      <c r="M151" s="345" t="n">
        <v>1</v>
      </c>
      <c r="N151" s="345" t="n">
        <v>46066</v>
      </c>
      <c r="O151" s="498"/>
    </row>
    <row r="152" customFormat="false" ht="12.75" hidden="false" customHeight="false" outlineLevel="0" collapsed="false">
      <c r="A152" s="344" t="s">
        <v>386</v>
      </c>
      <c r="B152" s="345" t="n">
        <v>46078</v>
      </c>
      <c r="C152" s="110" t="s">
        <v>521</v>
      </c>
      <c r="D152" s="344" t="s">
        <v>528</v>
      </c>
      <c r="F152" s="414" t="n">
        <v>-15000</v>
      </c>
      <c r="G152" s="430" t="n">
        <v>90.31</v>
      </c>
      <c r="H152" s="497" t="n">
        <v>90.2739</v>
      </c>
      <c r="I152" s="430" t="n">
        <v>-2942.9347826087</v>
      </c>
      <c r="J152" s="430" t="n">
        <v>-2942.9347826087</v>
      </c>
      <c r="K152" s="414" t="n">
        <v>0.966964285714411</v>
      </c>
      <c r="L152" s="340" t="n">
        <v>0.000264819944598311</v>
      </c>
      <c r="M152" s="345" t="n">
        <v>2</v>
      </c>
      <c r="N152" s="345" t="n">
        <v>46080</v>
      </c>
      <c r="O152" s="498"/>
    </row>
    <row r="153" customFormat="false" ht="12.75" hidden="false" customHeight="false" outlineLevel="0" collapsed="false">
      <c r="A153" s="344" t="s">
        <v>386</v>
      </c>
      <c r="B153" s="345" t="n">
        <v>46064</v>
      </c>
      <c r="C153" s="110" t="s">
        <v>521</v>
      </c>
      <c r="D153" s="344" t="s">
        <v>528</v>
      </c>
      <c r="F153" s="414" t="n">
        <v>15000</v>
      </c>
      <c r="G153" s="430" t="n">
        <v>83.46</v>
      </c>
      <c r="H153" s="497" t="n">
        <v>90.2739</v>
      </c>
      <c r="I153" s="430" t="n">
        <v>2721.52173913044</v>
      </c>
      <c r="J153" s="430" t="n">
        <v>2721.52173913044</v>
      </c>
      <c r="K153" s="414" t="n">
        <v>182.515178571429</v>
      </c>
      <c r="L153" s="340" t="n">
        <v>0.0816427030913013</v>
      </c>
      <c r="M153" s="345" t="n">
        <v>2</v>
      </c>
      <c r="N153" s="345" t="n">
        <v>46080</v>
      </c>
      <c r="O153" s="498"/>
    </row>
    <row r="154" customFormat="false" ht="12.75" hidden="false" customHeight="false" outlineLevel="0" collapsed="false">
      <c r="A154" s="344" t="s">
        <v>652</v>
      </c>
      <c r="B154" s="345" t="n">
        <v>46056</v>
      </c>
      <c r="C154" s="110" t="s">
        <v>56</v>
      </c>
      <c r="D154" s="344" t="s">
        <v>529</v>
      </c>
      <c r="F154" s="414" t="n">
        <v>200</v>
      </c>
      <c r="G154" s="430" t="n">
        <v>4933</v>
      </c>
      <c r="H154" s="497" t="n">
        <v>5184.735</v>
      </c>
      <c r="I154" s="430" t="n">
        <v>2144.78260869565</v>
      </c>
      <c r="J154" s="430" t="n">
        <v>2144.78260869565</v>
      </c>
      <c r="K154" s="414" t="n">
        <v>89.9053571428574</v>
      </c>
      <c r="L154" s="340" t="n">
        <v>0.0510308128927631</v>
      </c>
      <c r="M154" s="345" t="n">
        <v>2</v>
      </c>
      <c r="N154" s="345" t="n">
        <v>46080</v>
      </c>
      <c r="O154" s="498"/>
    </row>
    <row r="155" customFormat="false" ht="12.75" hidden="false" customHeight="false" outlineLevel="0" collapsed="false">
      <c r="A155" s="344" t="s">
        <v>652</v>
      </c>
      <c r="B155" s="345" t="n">
        <v>46078</v>
      </c>
      <c r="C155" s="110" t="s">
        <v>56</v>
      </c>
      <c r="D155" s="344" t="s">
        <v>529</v>
      </c>
      <c r="F155" s="414" t="n">
        <v>-200</v>
      </c>
      <c r="G155" s="430" t="n">
        <v>5185</v>
      </c>
      <c r="H155" s="497" t="n">
        <v>5184.735</v>
      </c>
      <c r="I155" s="430" t="n">
        <v>-2254.34782608696</v>
      </c>
      <c r="J155" s="430" t="n">
        <v>-2254.34782608696</v>
      </c>
      <c r="K155" s="414" t="n">
        <v>0.0946428571426493</v>
      </c>
      <c r="L155" s="340" t="n">
        <v>-5.11089681773227E-005</v>
      </c>
      <c r="M155" s="345" t="n">
        <v>2</v>
      </c>
      <c r="N155" s="345" t="n">
        <v>46080</v>
      </c>
      <c r="O155" s="498"/>
    </row>
    <row r="156" customFormat="false" ht="12.75" hidden="false" customHeight="false" outlineLevel="0" collapsed="false">
      <c r="A156" s="344" t="s">
        <v>81</v>
      </c>
      <c r="B156" s="345" t="n">
        <v>46050</v>
      </c>
      <c r="C156" s="110" t="s">
        <v>56</v>
      </c>
      <c r="D156" s="344" t="s">
        <v>529</v>
      </c>
      <c r="F156" s="414" t="n">
        <v>700</v>
      </c>
      <c r="G156" s="430" t="n">
        <v>5291.5</v>
      </c>
      <c r="H156" s="497" t="n">
        <v>5182.8</v>
      </c>
      <c r="I156" s="430" t="n">
        <v>8052.28260869565</v>
      </c>
      <c r="J156" s="430" t="n">
        <v>8052.28260869565</v>
      </c>
      <c r="K156" s="414" t="n">
        <v>-135.875000000001</v>
      </c>
      <c r="L156" s="340" t="n">
        <v>-0.0205423792875368</v>
      </c>
      <c r="M156" s="345" t="n">
        <v>2</v>
      </c>
      <c r="N156" s="345" t="n">
        <v>46080</v>
      </c>
      <c r="O156" s="498"/>
    </row>
    <row r="157" customFormat="false" ht="12.75" hidden="false" customHeight="false" outlineLevel="0" collapsed="false">
      <c r="A157" s="344" t="s">
        <v>386</v>
      </c>
      <c r="B157" s="345" t="n">
        <v>46052</v>
      </c>
      <c r="C157" s="110" t="s">
        <v>56</v>
      </c>
      <c r="D157" s="344" t="s">
        <v>529</v>
      </c>
      <c r="F157" s="414" t="n">
        <v>400</v>
      </c>
      <c r="G157" s="430" t="n">
        <v>5143</v>
      </c>
      <c r="H157" s="497" t="n">
        <v>5182.8</v>
      </c>
      <c r="I157" s="430" t="n">
        <v>4472.17391304348</v>
      </c>
      <c r="J157" s="430" t="n">
        <v>4472.17391304348</v>
      </c>
      <c r="K157" s="414" t="n">
        <v>28.4285714285709</v>
      </c>
      <c r="L157" s="340" t="n">
        <v>0.00773867392572414</v>
      </c>
      <c r="M157" s="345" t="n">
        <v>2</v>
      </c>
      <c r="N157" s="345" t="n">
        <v>46080</v>
      </c>
      <c r="O157" s="498"/>
    </row>
    <row r="158" customFormat="false" ht="12.75" hidden="false" customHeight="false" outlineLevel="0" collapsed="false">
      <c r="A158" s="344" t="s">
        <v>386</v>
      </c>
      <c r="B158" s="413" t="n">
        <v>46052</v>
      </c>
      <c r="C158" s="344" t="s">
        <v>56</v>
      </c>
      <c r="D158" s="344" t="s">
        <v>529</v>
      </c>
      <c r="E158" s="414"/>
      <c r="F158" s="344" t="n">
        <v>200</v>
      </c>
      <c r="G158" s="414" t="n">
        <v>4820</v>
      </c>
      <c r="H158" s="442" t="n">
        <v>5182.8</v>
      </c>
      <c r="I158" s="414" t="n">
        <v>2095.65217391304</v>
      </c>
      <c r="J158" s="414" t="n">
        <v>2095.65217391304</v>
      </c>
      <c r="K158" s="414" t="n">
        <v>129.571428571428</v>
      </c>
      <c r="L158" s="268" t="n">
        <v>0.0752697095435683</v>
      </c>
      <c r="M158" s="345" t="n">
        <v>2</v>
      </c>
      <c r="N158" s="345" t="n">
        <v>46080</v>
      </c>
      <c r="O158" s="498"/>
    </row>
    <row r="159" customFormat="false" ht="12.75" hidden="false" customHeight="false" outlineLevel="0" collapsed="false">
      <c r="A159" s="344" t="s">
        <v>81</v>
      </c>
      <c r="B159" s="413" t="n">
        <v>46078</v>
      </c>
      <c r="C159" s="344" t="s">
        <v>56</v>
      </c>
      <c r="D159" s="344" t="s">
        <v>529</v>
      </c>
      <c r="E159" s="414"/>
      <c r="F159" s="344" t="n">
        <v>200</v>
      </c>
      <c r="G159" s="430" t="n">
        <v>5185</v>
      </c>
      <c r="H159" s="442" t="n">
        <v>5182.8</v>
      </c>
      <c r="I159" s="414" t="n">
        <v>2144.78260869565</v>
      </c>
      <c r="J159" s="414" t="n">
        <v>2144.78260869565</v>
      </c>
      <c r="K159" s="414" t="n">
        <v>-0.785714285714546</v>
      </c>
      <c r="L159" s="268" t="n">
        <v>0.0506385566592336</v>
      </c>
      <c r="M159" s="345" t="n">
        <v>2</v>
      </c>
      <c r="N159" s="345" t="n">
        <v>46080</v>
      </c>
      <c r="O159" s="498"/>
    </row>
    <row r="160" customFormat="false" ht="12.75" hidden="false" customHeight="false" outlineLevel="0" collapsed="false">
      <c r="A160" s="344" t="s">
        <v>81</v>
      </c>
      <c r="B160" s="428" t="n">
        <v>46078</v>
      </c>
      <c r="C160" s="344" t="s">
        <v>56</v>
      </c>
      <c r="D160" s="344" t="s">
        <v>529</v>
      </c>
      <c r="E160" s="344"/>
      <c r="F160" s="344" t="n">
        <v>-900</v>
      </c>
      <c r="G160" s="344" t="n">
        <v>5182</v>
      </c>
      <c r="H160" s="344" t="n">
        <v>5182.8</v>
      </c>
      <c r="I160" s="414" t="n">
        <v>-10138.6956521739</v>
      </c>
      <c r="J160" s="414" t="n">
        <v>-10138.6956521739</v>
      </c>
      <c r="K160" s="414" t="n">
        <v>-1.28571428571312</v>
      </c>
      <c r="L160" s="268" t="n">
        <v>0.000154380548050805</v>
      </c>
      <c r="M160" s="345" t="n">
        <v>2</v>
      </c>
      <c r="N160" s="345" t="n">
        <v>46080</v>
      </c>
      <c r="O160" s="498"/>
    </row>
    <row r="161" customFormat="false" ht="12.75" hidden="false" customHeight="false" outlineLevel="0" collapsed="false">
      <c r="A161" s="344" t="s">
        <v>386</v>
      </c>
      <c r="B161" s="428" t="n">
        <v>46078</v>
      </c>
      <c r="C161" s="344" t="s">
        <v>56</v>
      </c>
      <c r="D161" s="344" t="s">
        <v>529</v>
      </c>
      <c r="E161" s="344"/>
      <c r="F161" s="344" t="n">
        <v>-600</v>
      </c>
      <c r="G161" s="344" t="n">
        <v>5182</v>
      </c>
      <c r="H161" s="344" t="n">
        <v>5182.8</v>
      </c>
      <c r="I161" s="414" t="n">
        <v>-6759.13043478261</v>
      </c>
      <c r="J161" s="414" t="n">
        <v>-6759.13043478261</v>
      </c>
      <c r="K161" s="414" t="n">
        <v>-0.857142857142078</v>
      </c>
      <c r="L161" s="268" t="n">
        <v>0.000154380548050805</v>
      </c>
      <c r="M161" s="345" t="n">
        <v>2</v>
      </c>
      <c r="N161" s="345" t="n">
        <v>46080</v>
      </c>
      <c r="O161" s="498"/>
    </row>
    <row r="162" customFormat="false" ht="12.75" hidden="false" customHeight="false" outlineLevel="0" collapsed="false">
      <c r="A162" s="0" t="s">
        <v>386</v>
      </c>
      <c r="B162" s="345" t="n">
        <v>46078</v>
      </c>
      <c r="C162" s="110" t="s">
        <v>521</v>
      </c>
      <c r="D162" s="110" t="s">
        <v>528</v>
      </c>
      <c r="F162" s="0" t="n">
        <v>15000</v>
      </c>
      <c r="G162" s="0" t="n">
        <v>90.525</v>
      </c>
      <c r="H162" s="344" t="n">
        <v>76.4855</v>
      </c>
      <c r="I162" s="430" t="n">
        <v>2951.90217391304</v>
      </c>
      <c r="J162" s="430" t="n">
        <v>2951.90217391304</v>
      </c>
      <c r="K162" s="414" t="n">
        <v>-376.058035714286</v>
      </c>
      <c r="L162" s="268" t="n">
        <v>-0.155089754211544</v>
      </c>
      <c r="M162" s="345" t="n">
        <v>2</v>
      </c>
      <c r="N162" s="345" t="n">
        <v>46101</v>
      </c>
      <c r="O162" s="498"/>
    </row>
    <row r="163" customFormat="false" ht="12.75" hidden="false" customHeight="false" outlineLevel="0" collapsed="false">
      <c r="A163" s="0" t="s">
        <v>386</v>
      </c>
      <c r="B163" s="345" t="n">
        <v>46099</v>
      </c>
      <c r="C163" s="110" t="s">
        <v>521</v>
      </c>
      <c r="D163" s="110" t="s">
        <v>528</v>
      </c>
      <c r="F163" s="0" t="n">
        <v>-15000</v>
      </c>
      <c r="G163" s="0" t="n">
        <v>76.3453</v>
      </c>
      <c r="H163" s="0" t="n">
        <v>76.54</v>
      </c>
      <c r="I163" s="430" t="n">
        <v>-2492.9347826087</v>
      </c>
      <c r="J163" s="430" t="n">
        <v>-2492.9347826087</v>
      </c>
      <c r="K163" s="414" t="n">
        <v>-5.21517857142888</v>
      </c>
      <c r="L163" s="268" t="n">
        <v>0.00117724002616093</v>
      </c>
      <c r="M163" s="345" t="n">
        <v>2</v>
      </c>
      <c r="N163" s="345" t="n">
        <v>46101</v>
      </c>
      <c r="O163" s="498"/>
    </row>
    <row r="164" customFormat="false" ht="12.75" hidden="false" customHeight="false" outlineLevel="0" collapsed="false">
      <c r="A164" s="0" t="s">
        <v>81</v>
      </c>
      <c r="B164" s="345" t="n">
        <v>46078</v>
      </c>
      <c r="C164" s="110" t="s">
        <v>56</v>
      </c>
      <c r="D164" s="110" t="s">
        <v>529</v>
      </c>
      <c r="F164" s="0" t="n">
        <v>900</v>
      </c>
      <c r="G164" s="0" t="n">
        <v>5195</v>
      </c>
      <c r="H164" s="0" t="n">
        <v>4864.195</v>
      </c>
      <c r="I164" s="430" t="n">
        <v>10164.1304347826</v>
      </c>
      <c r="J164" s="430" t="n">
        <v>10164.1304347826</v>
      </c>
      <c r="K164" s="414" t="n">
        <v>-531.650892857143</v>
      </c>
      <c r="L164" s="268" t="n">
        <v>-0.0636775745909529</v>
      </c>
      <c r="M164" s="345" t="n">
        <v>2</v>
      </c>
      <c r="N164" s="345" t="n">
        <v>46101</v>
      </c>
      <c r="O164" s="498"/>
    </row>
    <row r="165" customFormat="false" ht="12.75" hidden="false" customHeight="false" outlineLevel="0" collapsed="false">
      <c r="A165" s="0" t="s">
        <v>81</v>
      </c>
      <c r="B165" s="345" t="n">
        <v>46099</v>
      </c>
      <c r="C165" s="110" t="s">
        <v>56</v>
      </c>
      <c r="D165" s="110" t="s">
        <v>529</v>
      </c>
      <c r="F165" s="0" t="n">
        <v>-900</v>
      </c>
      <c r="G165" s="0" t="n">
        <v>4865.986</v>
      </c>
      <c r="H165" s="0" t="n">
        <v>4864.195</v>
      </c>
      <c r="I165" s="430" t="n">
        <v>-9518.47826086957</v>
      </c>
      <c r="J165" s="430" t="n">
        <v>-9518.47826086957</v>
      </c>
      <c r="K165" s="414" t="n">
        <v>2.87839285714313</v>
      </c>
      <c r="L165" s="268" t="n">
        <v>-0.00016546762589934</v>
      </c>
      <c r="M165" s="345" t="n">
        <v>2</v>
      </c>
      <c r="N165" s="345" t="n">
        <v>46101</v>
      </c>
      <c r="O165" s="498"/>
    </row>
    <row r="166" customFormat="false" ht="12.75" hidden="false" customHeight="false" outlineLevel="0" collapsed="false">
      <c r="A166" s="0" t="s">
        <v>386</v>
      </c>
      <c r="B166" s="345" t="n">
        <v>46078</v>
      </c>
      <c r="C166" s="110" t="s">
        <v>56</v>
      </c>
      <c r="D166" s="110" t="s">
        <v>529</v>
      </c>
      <c r="F166" s="0" t="n">
        <v>600</v>
      </c>
      <c r="G166" s="0" t="n">
        <v>5195</v>
      </c>
      <c r="H166" s="0" t="n">
        <v>4868.63</v>
      </c>
      <c r="I166" s="430" t="n">
        <v>6776.08695652174</v>
      </c>
      <c r="J166" s="430" t="n">
        <v>6776.08695652174</v>
      </c>
      <c r="K166" s="414" t="n">
        <v>-349.682142857143</v>
      </c>
      <c r="L166" s="268" t="n">
        <v>-0.0628238691049085</v>
      </c>
      <c r="M166" s="345" t="n">
        <v>2</v>
      </c>
      <c r="N166" s="345" t="n">
        <v>46101</v>
      </c>
      <c r="O166" s="498"/>
    </row>
    <row r="167" customFormat="false" ht="12.75" hidden="false" customHeight="false" outlineLevel="0" collapsed="false">
      <c r="A167" s="0" t="s">
        <v>386</v>
      </c>
      <c r="B167" s="345" t="n">
        <v>46099</v>
      </c>
      <c r="C167" s="110" t="s">
        <v>56</v>
      </c>
      <c r="D167" s="110" t="s">
        <v>529</v>
      </c>
      <c r="F167" s="0" t="n">
        <v>-600</v>
      </c>
      <c r="G167" s="0" t="n">
        <v>4856.95</v>
      </c>
      <c r="H167" s="0" t="n">
        <v>4868.63</v>
      </c>
      <c r="I167" s="430" t="n">
        <v>-6341.73913043478</v>
      </c>
      <c r="J167" s="430" t="n">
        <v>-6341.73913043478</v>
      </c>
      <c r="K167" s="414" t="n">
        <v>-12.514285714286</v>
      </c>
      <c r="L167" s="268" t="n">
        <v>0.00136363636363639</v>
      </c>
      <c r="M167" s="345" t="n">
        <v>2</v>
      </c>
      <c r="N167" s="345" t="n">
        <v>46101</v>
      </c>
      <c r="O167" s="498"/>
    </row>
    <row r="168" customFormat="false" ht="12.75" hidden="false" customHeight="false" outlineLevel="0" collapsed="false">
      <c r="I168" s="430"/>
      <c r="J168" s="430"/>
      <c r="K168" s="414"/>
      <c r="L168" s="268"/>
      <c r="N168" s="345"/>
    </row>
    <row r="169" customFormat="false" ht="12.75" hidden="false" customHeight="false" outlineLevel="0" collapsed="false">
      <c r="I169" s="430"/>
      <c r="J169" s="430"/>
      <c r="K169" s="414"/>
      <c r="L169" s="268"/>
      <c r="M169" s="440"/>
    </row>
    <row r="170" customFormat="false" ht="12.75" hidden="false" customHeight="false" outlineLevel="0" collapsed="false">
      <c r="I170" s="430"/>
      <c r="J170" s="430"/>
      <c r="K170" s="414"/>
      <c r="L170" s="268"/>
      <c r="M170" s="440"/>
    </row>
    <row r="171" customFormat="false" ht="12.75" hidden="false" customHeight="false" outlineLevel="0" collapsed="false">
      <c r="I171" s="430"/>
      <c r="J171" s="430"/>
      <c r="K171" s="414"/>
      <c r="L171" s="268"/>
      <c r="M171" s="440"/>
    </row>
    <row r="172" customFormat="false" ht="12.75" hidden="false" customHeight="false" outlineLevel="0" collapsed="false">
      <c r="I172" s="430"/>
      <c r="J172" s="430"/>
      <c r="K172" s="414"/>
      <c r="L172" s="268"/>
      <c r="M172" s="440"/>
    </row>
    <row r="173" customFormat="false" ht="12.75" hidden="false" customHeight="false" outlineLevel="0" collapsed="false">
      <c r="I173" s="430"/>
      <c r="J173" s="430"/>
      <c r="K173" s="414"/>
      <c r="L173" s="268"/>
      <c r="M173" s="440"/>
    </row>
    <row r="174" customFormat="false" ht="12.75" hidden="false" customHeight="false" outlineLevel="0" collapsed="false">
      <c r="I174" s="430"/>
      <c r="J174" s="430"/>
      <c r="K174" s="414"/>
      <c r="L174" s="268"/>
      <c r="M174" s="440"/>
      <c r="N174" s="345"/>
    </row>
    <row r="175" customFormat="false" ht="12.75" hidden="false" customHeight="false" outlineLevel="0" collapsed="false">
      <c r="I175" s="430"/>
      <c r="J175" s="430"/>
      <c r="K175" s="414"/>
      <c r="L175" s="268"/>
      <c r="M175" s="440"/>
      <c r="N175" s="345"/>
    </row>
    <row r="176" customFormat="false" ht="12.75" hidden="false" customHeight="false" outlineLevel="0" collapsed="false">
      <c r="I176" s="430"/>
      <c r="J176" s="430"/>
      <c r="K176" s="414"/>
      <c r="L176" s="268"/>
      <c r="M176" s="440"/>
      <c r="N176" s="345"/>
    </row>
    <row r="177" customFormat="false" ht="12.75" hidden="false" customHeight="false" outlineLevel="0" collapsed="false">
      <c r="I177" s="430"/>
      <c r="J177" s="430"/>
      <c r="K177" s="414"/>
      <c r="L177" s="268"/>
      <c r="M177" s="440"/>
      <c r="N177" s="345"/>
    </row>
    <row r="178" customFormat="false" ht="12.75" hidden="false" customHeight="false" outlineLevel="0" collapsed="false">
      <c r="I178" s="430"/>
      <c r="J178" s="430"/>
      <c r="K178" s="414"/>
      <c r="L178" s="268"/>
      <c r="M178" s="440"/>
      <c r="N178" s="345"/>
    </row>
    <row r="179" customFormat="false" ht="12.75" hidden="false" customHeight="false" outlineLevel="0" collapsed="false">
      <c r="A179" s="344"/>
      <c r="B179" s="413"/>
      <c r="C179" s="344"/>
      <c r="D179" s="344"/>
      <c r="E179" s="414"/>
      <c r="F179" s="344"/>
      <c r="G179" s="433"/>
      <c r="H179" s="344"/>
      <c r="I179" s="414"/>
      <c r="J179" s="414"/>
      <c r="K179" s="414"/>
      <c r="L179" s="268"/>
      <c r="M179" s="439"/>
      <c r="N179" s="440"/>
    </row>
    <row r="180" customFormat="false" ht="12.75" hidden="false" customHeight="false" outlineLevel="0" collapsed="false">
      <c r="A180" s="344"/>
      <c r="B180" s="413"/>
      <c r="C180" s="344"/>
      <c r="D180" s="344"/>
      <c r="E180" s="414"/>
      <c r="F180" s="344"/>
      <c r="G180" s="433"/>
      <c r="H180" s="344"/>
      <c r="I180" s="414"/>
      <c r="J180" s="414"/>
      <c r="K180" s="414"/>
      <c r="L180" s="268"/>
      <c r="M180" s="439"/>
      <c r="N180" s="440"/>
    </row>
    <row r="181" customFormat="false" ht="12.75" hidden="false" customHeight="false" outlineLevel="0" collapsed="false">
      <c r="A181" s="344"/>
      <c r="B181" s="413"/>
      <c r="C181" s="344"/>
      <c r="D181" s="344"/>
      <c r="E181" s="414"/>
      <c r="F181" s="344"/>
      <c r="G181" s="433"/>
      <c r="H181" s="344"/>
      <c r="I181" s="414"/>
      <c r="J181" s="414"/>
      <c r="K181" s="414"/>
      <c r="L181" s="268"/>
      <c r="M181" s="439"/>
      <c r="N181" s="440"/>
    </row>
    <row r="182" customFormat="false" ht="12.75" hidden="false" customHeight="false" outlineLevel="0" collapsed="false">
      <c r="A182" s="344"/>
      <c r="B182" s="413"/>
      <c r="C182" s="344"/>
      <c r="D182" s="344"/>
      <c r="E182" s="414"/>
      <c r="F182" s="344"/>
      <c r="G182" s="433"/>
      <c r="H182" s="344"/>
      <c r="I182" s="414"/>
      <c r="J182" s="414"/>
      <c r="K182" s="414"/>
      <c r="L182" s="268"/>
      <c r="M182" s="439"/>
      <c r="N182" s="440"/>
    </row>
    <row r="183" customFormat="false" ht="12.75" hidden="false" customHeight="false" outlineLevel="0" collapsed="false">
      <c r="A183" s="344"/>
      <c r="B183" s="413"/>
      <c r="C183" s="344"/>
      <c r="D183" s="344"/>
      <c r="E183" s="414"/>
      <c r="F183" s="344"/>
      <c r="G183" s="433"/>
      <c r="H183" s="344"/>
      <c r="I183" s="414"/>
      <c r="J183" s="414"/>
      <c r="K183" s="414"/>
      <c r="L183" s="268"/>
      <c r="M183" s="439"/>
      <c r="N183" s="440"/>
    </row>
    <row r="184" customFormat="false" ht="12.75" hidden="false" customHeight="false" outlineLevel="0" collapsed="false">
      <c r="A184" s="344"/>
      <c r="B184" s="413"/>
      <c r="C184" s="344"/>
      <c r="D184" s="344"/>
      <c r="E184" s="414"/>
      <c r="F184" s="344"/>
      <c r="G184" s="433"/>
      <c r="H184" s="344"/>
      <c r="I184" s="414"/>
      <c r="J184" s="414"/>
      <c r="K184" s="414"/>
      <c r="L184" s="268"/>
      <c r="M184" s="439"/>
      <c r="N184" s="440"/>
    </row>
    <row r="185" customFormat="false" ht="12.75" hidden="false" customHeight="false" outlineLevel="0" collapsed="false">
      <c r="I185" s="430"/>
      <c r="J185" s="430"/>
      <c r="K185" s="414"/>
      <c r="L185" s="268"/>
      <c r="M185" s="428"/>
      <c r="N185" s="440"/>
    </row>
    <row r="186" customFormat="false" ht="12.75" hidden="false" customHeight="false" outlineLevel="0" collapsed="false">
      <c r="I186" s="430"/>
      <c r="J186" s="430"/>
      <c r="K186" s="414"/>
      <c r="L186" s="268"/>
      <c r="M186" s="428"/>
      <c r="N186" s="440"/>
    </row>
    <row r="187" customFormat="false" ht="12.75" hidden="false" customHeight="false" outlineLevel="0" collapsed="false">
      <c r="I187" s="430"/>
      <c r="J187" s="430"/>
      <c r="K187" s="414"/>
      <c r="L187" s="268"/>
      <c r="M187" s="428"/>
      <c r="N187" s="440"/>
    </row>
    <row r="188" customFormat="false" ht="12.75" hidden="false" customHeight="false" outlineLevel="0" collapsed="false">
      <c r="I188" s="430"/>
      <c r="J188" s="430"/>
      <c r="K188" s="414"/>
      <c r="L188" s="268"/>
      <c r="M188" s="428"/>
      <c r="N188" s="440"/>
    </row>
    <row r="189" customFormat="false" ht="12.75" hidden="false" customHeight="false" outlineLevel="0" collapsed="false">
      <c r="I189" s="430"/>
      <c r="J189" s="430"/>
      <c r="K189" s="414"/>
      <c r="L189" s="268"/>
      <c r="M189" s="428"/>
      <c r="N189" s="440"/>
    </row>
    <row r="190" customFormat="false" ht="12.75" hidden="false" customHeight="false" outlineLevel="0" collapsed="false">
      <c r="I190" s="430"/>
      <c r="J190" s="430"/>
      <c r="K190" s="414"/>
      <c r="L190" s="268"/>
      <c r="M190" s="428"/>
      <c r="N190" s="440"/>
    </row>
    <row r="191" customFormat="false" ht="12.75" hidden="false" customHeight="false" outlineLevel="0" collapsed="false">
      <c r="I191" s="430"/>
      <c r="J191" s="430"/>
      <c r="K191" s="414"/>
      <c r="L191" s="268"/>
      <c r="M191" s="428"/>
      <c r="N191" s="440"/>
    </row>
    <row r="192" customFormat="false" ht="12.75" hidden="false" customHeight="false" outlineLevel="0" collapsed="false">
      <c r="I192" s="430"/>
      <c r="J192" s="430"/>
      <c r="K192" s="414"/>
      <c r="L192" s="268"/>
      <c r="M192" s="428"/>
      <c r="N192" s="440"/>
    </row>
    <row r="193" customFormat="false" ht="12.75" hidden="false" customHeight="false" outlineLevel="0" collapsed="false">
      <c r="A193" s="344"/>
      <c r="B193" s="413"/>
      <c r="C193" s="344"/>
      <c r="D193" s="344"/>
      <c r="E193" s="414"/>
      <c r="F193" s="344"/>
      <c r="G193" s="414"/>
      <c r="H193" s="442"/>
      <c r="I193" s="414"/>
      <c r="J193" s="414"/>
      <c r="K193" s="414"/>
      <c r="L193" s="268"/>
      <c r="M193" s="439"/>
      <c r="N193" s="440"/>
    </row>
    <row r="194" customFormat="false" ht="12.75" hidden="false" customHeight="false" outlineLevel="0" collapsed="false">
      <c r="J194" s="455" t="s">
        <v>318</v>
      </c>
      <c r="K194" s="499" t="n">
        <f aca="false">SUM(K138:K193)</f>
        <v>819.361714285713</v>
      </c>
    </row>
    <row r="195" customFormat="false" ht="12.75" hidden="false" customHeight="false" outlineLevel="0" collapsed="false">
      <c r="J195" s="455" t="s">
        <v>10</v>
      </c>
      <c r="K195" s="438" t="n">
        <f aca="false">cartera!K87</f>
        <v>-0.434306519912624</v>
      </c>
    </row>
    <row r="196" customFormat="false" ht="12.75" hidden="false" customHeight="false" outlineLevel="0" collapsed="false">
      <c r="K196" s="455"/>
    </row>
    <row r="197" customFormat="false" ht="12.75" hidden="false" customHeight="false" outlineLevel="0" collapsed="false">
      <c r="J197" s="455" t="s">
        <v>640</v>
      </c>
      <c r="K197" s="499" t="n">
        <f aca="false">K194+K195</f>
        <v>818.9274077658</v>
      </c>
    </row>
    <row r="203" customFormat="false" ht="12.75" hidden="false" customHeight="false" outlineLevel="0" collapsed="false">
      <c r="A203" s="344"/>
      <c r="B203" s="428"/>
      <c r="C203" s="428"/>
      <c r="D203" s="344"/>
      <c r="E203" s="344"/>
      <c r="F203" s="344"/>
      <c r="G203" s="433"/>
      <c r="H203" s="433"/>
      <c r="I203" s="433"/>
      <c r="J203" s="433"/>
      <c r="K203" s="414"/>
      <c r="L203" s="268"/>
      <c r="M203" s="428"/>
    </row>
    <row r="204" customFormat="false" ht="12.75" hidden="false" customHeight="false" outlineLevel="0" collapsed="false">
      <c r="A204" s="344"/>
      <c r="B204" s="428"/>
      <c r="C204" s="428"/>
      <c r="D204" s="344"/>
      <c r="E204" s="344"/>
      <c r="F204" s="344"/>
      <c r="G204" s="433"/>
      <c r="H204" s="433"/>
      <c r="I204" s="433"/>
      <c r="J204" s="433"/>
      <c r="K204" s="414"/>
      <c r="L204" s="268"/>
      <c r="M204" s="428"/>
    </row>
    <row r="205" customFormat="false" ht="12.75" hidden="false" customHeight="false" outlineLevel="0" collapsed="false">
      <c r="A205" s="344"/>
      <c r="D205" s="344"/>
      <c r="F205" s="344"/>
      <c r="H205" s="504"/>
      <c r="J205" s="498"/>
      <c r="K205" s="414"/>
    </row>
    <row r="206" customFormat="false" ht="17.35" hidden="false" customHeight="false" outlineLevel="0" collapsed="false">
      <c r="A206" s="389" t="s">
        <v>653</v>
      </c>
      <c r="B206" s="389"/>
      <c r="C206" s="389"/>
      <c r="D206" s="389"/>
      <c r="E206" s="389"/>
      <c r="F206" s="389"/>
      <c r="G206" s="389"/>
      <c r="H206" s="389"/>
      <c r="I206" s="389"/>
      <c r="J206" s="389"/>
      <c r="K206" s="389"/>
    </row>
    <row r="208" customFormat="false" ht="12.75" hidden="false" customHeight="false" outlineLevel="0" collapsed="false">
      <c r="A208" s="354" t="s">
        <v>320</v>
      </c>
      <c r="B208" s="354" t="s">
        <v>321</v>
      </c>
      <c r="C208" s="354" t="s">
        <v>3</v>
      </c>
      <c r="D208" s="355" t="s">
        <v>26</v>
      </c>
      <c r="E208" s="355" t="s">
        <v>322</v>
      </c>
      <c r="F208" s="355" t="s">
        <v>323</v>
      </c>
      <c r="G208" s="355" t="s">
        <v>8</v>
      </c>
      <c r="H208" s="355" t="s">
        <v>7</v>
      </c>
      <c r="I208" s="355" t="s">
        <v>9</v>
      </c>
      <c r="J208" s="355" t="s">
        <v>324</v>
      </c>
      <c r="K208" s="355" t="s">
        <v>4</v>
      </c>
    </row>
    <row r="209" customFormat="false" ht="12.75" hidden="false" customHeight="false" outlineLevel="0" collapsed="false">
      <c r="A209" s="344" t="s">
        <v>327</v>
      </c>
      <c r="B209" s="413" t="n">
        <v>45986</v>
      </c>
      <c r="C209" s="451" t="s">
        <v>81</v>
      </c>
      <c r="D209" s="344" t="n">
        <v>39</v>
      </c>
      <c r="E209" s="268" t="n">
        <v>0.0467</v>
      </c>
      <c r="F209" s="344"/>
      <c r="G209" s="453" t="n">
        <v>121.09375</v>
      </c>
      <c r="H209" s="414" t="n">
        <v>3190.49401197605</v>
      </c>
      <c r="I209" s="452" t="n">
        <v>120.09375</v>
      </c>
      <c r="J209" s="414" t="n">
        <v>-1695.65217391304</v>
      </c>
      <c r="K209" s="454" t="n">
        <v>46065</v>
      </c>
      <c r="L209" s="498"/>
      <c r="M209" s="498"/>
    </row>
    <row r="210" customFormat="false" ht="12.75" hidden="false" customHeight="false" outlineLevel="0" collapsed="false">
      <c r="A210" s="344" t="s">
        <v>327</v>
      </c>
      <c r="B210" s="413" t="n">
        <v>45986</v>
      </c>
      <c r="C210" s="451" t="s">
        <v>81</v>
      </c>
      <c r="D210" s="344" t="n">
        <v>11</v>
      </c>
      <c r="E210" s="268" t="n">
        <v>0.0467</v>
      </c>
      <c r="F210" s="344"/>
      <c r="G210" s="453" t="n">
        <v>121.09375</v>
      </c>
      <c r="H210" s="414" t="n">
        <v>398.811751497006</v>
      </c>
      <c r="I210" s="452" t="n">
        <v>120.09375</v>
      </c>
      <c r="J210" s="414" t="n">
        <v>-478.260869565217</v>
      </c>
      <c r="K210" s="454" t="n">
        <v>46065</v>
      </c>
      <c r="L210" s="498"/>
      <c r="M210" s="498"/>
    </row>
    <row r="211" customFormat="false" ht="12.75" hidden="false" customHeight="false" outlineLevel="0" collapsed="false">
      <c r="A211" s="344" t="s">
        <v>327</v>
      </c>
      <c r="B211" s="413" t="n">
        <v>45986</v>
      </c>
      <c r="C211" s="451" t="s">
        <v>81</v>
      </c>
      <c r="D211" s="344" t="n">
        <v>49</v>
      </c>
      <c r="E211" s="268" t="n">
        <v>0.0467</v>
      </c>
      <c r="F211" s="344"/>
      <c r="G211" s="453" t="n">
        <v>121.09375</v>
      </c>
      <c r="H211" s="414" t="n">
        <v>1776.5250748503</v>
      </c>
      <c r="I211" s="452" t="n">
        <v>120.59375</v>
      </c>
      <c r="J211" s="414" t="n">
        <v>-1065.21739130435</v>
      </c>
      <c r="K211" s="454" t="n">
        <v>46066</v>
      </c>
      <c r="L211" s="498"/>
    </row>
    <row r="212" customFormat="false" ht="12.75" hidden="false" customHeight="false" outlineLevel="0" collapsed="false">
      <c r="A212" s="344"/>
      <c r="B212" s="413"/>
      <c r="C212" s="451"/>
      <c r="D212" s="344"/>
      <c r="E212" s="268"/>
      <c r="F212" s="344"/>
      <c r="G212" s="453"/>
      <c r="H212" s="414"/>
      <c r="I212" s="452"/>
      <c r="J212" s="414"/>
      <c r="K212" s="454"/>
    </row>
    <row r="213" customFormat="false" ht="12.75" hidden="false" customHeight="false" outlineLevel="0" collapsed="false">
      <c r="A213" s="344"/>
      <c r="B213" s="413"/>
      <c r="C213" s="451"/>
      <c r="D213" s="344"/>
      <c r="E213" s="268"/>
      <c r="F213" s="344"/>
      <c r="G213" s="453"/>
      <c r="H213" s="414"/>
      <c r="I213" s="452"/>
      <c r="J213" s="414"/>
      <c r="K213" s="454"/>
    </row>
    <row r="214" customFormat="false" ht="12.75" hidden="false" customHeight="false" outlineLevel="0" collapsed="false">
      <c r="A214" s="344"/>
      <c r="B214" s="413"/>
      <c r="C214" s="451"/>
      <c r="D214" s="344"/>
      <c r="E214" s="268"/>
      <c r="F214" s="344"/>
      <c r="G214" s="453"/>
      <c r="H214" s="414"/>
      <c r="I214" s="452"/>
      <c r="J214" s="414"/>
      <c r="K214" s="454"/>
    </row>
    <row r="215" customFormat="false" ht="12.75" hidden="false" customHeight="false" outlineLevel="0" collapsed="false">
      <c r="A215" s="344"/>
      <c r="B215" s="413"/>
      <c r="C215" s="451"/>
      <c r="D215" s="344"/>
      <c r="E215" s="268"/>
      <c r="F215" s="344"/>
      <c r="G215" s="453"/>
      <c r="H215" s="414"/>
      <c r="I215" s="452"/>
      <c r="J215" s="414"/>
      <c r="K215" s="454"/>
    </row>
    <row r="216" customFormat="false" ht="12.75" hidden="false" customHeight="false" outlineLevel="0" collapsed="false">
      <c r="A216" s="344"/>
      <c r="B216" s="413"/>
      <c r="C216" s="451"/>
      <c r="D216" s="344"/>
      <c r="E216" s="268"/>
      <c r="F216" s="344"/>
      <c r="G216" s="453"/>
      <c r="H216" s="414"/>
      <c r="I216" s="452"/>
      <c r="J216" s="414"/>
      <c r="K216" s="454"/>
    </row>
    <row r="217" customFormat="false" ht="12.75" hidden="false" customHeight="false" outlineLevel="0" collapsed="false">
      <c r="A217" s="344"/>
      <c r="B217" s="413"/>
      <c r="C217" s="451"/>
      <c r="D217" s="344"/>
      <c r="E217" s="268"/>
      <c r="F217" s="344"/>
      <c r="G217" s="453"/>
      <c r="H217" s="414"/>
      <c r="I217" s="452"/>
      <c r="J217" s="414"/>
      <c r="K217" s="454"/>
    </row>
    <row r="218" customFormat="false" ht="12.75" hidden="false" customHeight="false" outlineLevel="0" collapsed="false">
      <c r="A218" s="344"/>
      <c r="B218" s="413"/>
      <c r="C218" s="451"/>
      <c r="D218" s="344"/>
      <c r="E218" s="268"/>
      <c r="F218" s="344"/>
      <c r="G218" s="453"/>
      <c r="H218" s="414"/>
      <c r="I218" s="452"/>
      <c r="J218" s="414"/>
      <c r="K218" s="454"/>
    </row>
    <row r="219" customFormat="false" ht="12.75" hidden="false" customHeight="false" outlineLevel="0" collapsed="false">
      <c r="A219" s="344"/>
      <c r="B219" s="413"/>
      <c r="C219" s="451"/>
      <c r="D219" s="344"/>
      <c r="E219" s="268"/>
      <c r="F219" s="344"/>
      <c r="G219" s="453"/>
      <c r="H219" s="414"/>
      <c r="I219" s="452"/>
      <c r="J219" s="414"/>
      <c r="K219" s="454"/>
    </row>
    <row r="220" customFormat="false" ht="12.75" hidden="false" customHeight="false" outlineLevel="0" collapsed="false">
      <c r="A220" s="344"/>
      <c r="B220" s="413"/>
      <c r="C220" s="451"/>
      <c r="D220" s="344"/>
      <c r="E220" s="268"/>
      <c r="F220" s="344"/>
      <c r="G220" s="453"/>
      <c r="H220" s="414"/>
      <c r="I220" s="452"/>
      <c r="J220" s="414"/>
      <c r="K220" s="454"/>
    </row>
    <row r="221" customFormat="false" ht="12.75" hidden="false" customHeight="false" outlineLevel="0" collapsed="false">
      <c r="A221" s="344"/>
      <c r="B221" s="413"/>
      <c r="C221" s="451"/>
      <c r="D221" s="344"/>
      <c r="E221" s="268"/>
      <c r="F221" s="344"/>
      <c r="G221" s="453"/>
      <c r="H221" s="414"/>
      <c r="I221" s="452"/>
      <c r="J221" s="414"/>
      <c r="K221" s="454"/>
    </row>
    <row r="223" customFormat="false" ht="12.75" hidden="false" customHeight="false" outlineLevel="0" collapsed="false">
      <c r="J223" s="498"/>
    </row>
    <row r="225" customFormat="false" ht="12.75" hidden="false" customHeight="false" outlineLevel="0" collapsed="false">
      <c r="I225" s="455" t="s">
        <v>318</v>
      </c>
      <c r="J225" s="499" t="n">
        <f aca="false">SUM(J209:J224)</f>
        <v>-3239.13043478261</v>
      </c>
    </row>
    <row r="226" customFormat="false" ht="12.75" hidden="false" customHeight="false" outlineLevel="0" collapsed="false">
      <c r="I226" s="455" t="s">
        <v>10</v>
      </c>
      <c r="J226" s="499" t="n">
        <f aca="false">cartera!J166</f>
        <v>-992.625000000001</v>
      </c>
    </row>
    <row r="228" customFormat="false" ht="12.75" hidden="false" customHeight="false" outlineLevel="0" collapsed="false">
      <c r="I228" s="455" t="s">
        <v>640</v>
      </c>
      <c r="J228" s="499" t="n">
        <f aca="false">J225+J226</f>
        <v>-4231.75543478261</v>
      </c>
    </row>
  </sheetData>
  <autoFilter ref="A137:M161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mergeCells count="3">
    <mergeCell ref="A123:M123"/>
    <mergeCell ref="A137:M137"/>
    <mergeCell ref="A206:K20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4" activeCellId="0" sqref="I24"/>
    </sheetView>
  </sheetViews>
  <sheetFormatPr defaultColWidth="11.42578125" defaultRowHeight="12.75" zeroHeight="false" outlineLevelRow="0" outlineLevelCol="0"/>
  <cols>
    <col collapsed="false" customWidth="true" hidden="false" outlineLevel="0" max="2" min="2" style="0" width="14.14"/>
    <col collapsed="false" customWidth="true" hidden="false" outlineLevel="0" max="3" min="3" style="0" width="22"/>
    <col collapsed="false" customWidth="true" hidden="false" outlineLevel="0" max="11" min="10" style="0" width="11.57"/>
    <col collapsed="false" customWidth="true" hidden="false" outlineLevel="0" max="26" min="26" style="0" width="12.86"/>
    <col collapsed="false" customWidth="true" hidden="false" outlineLevel="0" max="32" min="32" style="0" width="11.14"/>
    <col collapsed="false" customWidth="true" hidden="false" outlineLevel="0" max="33" min="33" style="0" width="12.42"/>
    <col collapsed="false" customWidth="true" hidden="false" outlineLevel="0" max="34" min="34" style="0" width="7.86"/>
  </cols>
  <sheetData>
    <row r="1" customFormat="false" ht="13.8" hidden="false" customHeight="false" outlineLevel="0" collapsed="false">
      <c r="A1" s="393" t="s">
        <v>329</v>
      </c>
      <c r="B1" s="393" t="s">
        <v>330</v>
      </c>
      <c r="C1" s="394" t="s">
        <v>331</v>
      </c>
      <c r="D1" s="394" t="s">
        <v>332</v>
      </c>
      <c r="E1" s="395" t="s">
        <v>333</v>
      </c>
      <c r="F1" s="395" t="s">
        <v>334</v>
      </c>
      <c r="G1" s="393" t="s">
        <v>335</v>
      </c>
      <c r="H1" s="393" t="s">
        <v>336</v>
      </c>
      <c r="I1" s="393" t="s">
        <v>654</v>
      </c>
      <c r="J1" s="393" t="s">
        <v>655</v>
      </c>
      <c r="K1" s="393"/>
      <c r="L1" s="393" t="s">
        <v>340</v>
      </c>
      <c r="M1" s="395" t="s">
        <v>341</v>
      </c>
      <c r="N1" s="393" t="s">
        <v>342</v>
      </c>
      <c r="O1" s="393" t="s">
        <v>343</v>
      </c>
      <c r="P1" s="393" t="s">
        <v>344</v>
      </c>
      <c r="Q1" s="395" t="s">
        <v>345</v>
      </c>
      <c r="R1" s="395" t="s">
        <v>346</v>
      </c>
      <c r="S1" s="393" t="s">
        <v>347</v>
      </c>
      <c r="T1" s="393" t="s">
        <v>348</v>
      </c>
      <c r="U1" s="393" t="s">
        <v>349</v>
      </c>
      <c r="V1" s="393" t="s">
        <v>350</v>
      </c>
      <c r="W1" s="393" t="s">
        <v>332</v>
      </c>
      <c r="X1" s="393" t="s">
        <v>351</v>
      </c>
      <c r="Y1" s="393" t="s">
        <v>352</v>
      </c>
      <c r="Z1" s="393" t="s">
        <v>129</v>
      </c>
      <c r="AA1" s="393" t="s">
        <v>10</v>
      </c>
      <c r="AB1" s="393" t="s">
        <v>353</v>
      </c>
      <c r="AC1" s="393" t="s">
        <v>354</v>
      </c>
      <c r="AD1" s="393" t="s">
        <v>355</v>
      </c>
      <c r="AE1" s="393" t="s">
        <v>356</v>
      </c>
      <c r="AF1" s="393" t="s">
        <v>357</v>
      </c>
      <c r="AG1" s="393" t="s">
        <v>656</v>
      </c>
      <c r="AH1" s="344"/>
      <c r="AI1" s="344"/>
    </row>
    <row r="2" customFormat="false" ht="13.8" hidden="false" customHeight="false" outlineLevel="0" collapsed="false">
      <c r="A2" s="397" t="s">
        <v>16</v>
      </c>
      <c r="B2" s="398" t="s">
        <v>657</v>
      </c>
      <c r="C2" s="399" t="s">
        <v>658</v>
      </c>
      <c r="D2" s="400" t="n">
        <v>23</v>
      </c>
      <c r="E2" s="401" t="n">
        <v>4.95</v>
      </c>
      <c r="F2" s="505" t="s">
        <v>659</v>
      </c>
      <c r="G2" s="402" t="n">
        <v>93.527</v>
      </c>
      <c r="H2" s="401"/>
      <c r="I2" s="401" t="n">
        <v>94.503</v>
      </c>
      <c r="J2" s="344" t="n">
        <v>94.173</v>
      </c>
      <c r="K2" s="344" t="n">
        <v>0.0525628364817942</v>
      </c>
      <c r="L2" s="401" t="n">
        <v>5.44041524545441</v>
      </c>
      <c r="M2" s="401" t="n">
        <v>12.3789870016283</v>
      </c>
      <c r="N2" s="401" t="s">
        <v>660</v>
      </c>
      <c r="O2" s="401" t="s">
        <v>661</v>
      </c>
      <c r="P2" s="401" t="s">
        <v>662</v>
      </c>
      <c r="Q2" s="401" t="s">
        <v>663</v>
      </c>
      <c r="R2" s="401" t="s">
        <v>376</v>
      </c>
      <c r="S2" s="401" t="s">
        <v>372</v>
      </c>
      <c r="T2" s="402" t="s">
        <v>395</v>
      </c>
      <c r="U2" s="402"/>
      <c r="V2" s="402" t="s">
        <v>427</v>
      </c>
      <c r="W2" s="400" t="n">
        <v>467635</v>
      </c>
      <c r="X2" s="400" t="n">
        <v>467635</v>
      </c>
      <c r="Y2" s="397"/>
      <c r="Z2" s="404" t="n">
        <v>34</v>
      </c>
      <c r="AA2" s="405" t="n">
        <v>-0.697084917617234</v>
      </c>
      <c r="AB2" s="405" t="n">
        <v>-0.000294501443860259</v>
      </c>
      <c r="AC2" s="397" t="n">
        <v>2561701.12455089</v>
      </c>
      <c r="AD2" s="397" t="n">
        <v>5828831.71452169</v>
      </c>
      <c r="AE2" s="506" t="n">
        <v>-0.00352839287050796</v>
      </c>
      <c r="AF2" s="404" t="n">
        <f aca="false">+D2*E2/100/365*15</f>
        <v>0.0467876712328767</v>
      </c>
      <c r="AG2" s="413" t="n">
        <v>46037</v>
      </c>
      <c r="AH2" s="344"/>
      <c r="AI2" s="408"/>
    </row>
    <row r="3" customFormat="false" ht="13.8" hidden="false" customHeight="false" outlineLevel="0" collapsed="false">
      <c r="A3" s="397" t="s">
        <v>16</v>
      </c>
      <c r="B3" s="398" t="s">
        <v>664</v>
      </c>
      <c r="C3" s="399" t="s">
        <v>665</v>
      </c>
      <c r="D3" s="400" t="n">
        <v>23</v>
      </c>
      <c r="E3" s="401" t="n">
        <v>4.75</v>
      </c>
      <c r="F3" s="401" t="s">
        <v>666</v>
      </c>
      <c r="G3" s="402" t="n">
        <v>88.4031</v>
      </c>
      <c r="H3" s="401"/>
      <c r="I3" s="401" t="n">
        <v>87.986</v>
      </c>
      <c r="J3" s="401" t="n">
        <v>88.298</v>
      </c>
      <c r="K3" s="401" t="n">
        <v>0.0537951029468391</v>
      </c>
      <c r="L3" s="401" t="n">
        <v>5.7302764525347</v>
      </c>
      <c r="M3" s="401" t="n">
        <v>12.6590618092278</v>
      </c>
      <c r="N3" s="401" t="s">
        <v>392</v>
      </c>
      <c r="O3" s="401" t="s">
        <v>437</v>
      </c>
      <c r="P3" s="401" t="s">
        <v>660</v>
      </c>
      <c r="Q3" s="401" t="s">
        <v>663</v>
      </c>
      <c r="R3" s="401" t="s">
        <v>376</v>
      </c>
      <c r="S3" s="401" t="s">
        <v>372</v>
      </c>
      <c r="T3" s="402" t="s">
        <v>395</v>
      </c>
      <c r="U3" s="402"/>
      <c r="V3" s="402" t="s">
        <v>427</v>
      </c>
      <c r="W3" s="400" t="n">
        <v>884031</v>
      </c>
      <c r="X3" s="400" t="n">
        <v>884031</v>
      </c>
      <c r="Y3" s="397"/>
      <c r="Z3" s="404" t="n">
        <v>34</v>
      </c>
      <c r="AA3" s="405" t="n">
        <v>1.31812420785804</v>
      </c>
      <c r="AB3" s="405" t="n">
        <v>0.000556875457481216</v>
      </c>
      <c r="AC3" s="397" t="n">
        <v>5059719.50205909</v>
      </c>
      <c r="AD3" s="397" t="n">
        <v>11177698.396312</v>
      </c>
      <c r="AE3" s="506" t="n">
        <v>0.00352928800008142</v>
      </c>
      <c r="AF3" s="404" t="n">
        <f aca="false">+D3*E3/100/365*15</f>
        <v>0.0448972602739726</v>
      </c>
      <c r="AG3" s="413" t="n">
        <v>46037</v>
      </c>
      <c r="AH3" s="344"/>
      <c r="AI3" s="408"/>
    </row>
    <row r="4" customFormat="false" ht="13.8" hidden="false" customHeight="false" outlineLevel="0" collapsed="false">
      <c r="A4" s="397" t="s">
        <v>383</v>
      </c>
      <c r="B4" s="398" t="s">
        <v>667</v>
      </c>
      <c r="C4" s="399" t="s">
        <v>668</v>
      </c>
      <c r="D4" s="400" t="n">
        <v>23</v>
      </c>
      <c r="E4" s="401" t="n">
        <v>6.613</v>
      </c>
      <c r="F4" s="401" t="s">
        <v>669</v>
      </c>
      <c r="G4" s="402" t="n">
        <v>115.09</v>
      </c>
      <c r="H4" s="401" t="n">
        <v>94.553</v>
      </c>
      <c r="I4" s="401" t="n">
        <v>100.175</v>
      </c>
      <c r="J4" s="401" t="n">
        <v>100</v>
      </c>
      <c r="K4" s="401" t="n">
        <v>0.06613</v>
      </c>
      <c r="L4" s="401" t="n">
        <v>7.25892826196101</v>
      </c>
      <c r="M4" s="401" t="n">
        <v>0.00555555555584817</v>
      </c>
      <c r="N4" s="401" t="s">
        <v>662</v>
      </c>
      <c r="O4" s="401" t="s">
        <v>437</v>
      </c>
      <c r="P4" s="401" t="s">
        <v>368</v>
      </c>
      <c r="Q4" s="401" t="s">
        <v>670</v>
      </c>
      <c r="R4" s="401" t="s">
        <v>376</v>
      </c>
      <c r="S4" s="401" t="s">
        <v>372</v>
      </c>
      <c r="T4" s="402" t="s">
        <v>412</v>
      </c>
      <c r="U4" s="402"/>
      <c r="V4" s="402" t="s">
        <v>413</v>
      </c>
      <c r="W4" s="400" t="n">
        <v>195653</v>
      </c>
      <c r="X4" s="400" t="n">
        <v>195653</v>
      </c>
      <c r="Y4" s="397"/>
      <c r="Z4" s="404" t="n">
        <v>34</v>
      </c>
      <c r="AA4" s="405" t="n">
        <v>-0.125686523024924</v>
      </c>
      <c r="AB4" s="405" t="n">
        <v>-5.30995027566219E-005</v>
      </c>
      <c r="AC4" s="397" t="n">
        <v>1234017.80453337</v>
      </c>
      <c r="AD4" s="397" t="n">
        <v>944.444444494188</v>
      </c>
      <c r="AE4" s="506" t="n">
        <v>-0.00152054913545918</v>
      </c>
      <c r="AF4" s="404" t="n">
        <f aca="false">+D4*E4/100/365*16</f>
        <v>0.0666735342465754</v>
      </c>
      <c r="AG4" s="413" t="n">
        <v>46037</v>
      </c>
      <c r="AH4" s="344"/>
    </row>
    <row r="5" customFormat="false" ht="13.8" hidden="false" customHeight="false" outlineLevel="0" collapsed="false">
      <c r="A5" s="397" t="s">
        <v>652</v>
      </c>
      <c r="B5" s="398" t="s">
        <v>671</v>
      </c>
      <c r="C5" s="399" t="s">
        <v>672</v>
      </c>
      <c r="D5" s="400" t="n">
        <v>23</v>
      </c>
      <c r="E5" s="401" t="n">
        <v>3</v>
      </c>
      <c r="F5" s="505" t="s">
        <v>673</v>
      </c>
      <c r="G5" s="402" t="n">
        <v>85.04296875</v>
      </c>
      <c r="H5" s="401" t="n">
        <v>82.953125</v>
      </c>
      <c r="I5" s="401" t="n">
        <v>71.7734375</v>
      </c>
      <c r="J5" s="401" t="n">
        <v>71.640625</v>
      </c>
      <c r="K5" s="401" t="n">
        <v>0.0414866032843561</v>
      </c>
      <c r="L5" s="401" t="n">
        <v>4.86715628003407</v>
      </c>
      <c r="M5" s="401" t="n">
        <v>16.5592579016223</v>
      </c>
      <c r="N5" s="401" t="s">
        <v>368</v>
      </c>
      <c r="O5" s="401" t="s">
        <v>674</v>
      </c>
      <c r="P5" s="401" t="s">
        <v>368</v>
      </c>
      <c r="Q5" s="401" t="s">
        <v>370</v>
      </c>
      <c r="R5" s="401" t="s">
        <v>376</v>
      </c>
      <c r="S5" s="401" t="s">
        <v>372</v>
      </c>
      <c r="T5" s="402" t="s">
        <v>377</v>
      </c>
      <c r="U5" s="402"/>
      <c r="V5" s="402" t="s">
        <v>378</v>
      </c>
      <c r="W5" s="400" t="n">
        <v>1360687.5</v>
      </c>
      <c r="X5" s="400" t="n">
        <v>1360687.5</v>
      </c>
      <c r="Y5" s="397"/>
      <c r="Z5" s="404" t="n">
        <v>34</v>
      </c>
      <c r="AA5" s="405" t="n">
        <v>-1.29053126320237E-005</v>
      </c>
      <c r="AB5" s="405" t="n">
        <v>-5.45218108661752E-009</v>
      </c>
      <c r="AC5" s="397" t="n">
        <v>5631299.81599942</v>
      </c>
      <c r="AD5" s="397" t="n">
        <v>19159061.392177</v>
      </c>
      <c r="AE5" s="506" t="n">
        <v>0.00633870745487116</v>
      </c>
      <c r="AF5" s="404" t="n">
        <v>48000</v>
      </c>
      <c r="AH5" s="344"/>
    </row>
    <row r="6" customFormat="false" ht="13.8" hidden="false" customHeight="false" outlineLevel="0" collapsed="false">
      <c r="A6" s="397" t="s">
        <v>386</v>
      </c>
      <c r="B6" s="398" t="s">
        <v>675</v>
      </c>
      <c r="C6" s="399" t="s">
        <v>676</v>
      </c>
      <c r="D6" s="400" t="n">
        <v>23</v>
      </c>
      <c r="E6" s="401" t="n">
        <v>4.375</v>
      </c>
      <c r="F6" s="401" t="s">
        <v>677</v>
      </c>
      <c r="G6" s="402" t="n">
        <v>89.358</v>
      </c>
      <c r="H6" s="401" t="n">
        <v>85.29</v>
      </c>
      <c r="I6" s="401" t="n">
        <v>86.597</v>
      </c>
      <c r="J6" s="401" t="n">
        <v>86.251</v>
      </c>
      <c r="K6" s="401" t="n">
        <v>0.0507240495762368</v>
      </c>
      <c r="L6" s="401" t="n">
        <v>5.40022310863715</v>
      </c>
      <c r="M6" s="401" t="n">
        <v>13.0664720327604</v>
      </c>
      <c r="N6" s="401" t="s">
        <v>423</v>
      </c>
      <c r="O6" s="401" t="s">
        <v>678</v>
      </c>
      <c r="P6" s="401" t="s">
        <v>679</v>
      </c>
      <c r="Q6" s="401" t="s">
        <v>663</v>
      </c>
      <c r="R6" s="401" t="s">
        <v>376</v>
      </c>
      <c r="S6" s="401" t="s">
        <v>372</v>
      </c>
      <c r="T6" s="402" t="s">
        <v>395</v>
      </c>
      <c r="U6" s="402"/>
      <c r="V6" s="402" t="s">
        <v>374</v>
      </c>
      <c r="W6" s="400" t="n">
        <v>893580</v>
      </c>
      <c r="X6" s="400" t="n">
        <v>893580</v>
      </c>
      <c r="Y6" s="397"/>
      <c r="Z6" s="404" t="n">
        <v>34</v>
      </c>
      <c r="AA6" s="405" t="n">
        <v>-3.36206168145321E-005</v>
      </c>
      <c r="AB6" s="405" t="n">
        <v>-1.42038938802417E-008</v>
      </c>
      <c r="AC6" s="397" t="n">
        <v>4657746.43343063</v>
      </c>
      <c r="AD6" s="397" t="n">
        <v>11269962.7929762</v>
      </c>
      <c r="AE6" s="506" t="n">
        <v>-0.00387206517603336</v>
      </c>
      <c r="AF6" s="404" t="n">
        <v>43750</v>
      </c>
      <c r="AG6" s="454" t="n">
        <v>46059</v>
      </c>
      <c r="AH6" s="344"/>
    </row>
    <row r="7" customFormat="false" ht="13.8" hidden="false" customHeight="false" outlineLevel="0" collapsed="false">
      <c r="A7" s="397" t="s">
        <v>652</v>
      </c>
      <c r="B7" s="398" t="s">
        <v>671</v>
      </c>
      <c r="C7" s="399" t="s">
        <v>672</v>
      </c>
      <c r="D7" s="400" t="n">
        <v>23</v>
      </c>
      <c r="E7" s="401" t="n">
        <v>3</v>
      </c>
      <c r="F7" s="401" t="s">
        <v>673</v>
      </c>
      <c r="G7" s="402" t="n">
        <v>85.04296875</v>
      </c>
      <c r="H7" s="401" t="n">
        <v>82.953125</v>
      </c>
      <c r="I7" s="401" t="n">
        <v>71.7734375</v>
      </c>
      <c r="J7" s="401" t="n">
        <v>73.84375</v>
      </c>
      <c r="K7" s="401" t="n">
        <v>0.0406263224714346</v>
      </c>
      <c r="L7" s="401" t="n">
        <v>4.87112614424208</v>
      </c>
      <c r="M7" s="401" t="n">
        <v>16.5043942552695</v>
      </c>
      <c r="N7" s="401" t="s">
        <v>368</v>
      </c>
      <c r="O7" s="401" t="s">
        <v>674</v>
      </c>
      <c r="P7" s="401" t="s">
        <v>368</v>
      </c>
      <c r="Q7" s="401" t="s">
        <v>370</v>
      </c>
      <c r="R7" s="401" t="s">
        <v>376</v>
      </c>
      <c r="S7" s="401" t="s">
        <v>372</v>
      </c>
      <c r="T7" s="402" t="s">
        <v>377</v>
      </c>
      <c r="U7" s="402"/>
      <c r="V7" s="402" t="s">
        <v>378</v>
      </c>
      <c r="W7" s="400" t="n">
        <v>1105558.59375</v>
      </c>
      <c r="X7" s="400" t="n">
        <v>1105558.59375</v>
      </c>
      <c r="Y7" s="397"/>
      <c r="Z7" s="404" t="n">
        <v>34</v>
      </c>
      <c r="AA7" s="405" t="n">
        <v>0.000201171049852134</v>
      </c>
      <c r="AB7" s="405" t="n">
        <v>8.49898816443319E-008</v>
      </c>
      <c r="AC7" s="397" t="n">
        <v>4676128.87578039</v>
      </c>
      <c r="AD7" s="397" t="n">
        <v>15843702.7227382</v>
      </c>
      <c r="AE7" s="506" t="n">
        <v>0.0243443112397226</v>
      </c>
      <c r="AF7" s="404" t="n">
        <v>39000</v>
      </c>
      <c r="AG7" s="454" t="n">
        <v>46077</v>
      </c>
      <c r="AH7" s="344"/>
    </row>
    <row r="8" customFormat="false" ht="13.8" hidden="false" customHeight="false" outlineLevel="0" collapsed="false">
      <c r="A8" s="397" t="s">
        <v>680</v>
      </c>
      <c r="B8" s="398" t="s">
        <v>671</v>
      </c>
      <c r="C8" s="399" t="s">
        <v>672</v>
      </c>
      <c r="D8" s="400" t="n">
        <v>23</v>
      </c>
      <c r="E8" s="401" t="n">
        <v>3</v>
      </c>
      <c r="F8" s="505" t="s">
        <v>673</v>
      </c>
      <c r="G8" s="402" t="n">
        <v>85.81821</v>
      </c>
      <c r="H8" s="401" t="n">
        <v>82.953125</v>
      </c>
      <c r="I8" s="401" t="n">
        <v>71.7734375</v>
      </c>
      <c r="J8" s="401" t="n">
        <v>73.84375</v>
      </c>
      <c r="K8" s="401" t="n">
        <v>0.0406263224714346</v>
      </c>
      <c r="L8" s="401" t="n">
        <v>4.87112614424208</v>
      </c>
      <c r="M8" s="401" t="n">
        <v>16.5043942552695</v>
      </c>
      <c r="N8" s="401" t="s">
        <v>368</v>
      </c>
      <c r="O8" s="401" t="s">
        <v>674</v>
      </c>
      <c r="P8" s="401" t="s">
        <v>368</v>
      </c>
      <c r="Q8" s="401" t="s">
        <v>370</v>
      </c>
      <c r="R8" s="401" t="s">
        <v>376</v>
      </c>
      <c r="S8" s="401" t="s">
        <v>372</v>
      </c>
      <c r="T8" s="402" t="s">
        <v>377</v>
      </c>
      <c r="U8" s="402"/>
      <c r="V8" s="402" t="s">
        <v>378</v>
      </c>
      <c r="W8" s="400" t="n">
        <v>600727.47</v>
      </c>
      <c r="X8" s="400" t="n">
        <v>600727.47</v>
      </c>
      <c r="Y8" s="397"/>
      <c r="Z8" s="404" t="n">
        <v>34</v>
      </c>
      <c r="AA8" s="405" t="n">
        <v>0.000201171049852134</v>
      </c>
      <c r="AB8" s="405" t="n">
        <v>8.49898816443319E-008</v>
      </c>
      <c r="AC8" s="397" t="n">
        <v>2517915.54849713</v>
      </c>
      <c r="AD8" s="397" t="n">
        <v>8531224.54301288</v>
      </c>
      <c r="AE8" s="506" t="n">
        <v>0.0241243962091496</v>
      </c>
      <c r="AF8" s="404" t="n">
        <v>21000</v>
      </c>
      <c r="AG8" s="454" t="n">
        <v>46077</v>
      </c>
      <c r="AH8" s="344"/>
    </row>
    <row r="9" customFormat="false" ht="13.8" hidden="false" customHeight="false" outlineLevel="0" collapsed="false">
      <c r="A9" s="397" t="s">
        <v>33</v>
      </c>
      <c r="B9" s="398" t="s">
        <v>657</v>
      </c>
      <c r="C9" s="399" t="s">
        <v>658</v>
      </c>
      <c r="D9" s="400" t="n">
        <v>23</v>
      </c>
      <c r="E9" s="401" t="n">
        <v>4.95</v>
      </c>
      <c r="F9" s="410" t="s">
        <v>659</v>
      </c>
      <c r="G9" s="402" t="n">
        <v>94.93</v>
      </c>
      <c r="H9" s="401"/>
      <c r="I9" s="401" t="n">
        <v>94.503</v>
      </c>
      <c r="J9" s="401" t="n">
        <v>93.047</v>
      </c>
      <c r="K9" s="401" t="n">
        <v>0.053198920975421</v>
      </c>
      <c r="L9" s="401" t="n">
        <v>5.43526502522874</v>
      </c>
      <c r="M9" s="401" t="n">
        <v>12.3008373568841</v>
      </c>
      <c r="N9" s="401" t="s">
        <v>660</v>
      </c>
      <c r="O9" s="401" t="s">
        <v>661</v>
      </c>
      <c r="P9" s="401" t="s">
        <v>662</v>
      </c>
      <c r="Q9" s="401" t="s">
        <v>663</v>
      </c>
      <c r="R9" s="401" t="s">
        <v>376</v>
      </c>
      <c r="S9" s="401" t="s">
        <v>372</v>
      </c>
      <c r="T9" s="402" t="s">
        <v>395</v>
      </c>
      <c r="U9" s="402"/>
      <c r="V9" s="402" t="s">
        <v>427</v>
      </c>
      <c r="W9" s="400" t="n">
        <v>949300</v>
      </c>
      <c r="X9" s="400" t="n">
        <v>949300</v>
      </c>
      <c r="Y9" s="397"/>
      <c r="Z9" s="404" t="n">
        <v>34</v>
      </c>
      <c r="AA9" s="405" t="n">
        <v>-0.000141478664976764</v>
      </c>
      <c r="AB9" s="405" t="n">
        <v>-5.97712991029844E-008</v>
      </c>
      <c r="AC9" s="397" t="n">
        <v>5057351.04802459</v>
      </c>
      <c r="AD9" s="397" t="n">
        <v>11445560.13546</v>
      </c>
      <c r="AE9" s="506" t="n">
        <v>-0.0153376171916149</v>
      </c>
      <c r="AF9" s="404" t="n">
        <v>49500</v>
      </c>
      <c r="AG9" s="454" t="n">
        <v>46091</v>
      </c>
      <c r="AH9" s="344"/>
    </row>
    <row r="10" customFormat="false" ht="13.8" hidden="false" customHeight="false" outlineLevel="0" collapsed="false">
      <c r="A10" s="397" t="s">
        <v>681</v>
      </c>
      <c r="B10" s="398" t="s">
        <v>682</v>
      </c>
      <c r="C10" s="399" t="s">
        <v>683</v>
      </c>
      <c r="D10" s="400" t="n">
        <v>23</v>
      </c>
      <c r="E10" s="401" t="n">
        <v>0</v>
      </c>
      <c r="F10" s="505" t="n">
        <v>46177</v>
      </c>
      <c r="G10" s="402" t="n">
        <v>99.07175</v>
      </c>
      <c r="H10" s="401"/>
      <c r="I10" s="401" t="n">
        <v>98.5194</v>
      </c>
      <c r="J10" s="401" t="n">
        <v>99.1517</v>
      </c>
      <c r="K10" s="401" t="n">
        <v>0.0369583897838847</v>
      </c>
      <c r="L10" s="401" t="n">
        <v>3.66153235307157</v>
      </c>
      <c r="M10" s="401" t="n">
        <v>0.306849315068493</v>
      </c>
      <c r="N10" s="401" t="s">
        <v>368</v>
      </c>
      <c r="O10" s="401" t="s">
        <v>368</v>
      </c>
      <c r="P10" s="401" t="s">
        <v>368</v>
      </c>
      <c r="Q10" s="401" t="s">
        <v>370</v>
      </c>
      <c r="R10" s="401" t="s">
        <v>376</v>
      </c>
      <c r="S10" s="401" t="s">
        <v>372</v>
      </c>
      <c r="T10" s="402" t="s">
        <v>377</v>
      </c>
      <c r="U10" s="402"/>
      <c r="V10" s="402" t="s">
        <v>378</v>
      </c>
      <c r="W10" s="400" t="n">
        <v>614244.85</v>
      </c>
      <c r="X10" s="400" t="n">
        <v>614244.85</v>
      </c>
      <c r="Y10" s="397"/>
      <c r="Z10" s="404" t="n">
        <v>34</v>
      </c>
      <c r="AA10" s="405" t="n">
        <v>6.14402196873681E-005</v>
      </c>
      <c r="AB10" s="405" t="n">
        <v>2.59570002903963E-008</v>
      </c>
      <c r="AC10" s="397" t="n">
        <v>2249077.3909826</v>
      </c>
      <c r="AD10" s="397" t="n">
        <v>188480.611506849</v>
      </c>
      <c r="AE10" s="506" t="n">
        <v>0.00557525227928234</v>
      </c>
      <c r="AF10" s="404" t="n">
        <v>22701.5005890438</v>
      </c>
      <c r="AH10" s="344"/>
    </row>
    <row r="11" customFormat="false" ht="13.8" hidden="false" customHeight="false" outlineLevel="0" collapsed="false">
      <c r="A11" s="397"/>
      <c r="B11" s="398"/>
      <c r="C11" s="399"/>
      <c r="D11" s="400"/>
      <c r="E11" s="401"/>
      <c r="F11" s="505"/>
      <c r="G11" s="402"/>
      <c r="H11" s="401"/>
      <c r="I11" s="401"/>
      <c r="J11" s="401"/>
      <c r="K11" s="401"/>
      <c r="L11" s="401"/>
      <c r="M11" s="401"/>
      <c r="N11" s="401"/>
      <c r="O11" s="401"/>
      <c r="P11" s="401"/>
      <c r="Q11" s="401"/>
      <c r="R11" s="401"/>
      <c r="S11" s="401"/>
      <c r="T11" s="402"/>
      <c r="U11" s="402"/>
      <c r="V11" s="402"/>
      <c r="W11" s="400"/>
      <c r="X11" s="400"/>
      <c r="Y11" s="397"/>
      <c r="Z11" s="404"/>
      <c r="AA11" s="405"/>
      <c r="AB11" s="405"/>
      <c r="AC11" s="397"/>
      <c r="AD11" s="397"/>
      <c r="AE11" s="506"/>
      <c r="AF11" s="404"/>
    </row>
    <row r="12" customFormat="false" ht="13.8" hidden="false" customHeight="false" outlineLevel="0" collapsed="false">
      <c r="A12" s="397"/>
      <c r="B12" s="398"/>
      <c r="C12" s="399"/>
      <c r="D12" s="400"/>
      <c r="E12" s="401"/>
      <c r="F12" s="505"/>
      <c r="G12" s="402"/>
      <c r="H12" s="401"/>
      <c r="I12" s="401"/>
      <c r="J12" s="401"/>
      <c r="K12" s="401"/>
      <c r="L12" s="401"/>
      <c r="M12" s="401"/>
      <c r="N12" s="401"/>
      <c r="O12" s="401"/>
      <c r="P12" s="401"/>
      <c r="Q12" s="401"/>
      <c r="R12" s="401"/>
      <c r="S12" s="401"/>
      <c r="T12" s="402"/>
      <c r="U12" s="402"/>
      <c r="V12" s="402"/>
      <c r="W12" s="400"/>
      <c r="X12" s="400"/>
      <c r="Y12" s="397"/>
      <c r="Z12" s="404"/>
      <c r="AA12" s="405"/>
      <c r="AB12" s="405"/>
      <c r="AC12" s="397"/>
      <c r="AD12" s="397"/>
      <c r="AE12" s="506"/>
      <c r="AF12" s="404"/>
      <c r="AG12" s="454"/>
    </row>
    <row r="13" customFormat="false" ht="13.8" hidden="false" customHeight="false" outlineLevel="0" collapsed="false">
      <c r="A13" s="397"/>
      <c r="B13" s="398"/>
      <c r="C13" s="399"/>
      <c r="D13" s="400"/>
      <c r="E13" s="401"/>
      <c r="F13" s="505"/>
      <c r="G13" s="402"/>
      <c r="H13" s="401"/>
      <c r="I13" s="401"/>
      <c r="J13" s="401"/>
      <c r="K13" s="401"/>
      <c r="L13" s="401"/>
      <c r="M13" s="401"/>
      <c r="N13" s="401"/>
      <c r="O13" s="401"/>
      <c r="P13" s="401"/>
      <c r="Q13" s="401"/>
      <c r="R13" s="401"/>
      <c r="S13" s="401"/>
      <c r="T13" s="402"/>
      <c r="U13" s="402"/>
      <c r="V13" s="402"/>
      <c r="W13" s="400"/>
      <c r="X13" s="400"/>
      <c r="Y13" s="397"/>
      <c r="Z13" s="404"/>
      <c r="AA13" s="405"/>
      <c r="AB13" s="405"/>
      <c r="AC13" s="397"/>
      <c r="AD13" s="397"/>
      <c r="AE13" s="506"/>
      <c r="AF13" s="404"/>
      <c r="AG13" s="454"/>
    </row>
    <row r="14" customFormat="false" ht="13.8" hidden="false" customHeight="false" outlineLevel="0" collapsed="false">
      <c r="A14" s="397"/>
      <c r="B14" s="398"/>
      <c r="C14" s="399"/>
      <c r="D14" s="400"/>
      <c r="E14" s="401"/>
      <c r="F14" s="505"/>
      <c r="G14" s="402"/>
      <c r="H14" s="401"/>
      <c r="I14" s="401"/>
      <c r="J14" s="401"/>
      <c r="K14" s="401"/>
      <c r="L14" s="401"/>
      <c r="M14" s="401"/>
      <c r="N14" s="401"/>
      <c r="O14" s="401"/>
      <c r="P14" s="401"/>
      <c r="Q14" s="401"/>
      <c r="R14" s="401"/>
      <c r="S14" s="401"/>
      <c r="T14" s="402"/>
      <c r="U14" s="402"/>
      <c r="V14" s="402"/>
      <c r="W14" s="400"/>
      <c r="X14" s="400"/>
      <c r="Y14" s="397"/>
      <c r="Z14" s="404"/>
      <c r="AA14" s="405"/>
      <c r="AB14" s="405"/>
      <c r="AC14" s="397"/>
      <c r="AD14" s="397"/>
      <c r="AE14" s="506"/>
      <c r="AF14" s="404"/>
      <c r="AG14" s="454"/>
    </row>
    <row r="15" customFormat="false" ht="13.8" hidden="false" customHeight="false" outlineLevel="0" collapsed="false">
      <c r="A15" s="397"/>
      <c r="B15" s="398"/>
      <c r="C15" s="399"/>
      <c r="D15" s="400"/>
      <c r="E15" s="401"/>
      <c r="F15" s="505"/>
      <c r="G15" s="402"/>
      <c r="H15" s="401"/>
      <c r="I15" s="401"/>
      <c r="J15" s="401"/>
      <c r="K15" s="401"/>
      <c r="L15" s="401"/>
      <c r="M15" s="401"/>
      <c r="N15" s="401"/>
      <c r="O15" s="401"/>
      <c r="P15" s="401"/>
      <c r="Q15" s="401"/>
      <c r="R15" s="401"/>
      <c r="S15" s="401"/>
      <c r="T15" s="402"/>
      <c r="U15" s="402"/>
      <c r="V15" s="402"/>
      <c r="W15" s="400"/>
      <c r="X15" s="400"/>
      <c r="Y15" s="397"/>
      <c r="Z15" s="404"/>
      <c r="AA15" s="405"/>
      <c r="AB15" s="405"/>
      <c r="AC15" s="397"/>
      <c r="AD15" s="397"/>
      <c r="AE15" s="506"/>
      <c r="AF15" s="404"/>
      <c r="AG15" s="454"/>
    </row>
    <row r="16" customFormat="false" ht="13.8" hidden="false" customHeight="false" outlineLevel="0" collapsed="false">
      <c r="A16" s="397"/>
      <c r="B16" s="398"/>
      <c r="C16" s="399"/>
      <c r="D16" s="400"/>
      <c r="E16" s="401"/>
      <c r="F16" s="505"/>
      <c r="G16" s="402"/>
      <c r="H16" s="401"/>
      <c r="I16" s="401"/>
      <c r="J16" s="401"/>
      <c r="K16" s="401"/>
      <c r="L16" s="401"/>
      <c r="M16" s="401"/>
      <c r="N16" s="401"/>
      <c r="O16" s="401"/>
      <c r="P16" s="401"/>
      <c r="Q16" s="401"/>
      <c r="R16" s="401"/>
      <c r="S16" s="401"/>
      <c r="T16" s="402"/>
      <c r="U16" s="402"/>
      <c r="V16" s="402"/>
      <c r="W16" s="400"/>
      <c r="X16" s="400"/>
      <c r="Y16" s="397"/>
      <c r="Z16" s="404"/>
      <c r="AA16" s="405"/>
      <c r="AB16" s="405"/>
      <c r="AC16" s="397"/>
      <c r="AD16" s="397"/>
      <c r="AE16" s="506"/>
      <c r="AF16" s="404"/>
      <c r="AG16" s="344"/>
      <c r="AH16" s="344"/>
      <c r="AI16" s="344"/>
    </row>
    <row r="17" customFormat="false" ht="13.8" hidden="false" customHeight="false" outlineLevel="0" collapsed="false">
      <c r="A17" s="397"/>
      <c r="B17" s="398"/>
      <c r="C17" s="399"/>
      <c r="D17" s="400"/>
      <c r="E17" s="401"/>
      <c r="F17" s="505"/>
      <c r="G17" s="402"/>
      <c r="H17" s="401"/>
      <c r="I17" s="401"/>
      <c r="J17" s="401"/>
      <c r="K17" s="401"/>
      <c r="L17" s="401"/>
      <c r="M17" s="401"/>
      <c r="N17" s="401"/>
      <c r="O17" s="401"/>
      <c r="P17" s="401"/>
      <c r="Q17" s="401"/>
      <c r="R17" s="401"/>
      <c r="S17" s="401"/>
      <c r="T17" s="402"/>
      <c r="U17" s="402"/>
      <c r="V17" s="402"/>
      <c r="W17" s="400"/>
      <c r="X17" s="400"/>
      <c r="Y17" s="397"/>
      <c r="Z17" s="404"/>
      <c r="AA17" s="405"/>
      <c r="AB17" s="405"/>
      <c r="AC17" s="397"/>
      <c r="AD17" s="397"/>
      <c r="AE17" s="506"/>
      <c r="AF17" s="404"/>
      <c r="AG17" s="428"/>
      <c r="AH17" s="344"/>
      <c r="AI17" s="344"/>
    </row>
    <row r="18" customFormat="false" ht="13.8" hidden="false" customHeight="false" outlineLevel="0" collapsed="false">
      <c r="A18" s="397"/>
      <c r="B18" s="398"/>
      <c r="C18" s="399"/>
      <c r="D18" s="400"/>
      <c r="E18" s="401"/>
      <c r="F18" s="505"/>
      <c r="G18" s="402"/>
      <c r="H18" s="401"/>
      <c r="I18" s="401"/>
      <c r="J18" s="401"/>
      <c r="K18" s="401"/>
      <c r="L18" s="401"/>
      <c r="M18" s="401"/>
      <c r="N18" s="401"/>
      <c r="O18" s="401"/>
      <c r="P18" s="401"/>
      <c r="Q18" s="401"/>
      <c r="R18" s="401"/>
      <c r="S18" s="401"/>
      <c r="T18" s="402"/>
      <c r="U18" s="402"/>
      <c r="V18" s="402"/>
      <c r="W18" s="400"/>
      <c r="X18" s="400"/>
      <c r="Y18" s="397"/>
      <c r="Z18" s="404"/>
      <c r="AA18" s="405"/>
      <c r="AB18" s="405"/>
      <c r="AC18" s="397"/>
      <c r="AD18" s="397"/>
      <c r="AE18" s="506"/>
      <c r="AF18" s="404"/>
      <c r="AG18" s="428"/>
    </row>
    <row r="19" customFormat="false" ht="13.8" hidden="false" customHeight="false" outlineLevel="0" collapsed="false">
      <c r="A19" s="397"/>
      <c r="B19" s="398"/>
      <c r="C19" s="399"/>
      <c r="D19" s="400"/>
      <c r="E19" s="401"/>
      <c r="F19" s="505"/>
      <c r="G19" s="402"/>
      <c r="H19" s="401"/>
      <c r="I19" s="401"/>
      <c r="J19" s="401"/>
      <c r="K19" s="401"/>
      <c r="L19" s="401"/>
      <c r="M19" s="401"/>
      <c r="N19" s="401"/>
      <c r="O19" s="401"/>
      <c r="P19" s="401"/>
      <c r="Q19" s="401"/>
      <c r="R19" s="401"/>
      <c r="S19" s="401"/>
      <c r="T19" s="402"/>
      <c r="U19" s="402"/>
      <c r="V19" s="402"/>
      <c r="W19" s="400"/>
      <c r="X19" s="400"/>
      <c r="Y19" s="397"/>
      <c r="Z19" s="404"/>
      <c r="AA19" s="405"/>
      <c r="AB19" s="405"/>
      <c r="AC19" s="397"/>
      <c r="AD19" s="397"/>
      <c r="AE19" s="506"/>
      <c r="AF19" s="404"/>
    </row>
    <row r="20" customFormat="false" ht="13.8" hidden="false" customHeight="false" outlineLevel="0" collapsed="false">
      <c r="A20" s="397"/>
      <c r="B20" s="398"/>
      <c r="C20" s="399"/>
      <c r="D20" s="400"/>
      <c r="E20" s="401"/>
      <c r="F20" s="505"/>
      <c r="G20" s="402"/>
      <c r="H20" s="401"/>
      <c r="I20" s="401"/>
      <c r="J20" s="401"/>
      <c r="K20" s="401"/>
      <c r="L20" s="401"/>
      <c r="M20" s="401"/>
      <c r="N20" s="401"/>
      <c r="O20" s="401"/>
      <c r="P20" s="401"/>
      <c r="Q20" s="401"/>
      <c r="R20" s="401"/>
      <c r="S20" s="401"/>
      <c r="T20" s="402"/>
      <c r="U20" s="402"/>
      <c r="V20" s="402"/>
      <c r="W20" s="400"/>
      <c r="X20" s="400"/>
      <c r="Y20" s="397"/>
      <c r="Z20" s="404"/>
      <c r="AA20" s="405"/>
      <c r="AB20" s="405"/>
      <c r="AC20" s="397"/>
      <c r="AD20" s="397"/>
      <c r="AE20" s="506"/>
      <c r="AF20" s="404"/>
    </row>
    <row r="21" customFormat="false" ht="13.8" hidden="false" customHeight="false" outlineLevel="0" collapsed="false">
      <c r="A21" s="397"/>
      <c r="B21" s="398"/>
      <c r="C21" s="399"/>
      <c r="D21" s="400"/>
      <c r="E21" s="401"/>
      <c r="F21" s="505"/>
      <c r="G21" s="402"/>
      <c r="H21" s="401"/>
      <c r="I21" s="401"/>
      <c r="J21" s="401"/>
      <c r="K21" s="401"/>
      <c r="L21" s="401"/>
      <c r="M21" s="401"/>
      <c r="N21" s="401"/>
      <c r="O21" s="401"/>
      <c r="P21" s="401"/>
      <c r="Q21" s="401"/>
      <c r="R21" s="401"/>
      <c r="S21" s="401"/>
      <c r="T21" s="402"/>
      <c r="U21" s="402"/>
      <c r="V21" s="402"/>
      <c r="W21" s="400"/>
      <c r="X21" s="400"/>
      <c r="Y21" s="397"/>
      <c r="Z21" s="404"/>
      <c r="AA21" s="405"/>
      <c r="AB21" s="405"/>
      <c r="AC21" s="397"/>
      <c r="AD21" s="397"/>
      <c r="AE21" s="506"/>
      <c r="AF21" s="404"/>
    </row>
    <row r="22" customFormat="false" ht="13.8" hidden="false" customHeight="false" outlineLevel="0" collapsed="false">
      <c r="A22" s="397"/>
      <c r="B22" s="398"/>
      <c r="C22" s="399"/>
      <c r="D22" s="400"/>
      <c r="E22" s="401"/>
      <c r="F22" s="505"/>
      <c r="G22" s="402"/>
      <c r="H22" s="401"/>
      <c r="I22" s="401"/>
      <c r="J22" s="401"/>
      <c r="K22" s="401"/>
      <c r="L22" s="401"/>
      <c r="M22" s="401"/>
      <c r="N22" s="401"/>
      <c r="O22" s="401"/>
      <c r="P22" s="401"/>
      <c r="Q22" s="401"/>
      <c r="R22" s="401"/>
      <c r="S22" s="401"/>
      <c r="T22" s="402"/>
      <c r="U22" s="402"/>
      <c r="V22" s="402"/>
      <c r="W22" s="400"/>
      <c r="X22" s="400"/>
      <c r="Y22" s="397"/>
      <c r="Z22" s="404"/>
      <c r="AA22" s="405"/>
      <c r="AB22" s="405"/>
      <c r="AC22" s="397"/>
      <c r="AD22" s="397"/>
      <c r="AE22" s="506"/>
      <c r="AF22" s="404"/>
    </row>
    <row r="23" customFormat="false" ht="13.8" hidden="false" customHeight="false" outlineLevel="0" collapsed="false">
      <c r="A23" s="397"/>
      <c r="B23" s="398"/>
      <c r="C23" s="399"/>
      <c r="D23" s="400"/>
      <c r="E23" s="401"/>
      <c r="F23" s="505"/>
      <c r="G23" s="402"/>
      <c r="H23" s="401"/>
      <c r="I23" s="401"/>
      <c r="J23" s="401"/>
      <c r="K23" s="401"/>
      <c r="L23" s="401"/>
      <c r="M23" s="401"/>
      <c r="N23" s="401"/>
      <c r="O23" s="401"/>
      <c r="P23" s="401"/>
      <c r="Q23" s="401"/>
      <c r="R23" s="401"/>
      <c r="S23" s="401"/>
      <c r="T23" s="402"/>
      <c r="U23" s="402"/>
      <c r="V23" s="402"/>
      <c r="W23" s="400"/>
      <c r="X23" s="400"/>
      <c r="Y23" s="397"/>
      <c r="Z23" s="404"/>
      <c r="AA23" s="405"/>
      <c r="AB23" s="405"/>
      <c r="AC23" s="397"/>
      <c r="AD23" s="397"/>
      <c r="AE23" s="506"/>
      <c r="AF23" s="404"/>
    </row>
    <row r="24" customFormat="false" ht="13.8" hidden="false" customHeight="false" outlineLevel="0" collapsed="false">
      <c r="A24" s="397"/>
      <c r="B24" s="398"/>
      <c r="C24" s="399"/>
      <c r="D24" s="400"/>
      <c r="E24" s="401"/>
      <c r="F24" s="505"/>
      <c r="G24" s="402"/>
      <c r="H24" s="401"/>
      <c r="I24" s="401"/>
      <c r="J24" s="401"/>
      <c r="K24" s="401"/>
      <c r="L24" s="401"/>
      <c r="M24" s="401"/>
      <c r="N24" s="401"/>
      <c r="O24" s="401"/>
      <c r="P24" s="401"/>
      <c r="Q24" s="401"/>
      <c r="R24" s="401"/>
      <c r="S24" s="401"/>
      <c r="T24" s="402"/>
      <c r="U24" s="402"/>
      <c r="V24" s="402"/>
      <c r="W24" s="400"/>
      <c r="X24" s="400"/>
      <c r="Y24" s="397"/>
      <c r="Z24" s="404"/>
      <c r="AA24" s="405"/>
      <c r="AB24" s="405"/>
      <c r="AC24" s="397"/>
      <c r="AD24" s="397"/>
      <c r="AE24" s="506"/>
      <c r="AF24" s="404"/>
    </row>
    <row r="25" customFormat="false" ht="13.8" hidden="false" customHeight="false" outlineLevel="0" collapsed="false">
      <c r="A25" s="397"/>
      <c r="B25" s="398"/>
      <c r="C25" s="399"/>
      <c r="D25" s="400"/>
      <c r="E25" s="401"/>
      <c r="F25" s="505"/>
      <c r="G25" s="402"/>
      <c r="H25" s="401"/>
      <c r="I25" s="401"/>
      <c r="J25" s="401"/>
      <c r="K25" s="401"/>
      <c r="L25" s="401"/>
      <c r="M25" s="401"/>
      <c r="N25" s="401"/>
      <c r="O25" s="401"/>
      <c r="P25" s="401"/>
      <c r="Q25" s="401"/>
      <c r="R25" s="401"/>
      <c r="S25" s="401"/>
      <c r="T25" s="402"/>
      <c r="U25" s="402"/>
      <c r="V25" s="402"/>
      <c r="W25" s="400"/>
      <c r="X25" s="400"/>
      <c r="Y25" s="397"/>
      <c r="Z25" s="404"/>
      <c r="AA25" s="405"/>
      <c r="AB25" s="405"/>
      <c r="AC25" s="397"/>
      <c r="AD25" s="397"/>
      <c r="AE25" s="506"/>
      <c r="AF25" s="404"/>
    </row>
    <row r="26" customFormat="false" ht="13.8" hidden="false" customHeight="false" outlineLevel="0" collapsed="false">
      <c r="A26" s="397"/>
      <c r="B26" s="398"/>
      <c r="C26" s="399"/>
      <c r="D26" s="400"/>
      <c r="E26" s="401"/>
      <c r="F26" s="505"/>
      <c r="G26" s="402"/>
      <c r="H26" s="401"/>
      <c r="I26" s="401"/>
      <c r="J26" s="401"/>
      <c r="K26" s="401"/>
      <c r="L26" s="401"/>
      <c r="M26" s="401"/>
      <c r="N26" s="401"/>
      <c r="O26" s="401"/>
      <c r="P26" s="401"/>
      <c r="Q26" s="401"/>
      <c r="R26" s="401"/>
      <c r="S26" s="401"/>
      <c r="T26" s="402"/>
      <c r="U26" s="402"/>
      <c r="V26" s="402"/>
      <c r="W26" s="400"/>
      <c r="X26" s="400"/>
      <c r="Y26" s="397"/>
      <c r="Z26" s="404"/>
      <c r="AA26" s="405"/>
      <c r="AB26" s="405"/>
      <c r="AC26" s="397"/>
      <c r="AD26" s="397"/>
      <c r="AE26" s="506"/>
      <c r="AF26" s="404"/>
    </row>
    <row r="27" customFormat="false" ht="13.8" hidden="false" customHeight="false" outlineLevel="0" collapsed="false">
      <c r="A27" s="397"/>
      <c r="B27" s="398"/>
      <c r="C27" s="399"/>
      <c r="D27" s="400"/>
      <c r="E27" s="401"/>
      <c r="F27" s="505"/>
      <c r="G27" s="402"/>
      <c r="H27" s="401"/>
      <c r="I27" s="401"/>
      <c r="J27" s="401"/>
      <c r="K27" s="401"/>
      <c r="L27" s="401"/>
      <c r="M27" s="401"/>
      <c r="N27" s="401"/>
      <c r="O27" s="401"/>
      <c r="P27" s="401"/>
      <c r="Q27" s="401"/>
      <c r="R27" s="401"/>
      <c r="S27" s="401"/>
      <c r="T27" s="402"/>
      <c r="U27" s="402"/>
      <c r="V27" s="402"/>
      <c r="W27" s="400"/>
      <c r="X27" s="400"/>
      <c r="Y27" s="397"/>
      <c r="Z27" s="404"/>
      <c r="AA27" s="405"/>
      <c r="AB27" s="405"/>
      <c r="AC27" s="397"/>
      <c r="AD27" s="397"/>
      <c r="AE27" s="506"/>
      <c r="AF27" s="404"/>
    </row>
    <row r="28" customFormat="false" ht="13.8" hidden="false" customHeight="false" outlineLevel="0" collapsed="false">
      <c r="A28" s="397"/>
      <c r="B28" s="398"/>
      <c r="C28" s="399"/>
      <c r="D28" s="400"/>
      <c r="E28" s="401"/>
      <c r="F28" s="505"/>
      <c r="G28" s="402"/>
      <c r="H28" s="401"/>
      <c r="I28" s="401"/>
      <c r="J28" s="401"/>
      <c r="K28" s="401"/>
      <c r="L28" s="401"/>
      <c r="M28" s="401"/>
      <c r="N28" s="401"/>
      <c r="O28" s="401"/>
      <c r="P28" s="401"/>
      <c r="Q28" s="401"/>
      <c r="R28" s="401"/>
      <c r="S28" s="401"/>
      <c r="T28" s="402"/>
      <c r="U28" s="402"/>
      <c r="V28" s="402"/>
      <c r="W28" s="400"/>
      <c r="X28" s="400"/>
      <c r="Y28" s="397"/>
      <c r="Z28" s="404"/>
      <c r="AA28" s="405"/>
      <c r="AB28" s="405"/>
      <c r="AC28" s="397"/>
      <c r="AD28" s="397"/>
      <c r="AE28" s="506"/>
      <c r="AF28" s="404"/>
    </row>
    <row r="29" customFormat="false" ht="13.8" hidden="false" customHeight="false" outlineLevel="0" collapsed="false">
      <c r="A29" s="397"/>
      <c r="B29" s="398"/>
      <c r="C29" s="399"/>
      <c r="D29" s="400"/>
      <c r="E29" s="401"/>
      <c r="F29" s="505"/>
      <c r="G29" s="402"/>
      <c r="H29" s="401"/>
      <c r="I29" s="401"/>
      <c r="J29" s="401"/>
      <c r="K29" s="401"/>
      <c r="L29" s="401"/>
      <c r="M29" s="401"/>
      <c r="N29" s="401"/>
      <c r="O29" s="401"/>
      <c r="P29" s="401"/>
      <c r="Q29" s="401"/>
      <c r="R29" s="401"/>
      <c r="S29" s="401"/>
      <c r="T29" s="402"/>
      <c r="U29" s="402"/>
      <c r="V29" s="402"/>
      <c r="W29" s="400"/>
      <c r="X29" s="400"/>
      <c r="Y29" s="397"/>
      <c r="Z29" s="404"/>
      <c r="AA29" s="405"/>
      <c r="AB29" s="405"/>
      <c r="AC29" s="397"/>
      <c r="AD29" s="397"/>
      <c r="AE29" s="506"/>
      <c r="AF29" s="404"/>
    </row>
    <row r="30" customFormat="false" ht="13.8" hidden="false" customHeight="false" outlineLevel="0" collapsed="false">
      <c r="A30" s="397"/>
      <c r="B30" s="398"/>
      <c r="C30" s="399"/>
      <c r="D30" s="400"/>
      <c r="E30" s="401"/>
      <c r="F30" s="505"/>
      <c r="G30" s="402"/>
      <c r="H30" s="401"/>
      <c r="I30" s="401"/>
      <c r="J30" s="401"/>
      <c r="K30" s="401"/>
      <c r="L30" s="401"/>
      <c r="M30" s="401"/>
      <c r="N30" s="401"/>
      <c r="O30" s="401"/>
      <c r="P30" s="401"/>
      <c r="Q30" s="401"/>
      <c r="R30" s="401"/>
      <c r="S30" s="401"/>
      <c r="T30" s="402"/>
      <c r="U30" s="402"/>
      <c r="V30" s="402"/>
      <c r="W30" s="400"/>
      <c r="X30" s="400"/>
      <c r="Y30" s="397"/>
      <c r="Z30" s="404"/>
      <c r="AA30" s="405"/>
      <c r="AB30" s="405"/>
      <c r="AC30" s="397"/>
      <c r="AD30" s="397"/>
      <c r="AE30" s="506"/>
      <c r="AF30" s="404"/>
      <c r="AG30" s="454"/>
    </row>
    <row r="31" customFormat="false" ht="13.8" hidden="false" customHeight="false" outlineLevel="0" collapsed="false">
      <c r="A31" s="397"/>
      <c r="B31" s="398"/>
      <c r="C31" s="399"/>
      <c r="D31" s="400"/>
      <c r="E31" s="401"/>
      <c r="F31" s="505"/>
      <c r="G31" s="402"/>
      <c r="H31" s="401"/>
      <c r="I31" s="401"/>
      <c r="J31" s="401"/>
      <c r="K31" s="401"/>
      <c r="L31" s="401"/>
      <c r="M31" s="401"/>
      <c r="N31" s="401"/>
      <c r="O31" s="401"/>
      <c r="P31" s="401"/>
      <c r="Q31" s="401"/>
      <c r="R31" s="401"/>
      <c r="S31" s="401"/>
      <c r="T31" s="402"/>
      <c r="U31" s="402"/>
      <c r="V31" s="402"/>
      <c r="W31" s="400"/>
      <c r="X31" s="400"/>
      <c r="Y31" s="397"/>
      <c r="Z31" s="404"/>
      <c r="AA31" s="405"/>
      <c r="AB31" s="405"/>
      <c r="AC31" s="397"/>
      <c r="AD31" s="397"/>
      <c r="AE31" s="506"/>
      <c r="AF31" s="404"/>
      <c r="AG31" s="454"/>
    </row>
    <row r="32" s="344" customFormat="true" ht="13.8" hidden="false" customHeight="false" outlineLevel="0" collapsed="false">
      <c r="A32" s="397"/>
      <c r="B32" s="398"/>
      <c r="C32" s="399"/>
      <c r="D32" s="400"/>
      <c r="E32" s="401"/>
      <c r="F32" s="505"/>
      <c r="G32" s="402"/>
      <c r="H32" s="401"/>
      <c r="I32" s="401"/>
      <c r="J32" s="401"/>
      <c r="K32" s="401"/>
      <c r="L32" s="401"/>
      <c r="M32" s="401"/>
      <c r="N32" s="401"/>
      <c r="O32" s="401"/>
      <c r="P32" s="401"/>
      <c r="Q32" s="401"/>
      <c r="R32" s="401"/>
      <c r="S32" s="401"/>
      <c r="T32" s="402"/>
      <c r="U32" s="402"/>
      <c r="V32" s="402"/>
      <c r="W32" s="400"/>
      <c r="X32" s="400"/>
      <c r="Y32" s="397"/>
      <c r="Z32" s="404"/>
      <c r="AA32" s="405"/>
      <c r="AB32" s="405"/>
      <c r="AC32" s="397"/>
      <c r="AD32" s="397"/>
      <c r="AE32" s="506"/>
      <c r="AF32" s="404"/>
      <c r="AG32" s="454"/>
      <c r="AH32" s="0"/>
      <c r="AI32" s="0"/>
      <c r="AJ32" s="0"/>
      <c r="AK32" s="0"/>
    </row>
    <row r="33" customFormat="false" ht="13.8" hidden="false" customHeight="false" outlineLevel="0" collapsed="false">
      <c r="A33" s="397"/>
      <c r="B33" s="398"/>
      <c r="C33" s="399"/>
      <c r="D33" s="400"/>
      <c r="E33" s="401"/>
      <c r="F33" s="505"/>
      <c r="G33" s="402"/>
      <c r="H33" s="401"/>
      <c r="I33" s="401"/>
      <c r="J33" s="401"/>
      <c r="K33" s="401"/>
      <c r="L33" s="401"/>
      <c r="M33" s="401"/>
      <c r="N33" s="401"/>
      <c r="O33" s="401"/>
      <c r="P33" s="401"/>
      <c r="Q33" s="401"/>
      <c r="R33" s="401"/>
      <c r="S33" s="401"/>
      <c r="T33" s="402"/>
      <c r="U33" s="402"/>
      <c r="V33" s="402"/>
      <c r="W33" s="400"/>
      <c r="X33" s="400"/>
      <c r="Y33" s="397"/>
      <c r="Z33" s="404"/>
      <c r="AA33" s="405"/>
      <c r="AB33" s="405"/>
      <c r="AC33" s="397"/>
      <c r="AD33" s="397"/>
      <c r="AE33" s="506"/>
      <c r="AF33" s="404"/>
      <c r="AG33" s="454"/>
    </row>
    <row r="34" customFormat="false" ht="13.8" hidden="false" customHeight="false" outlineLevel="0" collapsed="false">
      <c r="A34" s="397"/>
      <c r="B34" s="398"/>
      <c r="C34" s="399"/>
      <c r="D34" s="400"/>
      <c r="E34" s="401"/>
      <c r="F34" s="505"/>
      <c r="G34" s="402"/>
      <c r="H34" s="401"/>
      <c r="I34" s="401"/>
      <c r="J34" s="401"/>
      <c r="K34" s="401"/>
      <c r="L34" s="401"/>
      <c r="M34" s="401"/>
      <c r="N34" s="401"/>
      <c r="O34" s="401"/>
      <c r="P34" s="401"/>
      <c r="Q34" s="401"/>
      <c r="R34" s="401"/>
      <c r="S34" s="401"/>
      <c r="T34" s="402"/>
      <c r="U34" s="402"/>
      <c r="V34" s="402"/>
      <c r="W34" s="400"/>
      <c r="X34" s="400"/>
      <c r="Y34" s="397"/>
      <c r="Z34" s="404"/>
      <c r="AA34" s="405"/>
      <c r="AB34" s="405"/>
      <c r="AC34" s="397"/>
      <c r="AD34" s="397"/>
      <c r="AE34" s="506"/>
      <c r="AF34" s="404"/>
      <c r="AG34" s="454"/>
    </row>
    <row r="35" customFormat="false" ht="13.8" hidden="false" customHeight="false" outlineLevel="0" collapsed="false">
      <c r="A35" s="397"/>
      <c r="B35" s="398"/>
      <c r="C35" s="399"/>
      <c r="D35" s="400"/>
      <c r="E35" s="401"/>
      <c r="F35" s="505"/>
      <c r="G35" s="402"/>
      <c r="H35" s="401"/>
      <c r="I35" s="401"/>
      <c r="J35" s="401"/>
      <c r="K35" s="401"/>
      <c r="L35" s="401"/>
      <c r="M35" s="401"/>
      <c r="N35" s="401"/>
      <c r="O35" s="401"/>
      <c r="P35" s="401"/>
      <c r="Q35" s="401"/>
      <c r="R35" s="401"/>
      <c r="S35" s="401"/>
      <c r="T35" s="402"/>
      <c r="U35" s="402"/>
      <c r="V35" s="402"/>
      <c r="W35" s="400"/>
      <c r="X35" s="400"/>
      <c r="Y35" s="397"/>
      <c r="Z35" s="404"/>
      <c r="AA35" s="405"/>
      <c r="AB35" s="405"/>
      <c r="AC35" s="397"/>
      <c r="AD35" s="397"/>
      <c r="AE35" s="506"/>
      <c r="AF35" s="404"/>
      <c r="AG35" s="454"/>
    </row>
    <row r="36" customFormat="false" ht="13.8" hidden="false" customHeight="false" outlineLevel="0" collapsed="false">
      <c r="A36" s="397"/>
      <c r="B36" s="398"/>
      <c r="C36" s="399"/>
      <c r="D36" s="400"/>
      <c r="E36" s="401"/>
      <c r="F36" s="505"/>
      <c r="G36" s="402"/>
      <c r="H36" s="401"/>
      <c r="I36" s="401"/>
      <c r="J36" s="401"/>
      <c r="K36" s="401"/>
      <c r="L36" s="401"/>
      <c r="M36" s="401"/>
      <c r="N36" s="401"/>
      <c r="O36" s="401"/>
      <c r="P36" s="401"/>
      <c r="Q36" s="401"/>
      <c r="R36" s="401"/>
      <c r="S36" s="401"/>
      <c r="T36" s="402"/>
      <c r="U36" s="402"/>
      <c r="V36" s="402"/>
      <c r="W36" s="400"/>
      <c r="X36" s="400"/>
      <c r="Y36" s="397"/>
      <c r="Z36" s="404"/>
      <c r="AA36" s="405"/>
      <c r="AB36" s="405"/>
      <c r="AC36" s="397"/>
      <c r="AD36" s="397"/>
      <c r="AE36" s="506"/>
      <c r="AF36" s="404"/>
      <c r="AG36" s="454"/>
    </row>
    <row r="37" customFormat="false" ht="13.8" hidden="false" customHeight="false" outlineLevel="0" collapsed="false">
      <c r="A37" s="397"/>
      <c r="B37" s="398"/>
      <c r="C37" s="399"/>
      <c r="D37" s="400"/>
      <c r="E37" s="401"/>
      <c r="F37" s="505"/>
      <c r="G37" s="402"/>
      <c r="H37" s="401"/>
      <c r="I37" s="401"/>
      <c r="J37" s="401"/>
      <c r="K37" s="401"/>
      <c r="L37" s="401"/>
      <c r="M37" s="401"/>
      <c r="N37" s="401"/>
      <c r="O37" s="401"/>
      <c r="P37" s="401"/>
      <c r="Q37" s="401"/>
      <c r="R37" s="401"/>
      <c r="S37" s="401"/>
      <c r="T37" s="402"/>
      <c r="U37" s="402"/>
      <c r="V37" s="402"/>
      <c r="W37" s="400"/>
      <c r="X37" s="400"/>
      <c r="Y37" s="397"/>
      <c r="Z37" s="404"/>
      <c r="AA37" s="405"/>
      <c r="AB37" s="405"/>
      <c r="AC37" s="397"/>
      <c r="AD37" s="397"/>
      <c r="AE37" s="506"/>
      <c r="AF37" s="404"/>
      <c r="AG37" s="454"/>
    </row>
    <row r="38" customFormat="false" ht="13.8" hidden="false" customHeight="false" outlineLevel="0" collapsed="false">
      <c r="A38" s="397"/>
      <c r="B38" s="398"/>
      <c r="C38" s="399"/>
      <c r="D38" s="400"/>
      <c r="E38" s="401"/>
      <c r="F38" s="416"/>
      <c r="G38" s="402"/>
      <c r="H38" s="507"/>
      <c r="I38" s="401"/>
      <c r="J38" s="401"/>
      <c r="K38" s="508"/>
      <c r="L38" s="401"/>
      <c r="M38" s="401"/>
      <c r="N38" s="401"/>
      <c r="O38" s="401"/>
      <c r="P38" s="401"/>
      <c r="Q38" s="401"/>
      <c r="R38" s="401"/>
      <c r="S38" s="401"/>
      <c r="T38" s="402"/>
      <c r="U38" s="402"/>
      <c r="V38" s="402"/>
      <c r="W38" s="400"/>
      <c r="X38" s="400"/>
      <c r="Y38" s="397"/>
      <c r="Z38" s="404"/>
      <c r="AA38" s="405"/>
      <c r="AB38" s="405"/>
      <c r="AC38" s="397"/>
      <c r="AD38" s="397"/>
      <c r="AE38" s="406"/>
      <c r="AF38" s="404"/>
      <c r="AG38" s="344"/>
      <c r="AH38" s="344"/>
      <c r="AI38" s="344"/>
      <c r="AJ38" s="407"/>
      <c r="AK38" s="408"/>
    </row>
    <row r="40" customFormat="false" ht="12.75" hidden="false" customHeight="false" outlineLevel="0" collapsed="false">
      <c r="Z40" s="509" t="n">
        <f aca="false">SUM(Z2:Z39)</f>
        <v>306</v>
      </c>
      <c r="AA40" s="509" t="n">
        <f aca="false">SUM(AA2:AA39)</f>
        <v>0.495628544940849</v>
      </c>
      <c r="AB40" s="509" t="n">
        <f aca="false">SUM(AB2:AB39)</f>
        <v>0.000209391020253844</v>
      </c>
      <c r="AF40" s="509" t="n">
        <f aca="false">SUM(AF2:AF39)</f>
        <v>223951.65894751</v>
      </c>
    </row>
    <row r="42" customFormat="false" ht="12.75" hidden="false" customHeight="false" outlineLevel="0" collapsed="false">
      <c r="K42" s="28"/>
      <c r="Z42" s="43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9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J89" activeCellId="0" sqref="J89"/>
    </sheetView>
  </sheetViews>
  <sheetFormatPr defaultColWidth="11.42578125" defaultRowHeight="12.75" zeroHeight="false" outlineLevelRow="0" outlineLevelCol="0"/>
  <cols>
    <col collapsed="false" customWidth="true" hidden="false" outlineLevel="0" max="1" min="1" style="344" width="14.57"/>
    <col collapsed="false" customWidth="true" hidden="false" outlineLevel="0" max="2" min="2" style="344" width="15.85"/>
    <col collapsed="false" customWidth="true" hidden="false" outlineLevel="0" max="3" min="3" style="344" width="9"/>
    <col collapsed="false" customWidth="true" hidden="false" outlineLevel="0" max="4" min="4" style="344" width="12.42"/>
    <col collapsed="false" customWidth="true" hidden="false" outlineLevel="0" max="5" min="5" style="344" width="16.85"/>
    <col collapsed="false" customWidth="true" hidden="false" outlineLevel="0" max="6" min="6" style="344" width="14.86"/>
    <col collapsed="false" customWidth="true" hidden="false" outlineLevel="0" max="7" min="7" style="344" width="13"/>
    <col collapsed="false" customWidth="true" hidden="false" outlineLevel="0" max="8" min="8" style="1" width="18"/>
    <col collapsed="false" customWidth="true" hidden="false" outlineLevel="0" max="9" min="9" style="510" width="14"/>
    <col collapsed="false" customWidth="true" hidden="false" outlineLevel="0" max="10" min="10" style="344" width="19"/>
    <col collapsed="false" customWidth="true" hidden="false" outlineLevel="0" max="12" min="11" style="344" width="13.86"/>
    <col collapsed="false" customWidth="true" hidden="false" outlineLevel="0" max="13" min="13" style="511" width="11"/>
    <col collapsed="false" customWidth="true" hidden="false" outlineLevel="0" max="14" min="14" style="511" width="12.86"/>
    <col collapsed="false" customWidth="true" hidden="false" outlineLevel="0" max="15" min="15" style="344" width="19.86"/>
    <col collapsed="false" customWidth="true" hidden="false" outlineLevel="0" max="16" min="16" style="344" width="13.42"/>
    <col collapsed="false" customWidth="false" hidden="false" outlineLevel="0" max="17" min="17" style="344" width="11.43"/>
    <col collapsed="false" customWidth="true" hidden="false" outlineLevel="0" max="18" min="18" style="13" width="13.57"/>
    <col collapsed="false" customWidth="true" hidden="false" outlineLevel="0" max="20" min="19" style="13" width="16.57"/>
    <col collapsed="false" customWidth="true" hidden="false" outlineLevel="0" max="23" min="21" style="344" width="12.86"/>
    <col collapsed="false" customWidth="true" hidden="false" outlineLevel="0" max="24" min="24" style="344" width="13.57"/>
    <col collapsed="false" customWidth="true" hidden="false" outlineLevel="0" max="28" min="25" style="344" width="13.86"/>
    <col collapsed="false" customWidth="true" hidden="false" outlineLevel="0" max="30" min="29" style="344" width="13.42"/>
    <col collapsed="false" customWidth="false" hidden="false" outlineLevel="0" max="31" min="31" style="344" width="11.43"/>
    <col collapsed="false" customWidth="true" hidden="false" outlineLevel="0" max="33" min="32" style="344" width="13.42"/>
    <col collapsed="false" customWidth="true" hidden="false" outlineLevel="0" max="37" min="34" style="344" width="11.85"/>
    <col collapsed="false" customWidth="false" hidden="false" outlineLevel="0" max="38" min="38" style="344" width="11.43"/>
    <col collapsed="false" customWidth="true" hidden="false" outlineLevel="0" max="40" min="39" style="344" width="13.42"/>
    <col collapsed="false" customWidth="true" hidden="false" outlineLevel="0" max="42" min="41" style="344" width="11.85"/>
    <col collapsed="false" customWidth="false" hidden="false" outlineLevel="0" max="16384" min="43" style="344" width="11.43"/>
  </cols>
  <sheetData>
    <row r="1" s="516" customFormat="true" ht="15" hidden="false" customHeight="false" outlineLevel="0" collapsed="false">
      <c r="A1" s="512"/>
      <c r="B1" s="512"/>
      <c r="C1" s="513"/>
      <c r="D1" s="513"/>
      <c r="E1" s="513"/>
      <c r="F1" s="512" t="s">
        <v>0</v>
      </c>
      <c r="G1" s="512"/>
      <c r="H1" s="514"/>
      <c r="I1" s="515"/>
      <c r="M1" s="517"/>
      <c r="N1" s="517"/>
      <c r="R1" s="518"/>
      <c r="S1" s="518"/>
      <c r="T1" s="518"/>
    </row>
    <row r="2" customFormat="false" ht="12.75" hidden="false" customHeight="false" outlineLevel="0" collapsed="false">
      <c r="I2" s="10"/>
    </row>
    <row r="3" customFormat="false" ht="12.75" hidden="false" customHeight="false" outlineLevel="0" collapsed="false">
      <c r="I3" s="10"/>
    </row>
    <row r="4" customFormat="false" ht="12.75" hidden="false" customHeight="false" outlineLevel="0" collapsed="false">
      <c r="I4" s="11"/>
    </row>
    <row r="5" customFormat="false" ht="15" hidden="false" customHeight="false" outlineLevel="0" collapsed="false">
      <c r="A5" s="519" t="s">
        <v>59</v>
      </c>
      <c r="B5" s="519"/>
      <c r="C5" s="519"/>
      <c r="I5" s="11"/>
    </row>
    <row r="6" customFormat="false" ht="12.75" hidden="false" customHeight="false" outlineLevel="0" collapsed="false">
      <c r="H6" s="13"/>
      <c r="I6" s="10"/>
      <c r="J6" s="520"/>
      <c r="K6" s="520"/>
    </row>
    <row r="7" customFormat="false" ht="15" hidden="false" customHeight="false" outlineLevel="0" collapsed="false">
      <c r="A7" s="521"/>
      <c r="B7" s="521"/>
      <c r="R7" s="522" t="s">
        <v>33</v>
      </c>
      <c r="S7" s="522" t="s">
        <v>22</v>
      </c>
      <c r="T7" s="522" t="s">
        <v>23</v>
      </c>
      <c r="U7" s="522" t="s">
        <v>20</v>
      </c>
      <c r="V7" s="522"/>
      <c r="W7" s="522"/>
      <c r="X7" s="522" t="s">
        <v>32</v>
      </c>
    </row>
    <row r="8" customFormat="false" ht="12.75" hidden="false" customHeight="false" outlineLevel="0" collapsed="false">
      <c r="A8" s="523" t="s">
        <v>2</v>
      </c>
      <c r="B8" s="523" t="s">
        <v>158</v>
      </c>
      <c r="C8" s="523" t="s">
        <v>3</v>
      </c>
      <c r="D8" s="523" t="s">
        <v>5</v>
      </c>
      <c r="E8" s="523" t="s">
        <v>6</v>
      </c>
      <c r="F8" s="523" t="s">
        <v>7</v>
      </c>
      <c r="G8" s="523" t="s">
        <v>8</v>
      </c>
      <c r="H8" s="17" t="s">
        <v>9</v>
      </c>
      <c r="I8" s="523" t="s">
        <v>10</v>
      </c>
      <c r="J8" s="523" t="s">
        <v>11</v>
      </c>
      <c r="K8" s="523" t="s">
        <v>12</v>
      </c>
      <c r="L8" s="524" t="s">
        <v>13</v>
      </c>
      <c r="M8" s="524" t="s">
        <v>14</v>
      </c>
      <c r="N8" s="524" t="s">
        <v>15</v>
      </c>
    </row>
    <row r="9" customFormat="false" ht="12.75" hidden="false" customHeight="false" outlineLevel="0" collapsed="false">
      <c r="A9" s="525"/>
      <c r="B9" s="525"/>
      <c r="C9" s="525"/>
      <c r="D9" s="20"/>
      <c r="E9" s="20"/>
      <c r="F9" s="21"/>
      <c r="G9" s="22"/>
      <c r="H9" s="22"/>
      <c r="I9" s="526"/>
      <c r="J9" s="24"/>
      <c r="K9" s="527"/>
      <c r="L9" s="26"/>
      <c r="M9" s="528"/>
      <c r="N9" s="528"/>
      <c r="U9" s="13"/>
      <c r="V9" s="13"/>
      <c r="W9" s="13"/>
      <c r="X9" s="13"/>
    </row>
    <row r="10" customFormat="false" ht="12.75" hidden="false" customHeight="false" outlineLevel="0" collapsed="false">
      <c r="A10" s="525"/>
      <c r="B10" s="525"/>
      <c r="C10" s="525"/>
      <c r="D10" s="20"/>
      <c r="E10" s="20"/>
      <c r="F10" s="21"/>
      <c r="G10" s="22"/>
      <c r="H10" s="22"/>
      <c r="I10" s="526"/>
      <c r="J10" s="24"/>
      <c r="K10" s="527"/>
      <c r="L10" s="26"/>
      <c r="M10" s="528"/>
      <c r="N10" s="528"/>
      <c r="U10" s="13"/>
      <c r="V10" s="13"/>
      <c r="W10" s="13"/>
      <c r="X10" s="13"/>
    </row>
    <row r="11" customFormat="false" ht="12.75" hidden="false" customHeight="false" outlineLevel="0" collapsed="false">
      <c r="A11" s="525"/>
      <c r="B11" s="525"/>
      <c r="C11" s="525"/>
      <c r="D11" s="20"/>
      <c r="E11" s="20"/>
      <c r="F11" s="21"/>
      <c r="G11" s="22"/>
      <c r="H11" s="22"/>
      <c r="I11" s="526"/>
      <c r="J11" s="24"/>
      <c r="K11" s="527"/>
      <c r="L11" s="26"/>
      <c r="M11" s="528"/>
      <c r="N11" s="528"/>
      <c r="U11" s="13"/>
      <c r="V11" s="13"/>
      <c r="W11" s="13"/>
      <c r="X11" s="13"/>
    </row>
    <row r="12" customFormat="false" ht="12.75" hidden="false" customHeight="false" outlineLevel="0" collapsed="false">
      <c r="A12" s="525"/>
      <c r="B12" s="525"/>
      <c r="C12" s="525"/>
      <c r="D12" s="20"/>
      <c r="E12" s="20"/>
      <c r="F12" s="21"/>
      <c r="G12" s="22"/>
      <c r="H12" s="22"/>
      <c r="I12" s="526"/>
      <c r="J12" s="24"/>
      <c r="K12" s="527"/>
      <c r="L12" s="26"/>
      <c r="M12" s="528"/>
      <c r="N12" s="528"/>
      <c r="U12" s="13"/>
      <c r="V12" s="13"/>
      <c r="W12" s="13"/>
      <c r="X12" s="13"/>
    </row>
    <row r="13" customFormat="false" ht="12.75" hidden="false" customHeight="false" outlineLevel="0" collapsed="false">
      <c r="A13" s="525"/>
      <c r="B13" s="525"/>
      <c r="C13" s="525"/>
      <c r="D13" s="20"/>
      <c r="E13" s="20"/>
      <c r="F13" s="21"/>
      <c r="G13" s="22"/>
      <c r="H13" s="22"/>
      <c r="I13" s="526"/>
      <c r="J13" s="24"/>
      <c r="K13" s="527"/>
      <c r="L13" s="26"/>
      <c r="M13" s="528"/>
      <c r="N13" s="528"/>
      <c r="U13" s="13"/>
      <c r="V13" s="13"/>
      <c r="W13" s="13"/>
      <c r="X13" s="13"/>
    </row>
    <row r="14" customFormat="false" ht="12.75" hidden="false" customHeight="false" outlineLevel="0" collapsed="false">
      <c r="A14" s="525"/>
      <c r="B14" s="525"/>
      <c r="C14" s="525"/>
      <c r="D14" s="20"/>
      <c r="E14" s="20"/>
      <c r="F14" s="21"/>
      <c r="G14" s="22"/>
      <c r="H14" s="22"/>
      <c r="I14" s="526"/>
      <c r="J14" s="24"/>
      <c r="K14" s="527"/>
      <c r="L14" s="26"/>
      <c r="M14" s="528"/>
      <c r="N14" s="528"/>
      <c r="U14" s="13"/>
      <c r="V14" s="13"/>
      <c r="W14" s="13"/>
      <c r="X14" s="13"/>
    </row>
    <row r="15" customFormat="false" ht="12.75" hidden="false" customHeight="false" outlineLevel="0" collapsed="false">
      <c r="A15" s="525"/>
      <c r="B15" s="525"/>
      <c r="C15" s="525"/>
      <c r="D15" s="20"/>
      <c r="E15" s="20"/>
      <c r="F15" s="21"/>
      <c r="G15" s="22"/>
      <c r="H15" s="22"/>
      <c r="I15" s="526"/>
      <c r="J15" s="24"/>
      <c r="K15" s="527"/>
      <c r="L15" s="26"/>
      <c r="M15" s="528"/>
      <c r="N15" s="528"/>
      <c r="U15" s="13"/>
      <c r="V15" s="13"/>
      <c r="W15" s="13"/>
      <c r="X15" s="13"/>
    </row>
    <row r="16" customFormat="false" ht="12.75" hidden="false" customHeight="false" outlineLevel="0" collapsed="false">
      <c r="A16" s="525"/>
      <c r="B16" s="525"/>
      <c r="C16" s="525"/>
      <c r="D16" s="20"/>
      <c r="E16" s="20"/>
      <c r="F16" s="21"/>
      <c r="G16" s="22"/>
      <c r="H16" s="22"/>
      <c r="I16" s="526"/>
      <c r="J16" s="24"/>
      <c r="K16" s="527"/>
      <c r="L16" s="26"/>
      <c r="M16" s="528"/>
      <c r="N16" s="528"/>
      <c r="U16" s="13"/>
      <c r="V16" s="13"/>
      <c r="W16" s="13"/>
      <c r="X16" s="13"/>
    </row>
    <row r="17" customFormat="false" ht="12.75" hidden="false" customHeight="false" outlineLevel="0" collapsed="false">
      <c r="A17" s="525"/>
      <c r="B17" s="525"/>
      <c r="C17" s="525"/>
      <c r="D17" s="20"/>
      <c r="E17" s="20"/>
      <c r="F17" s="21"/>
      <c r="G17" s="22"/>
      <c r="H17" s="22"/>
      <c r="I17" s="526"/>
      <c r="J17" s="24"/>
      <c r="K17" s="527"/>
      <c r="L17" s="26"/>
      <c r="M17" s="528"/>
      <c r="N17" s="528"/>
      <c r="U17" s="13"/>
      <c r="V17" s="13"/>
      <c r="W17" s="13"/>
      <c r="X17" s="13"/>
    </row>
    <row r="18" customFormat="false" ht="12.75" hidden="false" customHeight="false" outlineLevel="0" collapsed="false">
      <c r="A18" s="525"/>
      <c r="B18" s="525"/>
      <c r="C18" s="525"/>
      <c r="D18" s="20"/>
      <c r="E18" s="20"/>
      <c r="F18" s="21"/>
      <c r="G18" s="22"/>
      <c r="H18" s="22"/>
      <c r="I18" s="526"/>
      <c r="J18" s="24"/>
      <c r="K18" s="527"/>
      <c r="L18" s="26"/>
      <c r="M18" s="528"/>
      <c r="N18" s="528"/>
      <c r="U18" s="13"/>
      <c r="V18" s="13"/>
      <c r="W18" s="13"/>
      <c r="X18" s="13"/>
    </row>
    <row r="19" customFormat="false" ht="12.75" hidden="false" customHeight="false" outlineLevel="0" collapsed="false">
      <c r="A19" s="525"/>
      <c r="B19" s="525"/>
      <c r="C19" s="525"/>
      <c r="D19" s="20"/>
      <c r="E19" s="20"/>
      <c r="F19" s="21"/>
      <c r="G19" s="22"/>
      <c r="H19" s="22"/>
      <c r="I19" s="526"/>
      <c r="J19" s="24"/>
      <c r="K19" s="527"/>
      <c r="L19" s="26"/>
      <c r="M19" s="528"/>
      <c r="N19" s="528"/>
      <c r="U19" s="13"/>
      <c r="V19" s="13"/>
      <c r="W19" s="13"/>
      <c r="X19" s="13"/>
    </row>
    <row r="20" customFormat="false" ht="12.75" hidden="false" customHeight="false" outlineLevel="0" collapsed="false">
      <c r="A20" s="525"/>
      <c r="B20" s="525"/>
      <c r="C20" s="525"/>
      <c r="D20" s="20"/>
      <c r="E20" s="20"/>
      <c r="F20" s="21"/>
      <c r="G20" s="22"/>
      <c r="H20" s="22"/>
      <c r="I20" s="526"/>
      <c r="J20" s="24"/>
      <c r="K20" s="527"/>
      <c r="L20" s="26"/>
      <c r="M20" s="528"/>
      <c r="N20" s="528"/>
      <c r="U20" s="13"/>
      <c r="V20" s="13"/>
      <c r="W20" s="13"/>
      <c r="X20" s="13"/>
    </row>
    <row r="21" customFormat="false" ht="12.75" hidden="false" customHeight="false" outlineLevel="0" collapsed="false">
      <c r="A21" s="525"/>
      <c r="B21" s="525"/>
      <c r="C21" s="525"/>
      <c r="D21" s="20"/>
      <c r="E21" s="20"/>
      <c r="F21" s="21"/>
      <c r="G21" s="22"/>
      <c r="H21" s="22"/>
      <c r="I21" s="526"/>
      <c r="J21" s="24"/>
      <c r="K21" s="527"/>
      <c r="L21" s="26"/>
      <c r="M21" s="528"/>
      <c r="N21" s="528"/>
      <c r="AF21" s="522" t="s">
        <v>684</v>
      </c>
      <c r="AG21" s="522" t="s">
        <v>685</v>
      </c>
      <c r="AH21" s="522" t="s">
        <v>686</v>
      </c>
      <c r="AI21" s="522" t="s">
        <v>687</v>
      </c>
      <c r="AJ21" s="522" t="s">
        <v>688</v>
      </c>
      <c r="AK21" s="522" t="s">
        <v>689</v>
      </c>
    </row>
    <row r="22" customFormat="false" ht="12.75" hidden="false" customHeight="false" outlineLevel="0" collapsed="false">
      <c r="A22" s="529"/>
      <c r="B22" s="529"/>
      <c r="C22" s="530"/>
      <c r="D22" s="30"/>
      <c r="E22" s="30"/>
      <c r="F22" s="32"/>
      <c r="G22" s="32"/>
      <c r="H22" s="32"/>
      <c r="I22" s="531" t="n">
        <f aca="false">SUM(I9:I21)</f>
        <v>0</v>
      </c>
      <c r="J22" s="531" t="n">
        <f aca="false">SUM(J9:J21)</f>
        <v>0</v>
      </c>
      <c r="K22" s="532"/>
      <c r="L22" s="42"/>
      <c r="R22" s="57"/>
      <c r="S22" s="57"/>
      <c r="T22" s="57"/>
      <c r="U22" s="57"/>
      <c r="V22" s="57"/>
      <c r="W22" s="57"/>
      <c r="X22" s="57"/>
      <c r="AE22" s="344" t="s">
        <v>45</v>
      </c>
      <c r="AF22" s="268" t="n">
        <v>0.15</v>
      </c>
      <c r="AG22" s="268" t="n">
        <v>0.09</v>
      </c>
      <c r="AH22" s="268" t="n">
        <v>0.09</v>
      </c>
      <c r="AI22" s="268" t="n">
        <v>0.15</v>
      </c>
      <c r="AJ22" s="268" t="n">
        <v>0.15</v>
      </c>
      <c r="AK22" s="268" t="n">
        <v>0.15</v>
      </c>
    </row>
    <row r="23" customFormat="false" ht="12.75" hidden="false" customHeight="false" outlineLevel="0" collapsed="false">
      <c r="F23" s="533"/>
      <c r="H23" s="44" t="s">
        <v>20</v>
      </c>
      <c r="I23" s="45" t="n">
        <f aca="false">SUMIF(C9:C21,"saxo",I9:I21)</f>
        <v>0</v>
      </c>
      <c r="K23" s="42"/>
      <c r="AE23" s="344" t="s">
        <v>48</v>
      </c>
      <c r="AF23" s="268" t="n">
        <v>0.07</v>
      </c>
      <c r="AG23" s="268" t="n">
        <v>0.07</v>
      </c>
      <c r="AH23" s="268" t="n">
        <v>0.07</v>
      </c>
      <c r="AI23" s="268" t="n">
        <v>0.07</v>
      </c>
      <c r="AJ23" s="268" t="n">
        <v>0.07</v>
      </c>
      <c r="AK23" s="268" t="n">
        <v>0.07</v>
      </c>
    </row>
    <row r="24" customFormat="false" ht="12.75" hidden="false" customHeight="false" outlineLevel="0" collapsed="false">
      <c r="F24" s="533"/>
      <c r="H24" s="44" t="s">
        <v>21</v>
      </c>
      <c r="I24" s="534" t="n">
        <f aca="false">SUMIF(C9:C21,"schwab",I9:I21)</f>
        <v>0</v>
      </c>
      <c r="K24" s="42"/>
      <c r="AE24" s="344" t="s">
        <v>53</v>
      </c>
      <c r="AF24" s="268" t="n">
        <v>0.09</v>
      </c>
      <c r="AG24" s="268" t="n">
        <v>0.09</v>
      </c>
      <c r="AH24" s="268" t="n">
        <v>0.09</v>
      </c>
      <c r="AI24" s="268" t="n">
        <v>0.09</v>
      </c>
      <c r="AJ24" s="268" t="n">
        <v>0.09</v>
      </c>
      <c r="AK24" s="268" t="n">
        <v>0.09</v>
      </c>
    </row>
    <row r="25" customFormat="false" ht="12.75" hidden="false" customHeight="false" outlineLevel="0" collapsed="false">
      <c r="F25" s="533"/>
      <c r="H25" s="44" t="s">
        <v>18</v>
      </c>
      <c r="I25" s="534" t="n">
        <f aca="false">SUMIF(C9:C21,"CHILE",I9:I21)</f>
        <v>0</v>
      </c>
      <c r="K25" s="414"/>
      <c r="M25" s="535"/>
      <c r="AE25" s="344" t="s">
        <v>690</v>
      </c>
      <c r="AF25" s="268" t="n">
        <v>0.07</v>
      </c>
      <c r="AG25" s="268" t="n">
        <v>0.07</v>
      </c>
      <c r="AH25" s="268" t="n">
        <v>0.07</v>
      </c>
      <c r="AI25" s="268" t="n">
        <v>0.07</v>
      </c>
      <c r="AJ25" s="268" t="n">
        <v>0.07</v>
      </c>
      <c r="AK25" s="268" t="n">
        <v>0.07</v>
      </c>
    </row>
    <row r="26" customFormat="false" ht="12.75" hidden="false" customHeight="false" outlineLevel="0" collapsed="false">
      <c r="F26" s="533"/>
      <c r="H26" s="44" t="s">
        <v>22</v>
      </c>
      <c r="I26" s="534" t="n">
        <f aca="false">SUMIF(C9:C21,"UBS",I9:I21)</f>
        <v>0</v>
      </c>
      <c r="K26" s="536"/>
      <c r="AE26" s="344" t="s">
        <v>691</v>
      </c>
      <c r="AF26" s="268" t="n">
        <v>0.07</v>
      </c>
      <c r="AG26" s="268" t="n">
        <v>0.07</v>
      </c>
      <c r="AH26" s="268" t="n">
        <v>0.07</v>
      </c>
      <c r="AI26" s="268" t="n">
        <v>0.07</v>
      </c>
      <c r="AJ26" s="268" t="n">
        <v>0.07</v>
      </c>
      <c r="AK26" s="268" t="n">
        <v>0.07</v>
      </c>
    </row>
    <row r="27" customFormat="false" ht="12.75" hidden="false" customHeight="false" outlineLevel="0" collapsed="false">
      <c r="E27" s="533"/>
      <c r="F27" s="533"/>
      <c r="H27" s="44" t="s">
        <v>23</v>
      </c>
      <c r="I27" s="534" t="n">
        <f aca="false">SUMIF(C9:C21,"SB",I9:I21)</f>
        <v>0</v>
      </c>
      <c r="K27" s="42"/>
      <c r="AE27" s="344" t="s">
        <v>56</v>
      </c>
      <c r="AF27" s="268" t="n">
        <v>0.12</v>
      </c>
      <c r="AG27" s="268" t="n">
        <v>0.15</v>
      </c>
      <c r="AH27" s="268" t="n">
        <v>0.15</v>
      </c>
      <c r="AI27" s="268" t="n">
        <v>0.12</v>
      </c>
      <c r="AJ27" s="268" t="n">
        <v>0.12</v>
      </c>
      <c r="AK27" s="268" t="n">
        <v>0.12</v>
      </c>
    </row>
    <row r="28" customFormat="false" ht="12.75" hidden="false" customHeight="false" outlineLevel="0" collapsed="false">
      <c r="A28" s="537" t="s">
        <v>692</v>
      </c>
      <c r="B28" s="537"/>
      <c r="C28" s="537"/>
      <c r="E28" s="538"/>
      <c r="F28" s="452"/>
      <c r="G28" s="452"/>
      <c r="H28" s="51"/>
      <c r="I28" s="539"/>
      <c r="J28" s="533"/>
      <c r="K28" s="540"/>
      <c r="AE28" s="344" t="s">
        <v>17</v>
      </c>
      <c r="AF28" s="407" t="n">
        <v>0.15</v>
      </c>
      <c r="AG28" s="407" t="n">
        <v>0.11</v>
      </c>
      <c r="AH28" s="407" t="n">
        <v>0.11</v>
      </c>
      <c r="AI28" s="407" t="n">
        <v>0.15</v>
      </c>
      <c r="AJ28" s="407" t="n">
        <v>0.15</v>
      </c>
      <c r="AK28" s="407" t="n">
        <v>0.15</v>
      </c>
    </row>
    <row r="29" customFormat="false" ht="12.75" hidden="false" customHeight="false" outlineLevel="0" collapsed="false">
      <c r="F29" s="452"/>
      <c r="G29" s="452"/>
      <c r="H29" s="51"/>
      <c r="I29" s="541"/>
      <c r="J29" s="533" t="s">
        <v>485</v>
      </c>
      <c r="AE29" s="407" t="s">
        <v>40</v>
      </c>
      <c r="AF29" s="407" t="n">
        <v>0.15</v>
      </c>
      <c r="AG29" s="407" t="n">
        <v>0.09</v>
      </c>
      <c r="AH29" s="407" t="n">
        <v>0.09</v>
      </c>
      <c r="AI29" s="407" t="n">
        <v>0.15</v>
      </c>
      <c r="AJ29" s="407" t="n">
        <v>0.15</v>
      </c>
      <c r="AK29" s="407" t="n">
        <v>0.15</v>
      </c>
    </row>
    <row r="30" customFormat="false" ht="12.75" hidden="false" customHeight="false" outlineLevel="0" collapsed="false">
      <c r="F30" s="452"/>
      <c r="H30" s="51"/>
      <c r="I30" s="541"/>
      <c r="J30" s="57"/>
      <c r="L30" s="452"/>
      <c r="R30" s="542" t="s">
        <v>10</v>
      </c>
      <c r="S30" s="542"/>
      <c r="T30" s="542"/>
      <c r="U30" s="542"/>
      <c r="V30" s="542"/>
      <c r="W30" s="542"/>
      <c r="Y30" s="543" t="s">
        <v>693</v>
      </c>
      <c r="Z30" s="543"/>
      <c r="AA30" s="543"/>
      <c r="AB30" s="543"/>
      <c r="AC30" s="543"/>
      <c r="AD30" s="544"/>
      <c r="AE30" s="344" t="s">
        <v>36</v>
      </c>
      <c r="AF30" s="407" t="n">
        <v>0.15</v>
      </c>
      <c r="AG30" s="407" t="n">
        <v>0.11</v>
      </c>
      <c r="AH30" s="407" t="n">
        <v>0.11</v>
      </c>
      <c r="AI30" s="407" t="n">
        <v>0.15</v>
      </c>
      <c r="AJ30" s="407" t="n">
        <v>0.15</v>
      </c>
      <c r="AK30" s="407" t="n">
        <v>0.15</v>
      </c>
      <c r="AM30" s="545" t="s">
        <v>694</v>
      </c>
      <c r="AN30" s="545"/>
      <c r="AO30" s="545"/>
      <c r="AP30" s="545"/>
    </row>
    <row r="31" customFormat="false" ht="12.75" hidden="false" customHeight="false" outlineLevel="0" collapsed="false">
      <c r="A31" s="524" t="s">
        <v>25</v>
      </c>
      <c r="B31" s="524" t="s">
        <v>3</v>
      </c>
      <c r="C31" s="524" t="s">
        <v>26</v>
      </c>
      <c r="D31" s="524" t="s">
        <v>5</v>
      </c>
      <c r="E31" s="524" t="s">
        <v>6</v>
      </c>
      <c r="F31" s="524" t="s">
        <v>7</v>
      </c>
      <c r="G31" s="524" t="s">
        <v>8</v>
      </c>
      <c r="H31" s="58" t="s">
        <v>9</v>
      </c>
      <c r="I31" s="523" t="s">
        <v>10</v>
      </c>
      <c r="J31" s="524" t="s">
        <v>11</v>
      </c>
      <c r="K31" s="524" t="s">
        <v>12</v>
      </c>
      <c r="L31" s="524" t="s">
        <v>13</v>
      </c>
      <c r="M31" s="524" t="s">
        <v>13</v>
      </c>
      <c r="N31" s="524" t="s">
        <v>27</v>
      </c>
      <c r="O31" s="524" t="s">
        <v>28</v>
      </c>
      <c r="R31" s="522" t="s">
        <v>695</v>
      </c>
      <c r="S31" s="522" t="s">
        <v>685</v>
      </c>
      <c r="T31" s="522" t="s">
        <v>686</v>
      </c>
      <c r="U31" s="522" t="s">
        <v>687</v>
      </c>
      <c r="V31" s="522" t="s">
        <v>688</v>
      </c>
      <c r="W31" s="522" t="s">
        <v>689</v>
      </c>
      <c r="Y31" s="522" t="s">
        <v>695</v>
      </c>
      <c r="Z31" s="522" t="s">
        <v>685</v>
      </c>
      <c r="AA31" s="522" t="s">
        <v>686</v>
      </c>
      <c r="AB31" s="522" t="s">
        <v>687</v>
      </c>
      <c r="AC31" s="522" t="s">
        <v>688</v>
      </c>
      <c r="AD31" s="522" t="s">
        <v>689</v>
      </c>
      <c r="AF31" s="522" t="s">
        <v>684</v>
      </c>
      <c r="AG31" s="522" t="s">
        <v>685</v>
      </c>
      <c r="AH31" s="522" t="s">
        <v>686</v>
      </c>
      <c r="AI31" s="522" t="s">
        <v>687</v>
      </c>
      <c r="AJ31" s="522" t="s">
        <v>688</v>
      </c>
      <c r="AK31" s="522" t="s">
        <v>689</v>
      </c>
      <c r="AM31" s="522" t="s">
        <v>33</v>
      </c>
      <c r="AN31" s="522" t="s">
        <v>22</v>
      </c>
      <c r="AO31" s="522" t="s">
        <v>23</v>
      </c>
      <c r="AP31" s="522" t="s">
        <v>20</v>
      </c>
    </row>
    <row r="32" customFormat="false" ht="12.75" hidden="false" customHeight="false" outlineLevel="0" collapsed="false">
      <c r="A32" s="546"/>
      <c r="B32" s="61"/>
      <c r="C32" s="547"/>
      <c r="D32" s="61" t="s">
        <v>17</v>
      </c>
      <c r="E32" s="61"/>
      <c r="F32" s="62"/>
      <c r="G32" s="62"/>
      <c r="H32" s="548" t="e">
        <f aca="false">#REF!</f>
        <v>#REF!</v>
      </c>
      <c r="I32" s="549" t="e">
        <f aca="false">+((F32*(H32-G32)))/H32</f>
        <v>#REF!</v>
      </c>
      <c r="J32" s="65" t="str">
        <f aca="false">IF(G32="","",(H32-G32)/G32)</f>
        <v/>
      </c>
      <c r="K32" s="550" t="n">
        <f aca="false">ABS(F32)</f>
        <v>0</v>
      </c>
      <c r="L32" s="67"/>
      <c r="M32" s="67" t="str">
        <f aca="true">IF(N32="","",N32-TODAY())</f>
        <v/>
      </c>
      <c r="N32" s="551"/>
      <c r="O32" s="551"/>
      <c r="R32" s="13" t="n">
        <f aca="false">IF($B32="DB-KIF",$I32,0)</f>
        <v>0</v>
      </c>
      <c r="S32" s="13" t="n">
        <f aca="false">IF($B32="UBS-MON",$I32,0)</f>
        <v>0</v>
      </c>
      <c r="T32" s="13" t="n">
        <f aca="false">IF($B32="UBS-KIF",$I32,0)</f>
        <v>0</v>
      </c>
      <c r="U32" s="13" t="n">
        <f aca="false">IF($B32="SAXO-MON",$I32,0)</f>
        <v>0</v>
      </c>
      <c r="V32" s="13" t="n">
        <f aca="false">IF($B32="SAXO-KIF",$I32,0)</f>
        <v>0</v>
      </c>
      <c r="W32" s="13" t="n">
        <f aca="false">IF($B32="chile",$I32,0)</f>
        <v>0</v>
      </c>
      <c r="Y32" s="13" t="n">
        <f aca="false">IF(R32&lt;&gt;0,$F32,0)</f>
        <v>0</v>
      </c>
      <c r="Z32" s="13" t="n">
        <f aca="false">IF(S32&lt;&gt;0,$F32,0)</f>
        <v>0</v>
      </c>
      <c r="AA32" s="13" t="n">
        <f aca="false">IF(T32&lt;&gt;0,$F32,0)</f>
        <v>0</v>
      </c>
      <c r="AB32" s="13" t="n">
        <f aca="false">IF(U32&lt;&gt;0,$F32,0)</f>
        <v>0</v>
      </c>
      <c r="AC32" s="13" t="n">
        <f aca="false">IF(V32&lt;&gt;0,$F32,0)</f>
        <v>0</v>
      </c>
      <c r="AD32" s="13" t="n">
        <f aca="false">IF(W32&lt;&gt;0,$F32,0)</f>
        <v>0</v>
      </c>
      <c r="AF32" s="13" t="n">
        <f aca="false">+$AF$28*Y32</f>
        <v>0</v>
      </c>
      <c r="AG32" s="13" t="n">
        <f aca="false">+$AG$28*Z32</f>
        <v>0</v>
      </c>
      <c r="AH32" s="13" t="n">
        <f aca="false">+$AH$28*AA32</f>
        <v>0</v>
      </c>
      <c r="AI32" s="13" t="n">
        <f aca="false">+$AI$28*AB32</f>
        <v>0</v>
      </c>
      <c r="AJ32" s="13" t="n">
        <f aca="false">+$AJ$28*AC32</f>
        <v>0</v>
      </c>
      <c r="AK32" s="13" t="n">
        <f aca="false">+$AK$28*AD32</f>
        <v>0</v>
      </c>
      <c r="AM32" s="452" t="n">
        <f aca="false">+AF32-R32</f>
        <v>0</v>
      </c>
      <c r="AN32" s="452" t="n">
        <f aca="false">+AG32-S32</f>
        <v>0</v>
      </c>
      <c r="AO32" s="452" t="n">
        <f aca="false">+AH32-T32</f>
        <v>0</v>
      </c>
      <c r="AP32" s="452" t="n">
        <f aca="false">+AI32-U32</f>
        <v>0</v>
      </c>
    </row>
    <row r="33" customFormat="false" ht="12.75" hidden="false" customHeight="false" outlineLevel="0" collapsed="false">
      <c r="A33" s="546"/>
      <c r="B33" s="61"/>
      <c r="C33" s="547"/>
      <c r="D33" s="61" t="s">
        <v>17</v>
      </c>
      <c r="E33" s="61"/>
      <c r="F33" s="62"/>
      <c r="G33" s="62"/>
      <c r="H33" s="548" t="e">
        <f aca="false">+H32</f>
        <v>#REF!</v>
      </c>
      <c r="I33" s="549" t="e">
        <f aca="false">+((F33*(H33-G33)))/H33</f>
        <v>#REF!</v>
      </c>
      <c r="J33" s="65" t="str">
        <f aca="false">IF(G33="","",(H33-G33)/G33)</f>
        <v/>
      </c>
      <c r="K33" s="550" t="n">
        <f aca="false">ABS(F33)</f>
        <v>0</v>
      </c>
      <c r="L33" s="67"/>
      <c r="M33" s="67" t="str">
        <f aca="true">IF(N33="","",N33-TODAY())</f>
        <v/>
      </c>
      <c r="N33" s="551"/>
      <c r="O33" s="551"/>
      <c r="R33" s="13" t="n">
        <f aca="false">IF($B33="DB-KIF",$I33,0)</f>
        <v>0</v>
      </c>
      <c r="S33" s="13" t="n">
        <f aca="false">IF($B33="UBS-MON",$I33,0)</f>
        <v>0</v>
      </c>
      <c r="T33" s="13" t="n">
        <f aca="false">IF($B33="UBS-KIF",$I33,0)</f>
        <v>0</v>
      </c>
      <c r="U33" s="13" t="n">
        <f aca="false">IF($B33="SAXO-MON",$I33,0)</f>
        <v>0</v>
      </c>
      <c r="V33" s="13" t="n">
        <f aca="false">IF($B33="SAXO-KIF",$I33,0)</f>
        <v>0</v>
      </c>
      <c r="W33" s="13" t="n">
        <f aca="false">IF($B33="chile",$I33,0)</f>
        <v>0</v>
      </c>
      <c r="Y33" s="13" t="n">
        <f aca="false">IF(R33&lt;&gt;0,$F33,0)</f>
        <v>0</v>
      </c>
      <c r="Z33" s="13" t="n">
        <f aca="false">IF(S33&lt;&gt;0,$F33,0)</f>
        <v>0</v>
      </c>
      <c r="AA33" s="13" t="n">
        <f aca="false">IF(T33&lt;&gt;0,$F33,0)</f>
        <v>0</v>
      </c>
      <c r="AB33" s="13" t="n">
        <f aca="false">IF(U33&lt;&gt;0,$F33,0)</f>
        <v>0</v>
      </c>
      <c r="AC33" s="13" t="n">
        <f aca="false">IF(V33&lt;&gt;0,$F33,0)</f>
        <v>0</v>
      </c>
      <c r="AD33" s="13" t="n">
        <f aca="false">IF(W33&lt;&gt;0,$F33,0)</f>
        <v>0</v>
      </c>
      <c r="AF33" s="13" t="n">
        <f aca="false">+$AF$28*Y33</f>
        <v>0</v>
      </c>
      <c r="AG33" s="13" t="n">
        <f aca="false">+$AG$28*Z33</f>
        <v>0</v>
      </c>
      <c r="AH33" s="13" t="n">
        <f aca="false">+$AH$28*AA33</f>
        <v>0</v>
      </c>
      <c r="AI33" s="13" t="n">
        <f aca="false">+$AI$28*AB33</f>
        <v>0</v>
      </c>
      <c r="AJ33" s="13" t="n">
        <f aca="false">+$AJ$28*AC33</f>
        <v>0</v>
      </c>
      <c r="AK33" s="13" t="n">
        <f aca="false">+$AK$28*AD33</f>
        <v>0</v>
      </c>
      <c r="AM33" s="452" t="n">
        <f aca="false">+AF33-R33</f>
        <v>0</v>
      </c>
      <c r="AN33" s="452" t="n">
        <f aca="false">+AG33-S33</f>
        <v>0</v>
      </c>
      <c r="AO33" s="452" t="n">
        <f aca="false">+AH33-T33</f>
        <v>0</v>
      </c>
      <c r="AP33" s="452" t="n">
        <f aca="false">+AI33-U33</f>
        <v>0</v>
      </c>
    </row>
    <row r="34" customFormat="false" ht="12.75" hidden="false" customHeight="false" outlineLevel="0" collapsed="false">
      <c r="A34" s="546"/>
      <c r="B34" s="61"/>
      <c r="C34" s="547"/>
      <c r="D34" s="61" t="s">
        <v>17</v>
      </c>
      <c r="E34" s="61"/>
      <c r="F34" s="62"/>
      <c r="G34" s="62"/>
      <c r="H34" s="548" t="e">
        <f aca="false">+H33</f>
        <v>#REF!</v>
      </c>
      <c r="I34" s="549" t="e">
        <f aca="false">+((F34*(H34-G34)))/H34</f>
        <v>#REF!</v>
      </c>
      <c r="J34" s="65" t="str">
        <f aca="false">IF(G34="","",(H34-G34)/G34)</f>
        <v/>
      </c>
      <c r="K34" s="550" t="n">
        <f aca="false">ABS(F34)</f>
        <v>0</v>
      </c>
      <c r="L34" s="67"/>
      <c r="M34" s="67" t="str">
        <f aca="true">IF(N34="","",N34-TODAY())</f>
        <v/>
      </c>
      <c r="N34" s="551"/>
      <c r="O34" s="551"/>
      <c r="R34" s="13" t="n">
        <f aca="false">IF($B34="DB-KIF",$I34,0)</f>
        <v>0</v>
      </c>
      <c r="S34" s="13" t="n">
        <f aca="false">IF($B34="UBS-MON",$I34,0)</f>
        <v>0</v>
      </c>
      <c r="T34" s="13" t="n">
        <f aca="false">IF($B34="UBS-KIF",$I34,0)</f>
        <v>0</v>
      </c>
      <c r="U34" s="13" t="n">
        <f aca="false">IF($B34="SAXO-MON",$I34,0)</f>
        <v>0</v>
      </c>
      <c r="V34" s="13" t="n">
        <f aca="false">IF($B34="SAXO-KIF",$I34,0)</f>
        <v>0</v>
      </c>
      <c r="W34" s="13" t="n">
        <f aca="false">IF($B34="chile",$I34,0)</f>
        <v>0</v>
      </c>
      <c r="Y34" s="13" t="n">
        <f aca="false">IF(R34&lt;&gt;0,$F34,0)</f>
        <v>0</v>
      </c>
      <c r="Z34" s="13" t="n">
        <f aca="false">IF(S34&lt;&gt;0,$F34,0)</f>
        <v>0</v>
      </c>
      <c r="AA34" s="13" t="n">
        <f aca="false">IF(T34&lt;&gt;0,$F34,0)</f>
        <v>0</v>
      </c>
      <c r="AB34" s="13" t="n">
        <f aca="false">IF(U34&lt;&gt;0,$F34,0)</f>
        <v>0</v>
      </c>
      <c r="AC34" s="13" t="n">
        <f aca="false">IF(V34&lt;&gt;0,$F34,0)</f>
        <v>0</v>
      </c>
      <c r="AD34" s="13" t="n">
        <f aca="false">IF(W34&lt;&gt;0,$F34,0)</f>
        <v>0</v>
      </c>
      <c r="AF34" s="13" t="n">
        <f aca="false">+$AF$28*Y34</f>
        <v>0</v>
      </c>
      <c r="AG34" s="13" t="n">
        <f aca="false">+$AG$28*Z34</f>
        <v>0</v>
      </c>
      <c r="AH34" s="13" t="n">
        <f aca="false">+$AH$28*AA34</f>
        <v>0</v>
      </c>
      <c r="AI34" s="13" t="n">
        <f aca="false">+$AI$28*AB34</f>
        <v>0</v>
      </c>
      <c r="AJ34" s="13" t="n">
        <f aca="false">+$AJ$28*AC34</f>
        <v>0</v>
      </c>
      <c r="AK34" s="13" t="n">
        <f aca="false">+$AK$28*AD34</f>
        <v>0</v>
      </c>
      <c r="AM34" s="452" t="n">
        <f aca="false">+AF34-R34</f>
        <v>0</v>
      </c>
      <c r="AN34" s="452" t="n">
        <f aca="false">+AG34-S34</f>
        <v>0</v>
      </c>
      <c r="AO34" s="452" t="n">
        <f aca="false">+AH34-T34</f>
        <v>0</v>
      </c>
      <c r="AP34" s="452" t="n">
        <f aca="false">+AI34-U34</f>
        <v>0</v>
      </c>
    </row>
    <row r="35" customFormat="false" ht="12.75" hidden="false" customHeight="false" outlineLevel="0" collapsed="false">
      <c r="A35" s="546"/>
      <c r="B35" s="61"/>
      <c r="C35" s="547"/>
      <c r="D35" s="61" t="s">
        <v>17</v>
      </c>
      <c r="E35" s="61"/>
      <c r="F35" s="62"/>
      <c r="G35" s="62"/>
      <c r="H35" s="548" t="e">
        <f aca="false">+H34</f>
        <v>#REF!</v>
      </c>
      <c r="I35" s="549" t="e">
        <f aca="false">+((F35*(H35-G35)))/H35</f>
        <v>#REF!</v>
      </c>
      <c r="J35" s="65" t="str">
        <f aca="false">IF(G35="","",(H35-G35)/G35)</f>
        <v/>
      </c>
      <c r="K35" s="550" t="n">
        <f aca="false">ABS(F35)</f>
        <v>0</v>
      </c>
      <c r="L35" s="67"/>
      <c r="M35" s="67" t="str">
        <f aca="true">IF(N35="","",N35-TODAY())</f>
        <v/>
      </c>
      <c r="N35" s="551"/>
      <c r="O35" s="551"/>
      <c r="R35" s="13" t="n">
        <f aca="false">IF($B35="DB-KIF",$I35,0)</f>
        <v>0</v>
      </c>
      <c r="S35" s="13" t="n">
        <f aca="false">IF($B35="UBS-MON",$I35,0)</f>
        <v>0</v>
      </c>
      <c r="T35" s="13" t="n">
        <f aca="false">IF($B35="UBS-KIF",$I35,0)</f>
        <v>0</v>
      </c>
      <c r="U35" s="13" t="n">
        <f aca="false">IF($B35="SAXO-MON",$I35,0)</f>
        <v>0</v>
      </c>
      <c r="V35" s="13" t="n">
        <f aca="false">IF($B35="SAXO-KIF",$I35,0)</f>
        <v>0</v>
      </c>
      <c r="W35" s="13" t="n">
        <f aca="false">IF($B35="chile",$I35,0)</f>
        <v>0</v>
      </c>
      <c r="Y35" s="13" t="n">
        <f aca="false">IF(R35&lt;&gt;0,$F35,0)</f>
        <v>0</v>
      </c>
      <c r="Z35" s="13" t="n">
        <f aca="false">IF(S35&lt;&gt;0,$F35,0)</f>
        <v>0</v>
      </c>
      <c r="AA35" s="13" t="n">
        <f aca="false">IF(T35&lt;&gt;0,$F35,0)</f>
        <v>0</v>
      </c>
      <c r="AB35" s="13" t="n">
        <f aca="false">IF(U35&lt;&gt;0,$F35,0)</f>
        <v>0</v>
      </c>
      <c r="AC35" s="13" t="n">
        <f aca="false">IF(V35&lt;&gt;0,$F35,0)</f>
        <v>0</v>
      </c>
      <c r="AD35" s="13" t="n">
        <f aca="false">IF(W35&lt;&gt;0,$F35,0)</f>
        <v>0</v>
      </c>
      <c r="AF35" s="13" t="n">
        <f aca="false">+$AF$28*Y35</f>
        <v>0</v>
      </c>
      <c r="AG35" s="13" t="n">
        <f aca="false">+$AG$28*Z35</f>
        <v>0</v>
      </c>
      <c r="AH35" s="13" t="n">
        <f aca="false">+$AH$28*AA35</f>
        <v>0</v>
      </c>
      <c r="AI35" s="13" t="n">
        <f aca="false">+$AI$28*AB35</f>
        <v>0</v>
      </c>
      <c r="AJ35" s="13" t="n">
        <f aca="false">+$AJ$28*AC35</f>
        <v>0</v>
      </c>
      <c r="AK35" s="13" t="n">
        <f aca="false">+$AK$28*AD35</f>
        <v>0</v>
      </c>
      <c r="AM35" s="452" t="n">
        <f aca="false">+AF35-R35</f>
        <v>0</v>
      </c>
      <c r="AN35" s="452" t="n">
        <f aca="false">+AG35-S35</f>
        <v>0</v>
      </c>
      <c r="AO35" s="452" t="n">
        <f aca="false">+AH35-T35</f>
        <v>0</v>
      </c>
      <c r="AP35" s="452" t="n">
        <f aca="false">+AI35-U35</f>
        <v>0</v>
      </c>
    </row>
    <row r="36" customFormat="false" ht="12.75" hidden="false" customHeight="false" outlineLevel="0" collapsed="false">
      <c r="A36" s="546"/>
      <c r="B36" s="61"/>
      <c r="C36" s="547"/>
      <c r="D36" s="61" t="s">
        <v>17</v>
      </c>
      <c r="E36" s="61"/>
      <c r="F36" s="62"/>
      <c r="G36" s="62"/>
      <c r="H36" s="548" t="e">
        <f aca="false">+H35</f>
        <v>#REF!</v>
      </c>
      <c r="I36" s="549" t="e">
        <f aca="false">+((F36*(H36-G36)))/H36</f>
        <v>#REF!</v>
      </c>
      <c r="J36" s="65" t="str">
        <f aca="false">IF(G36="","",(H36-G36)/G36)</f>
        <v/>
      </c>
      <c r="K36" s="550" t="n">
        <f aca="false">ABS(F36)</f>
        <v>0</v>
      </c>
      <c r="L36" s="67"/>
      <c r="M36" s="67" t="str">
        <f aca="true">IF(N36="","",N36-TODAY())</f>
        <v/>
      </c>
      <c r="N36" s="551"/>
      <c r="O36" s="551"/>
      <c r="R36" s="13" t="n">
        <f aca="false">IF($B36="DB-KIF",$I36,0)</f>
        <v>0</v>
      </c>
      <c r="S36" s="13" t="n">
        <f aca="false">IF($B36="UBS-MON",$I36,0)</f>
        <v>0</v>
      </c>
      <c r="T36" s="13" t="n">
        <f aca="false">IF($B36="UBS-KIF",$I36,0)</f>
        <v>0</v>
      </c>
      <c r="U36" s="13" t="n">
        <f aca="false">IF($B36="SAXO-MON",$I36,0)</f>
        <v>0</v>
      </c>
      <c r="V36" s="13" t="n">
        <f aca="false">IF($B36="SAXO-KIF",$I36,0)</f>
        <v>0</v>
      </c>
      <c r="W36" s="13" t="n">
        <f aca="false">IF($B36="chile",$I36,0)</f>
        <v>0</v>
      </c>
      <c r="Y36" s="13" t="n">
        <f aca="false">IF(R36&lt;&gt;0,$F36,0)</f>
        <v>0</v>
      </c>
      <c r="Z36" s="13" t="n">
        <f aca="false">IF(S36&lt;&gt;0,$F36,0)</f>
        <v>0</v>
      </c>
      <c r="AA36" s="13" t="n">
        <f aca="false">IF(T36&lt;&gt;0,$F36,0)</f>
        <v>0</v>
      </c>
      <c r="AB36" s="13" t="n">
        <f aca="false">IF(U36&lt;&gt;0,$F36,0)</f>
        <v>0</v>
      </c>
      <c r="AC36" s="13" t="n">
        <f aca="false">IF(V36&lt;&gt;0,$F36,0)</f>
        <v>0</v>
      </c>
      <c r="AD36" s="13" t="n">
        <f aca="false">IF(W36&lt;&gt;0,$F36,0)</f>
        <v>0</v>
      </c>
      <c r="AF36" s="13" t="n">
        <f aca="false">+$AF$28*Y36</f>
        <v>0</v>
      </c>
      <c r="AG36" s="13" t="n">
        <f aca="false">+$AG$28*Z36</f>
        <v>0</v>
      </c>
      <c r="AH36" s="13" t="n">
        <f aca="false">+$AH$28*AA36</f>
        <v>0</v>
      </c>
      <c r="AI36" s="13" t="n">
        <f aca="false">+$AI$28*AB36</f>
        <v>0</v>
      </c>
      <c r="AJ36" s="13" t="n">
        <f aca="false">+$AJ$28*AC36</f>
        <v>0</v>
      </c>
      <c r="AK36" s="13" t="n">
        <f aca="false">+$AK$28*AD36</f>
        <v>0</v>
      </c>
      <c r="AM36" s="452" t="n">
        <f aca="false">+AF36-R36</f>
        <v>0</v>
      </c>
      <c r="AN36" s="452" t="n">
        <f aca="false">+AG36-S36</f>
        <v>0</v>
      </c>
      <c r="AO36" s="452" t="n">
        <f aca="false">+AH36-T36</f>
        <v>0</v>
      </c>
      <c r="AP36" s="452" t="n">
        <f aca="false">+AI36-U36</f>
        <v>0</v>
      </c>
    </row>
    <row r="37" customFormat="false" ht="12.75" hidden="false" customHeight="false" outlineLevel="0" collapsed="false">
      <c r="A37" s="546"/>
      <c r="B37" s="61"/>
      <c r="C37" s="547"/>
      <c r="D37" s="61" t="s">
        <v>17</v>
      </c>
      <c r="E37" s="61"/>
      <c r="F37" s="62"/>
      <c r="G37" s="62"/>
      <c r="H37" s="548" t="e">
        <f aca="false">+H36</f>
        <v>#REF!</v>
      </c>
      <c r="I37" s="549" t="e">
        <f aca="false">+((F37*(H37-G37)))/H37</f>
        <v>#REF!</v>
      </c>
      <c r="J37" s="65" t="str">
        <f aca="false">IF(G37="","",(H37-G37)/G37)</f>
        <v/>
      </c>
      <c r="K37" s="550" t="n">
        <f aca="false">ABS(F37)</f>
        <v>0</v>
      </c>
      <c r="L37" s="67"/>
      <c r="M37" s="67" t="str">
        <f aca="true">IF(N37="","",N37-TODAY())</f>
        <v/>
      </c>
      <c r="N37" s="551"/>
      <c r="O37" s="551"/>
      <c r="R37" s="13" t="n">
        <f aca="false">IF($B37="DB-KIF",$I37,0)</f>
        <v>0</v>
      </c>
      <c r="S37" s="13" t="n">
        <f aca="false">IF($B37="UBS-MON",$I37,0)</f>
        <v>0</v>
      </c>
      <c r="T37" s="13" t="n">
        <f aca="false">IF($B37="UBS-KIF",$I37,0)</f>
        <v>0</v>
      </c>
      <c r="U37" s="13" t="n">
        <f aca="false">IF($B37="SAXO-MON",$I37,0)</f>
        <v>0</v>
      </c>
      <c r="V37" s="13" t="n">
        <f aca="false">IF($B37="SAXO-KIF",$I37,0)</f>
        <v>0</v>
      </c>
      <c r="W37" s="13" t="n">
        <f aca="false">IF($B37="chile",$I37,0)</f>
        <v>0</v>
      </c>
      <c r="Y37" s="13" t="n">
        <f aca="false">IF(R37&lt;&gt;0,$F37,0)</f>
        <v>0</v>
      </c>
      <c r="Z37" s="13" t="n">
        <f aca="false">IF(S37&lt;&gt;0,$F37,0)</f>
        <v>0</v>
      </c>
      <c r="AA37" s="13" t="n">
        <f aca="false">IF(T37&lt;&gt;0,$F37,0)</f>
        <v>0</v>
      </c>
      <c r="AB37" s="13" t="n">
        <f aca="false">IF(U37&lt;&gt;0,$F37,0)</f>
        <v>0</v>
      </c>
      <c r="AC37" s="13" t="n">
        <f aca="false">IF(V37&lt;&gt;0,$F37,0)</f>
        <v>0</v>
      </c>
      <c r="AD37" s="13" t="n">
        <f aca="false">IF(W37&lt;&gt;0,$F37,0)</f>
        <v>0</v>
      </c>
      <c r="AF37" s="13" t="n">
        <f aca="false">+$AF$28*Y37</f>
        <v>0</v>
      </c>
      <c r="AG37" s="13" t="n">
        <f aca="false">+$AG$28*Z37</f>
        <v>0</v>
      </c>
      <c r="AH37" s="13" t="n">
        <f aca="false">+$AH$28*AA37</f>
        <v>0</v>
      </c>
      <c r="AI37" s="13" t="n">
        <f aca="false">+$AI$28*AB37</f>
        <v>0</v>
      </c>
      <c r="AJ37" s="13" t="n">
        <f aca="false">+$AJ$28*AC37</f>
        <v>0</v>
      </c>
      <c r="AK37" s="13" t="n">
        <f aca="false">+$AK$28*AD37</f>
        <v>0</v>
      </c>
      <c r="AM37" s="452" t="n">
        <f aca="false">+AF37-R37</f>
        <v>0</v>
      </c>
      <c r="AN37" s="452" t="n">
        <f aca="false">+AG37-S37</f>
        <v>0</v>
      </c>
      <c r="AO37" s="452" t="n">
        <f aca="false">+AH37-T37</f>
        <v>0</v>
      </c>
      <c r="AP37" s="452" t="n">
        <f aca="false">+AI37-U37</f>
        <v>0</v>
      </c>
    </row>
    <row r="38" customFormat="false" ht="12.75" hidden="false" customHeight="false" outlineLevel="0" collapsed="false">
      <c r="A38" s="546"/>
      <c r="B38" s="61"/>
      <c r="C38" s="547"/>
      <c r="D38" s="61" t="s">
        <v>17</v>
      </c>
      <c r="E38" s="61"/>
      <c r="F38" s="62"/>
      <c r="G38" s="62"/>
      <c r="H38" s="548" t="e">
        <f aca="false">+H37</f>
        <v>#REF!</v>
      </c>
      <c r="I38" s="549" t="e">
        <f aca="false">+((F38*(H38-G38)))/H38</f>
        <v>#REF!</v>
      </c>
      <c r="J38" s="65" t="str">
        <f aca="false">IF(G38="","",(H38-G38)/G38)</f>
        <v/>
      </c>
      <c r="K38" s="550" t="n">
        <f aca="false">ABS(F38)</f>
        <v>0</v>
      </c>
      <c r="L38" s="67"/>
      <c r="M38" s="67" t="str">
        <f aca="true">IF(N38="","",N38-TODAY())</f>
        <v/>
      </c>
      <c r="N38" s="551"/>
      <c r="O38" s="551"/>
      <c r="R38" s="13" t="n">
        <f aca="false">IF($B38="DB-KIF",$I38,0)</f>
        <v>0</v>
      </c>
      <c r="S38" s="13" t="n">
        <f aca="false">IF($B38="UBS-MON",$I38,0)</f>
        <v>0</v>
      </c>
      <c r="T38" s="13" t="n">
        <f aca="false">IF($B38="UBS-KIF",$I38,0)</f>
        <v>0</v>
      </c>
      <c r="U38" s="13" t="n">
        <f aca="false">IF($B38="SAXO-MON",$I38,0)</f>
        <v>0</v>
      </c>
      <c r="V38" s="13" t="n">
        <f aca="false">IF($B38="SAXO-KIF",$I38,0)</f>
        <v>0</v>
      </c>
      <c r="W38" s="13" t="n">
        <f aca="false">IF($B38="chile",$I38,0)</f>
        <v>0</v>
      </c>
      <c r="Y38" s="13" t="n">
        <f aca="false">IF(R38&lt;&gt;0,$F38,0)</f>
        <v>0</v>
      </c>
      <c r="Z38" s="13" t="n">
        <f aca="false">IF(S38&lt;&gt;0,$F38,0)</f>
        <v>0</v>
      </c>
      <c r="AA38" s="13" t="n">
        <f aca="false">IF(T38&lt;&gt;0,$F38,0)</f>
        <v>0</v>
      </c>
      <c r="AB38" s="13" t="n">
        <f aca="false">IF(U38&lt;&gt;0,$F38,0)</f>
        <v>0</v>
      </c>
      <c r="AC38" s="13" t="n">
        <f aca="false">IF(V38&lt;&gt;0,$F38,0)</f>
        <v>0</v>
      </c>
      <c r="AD38" s="13" t="n">
        <f aca="false">IF(W38&lt;&gt;0,$F38,0)</f>
        <v>0</v>
      </c>
      <c r="AF38" s="13" t="n">
        <f aca="false">+$AF$28*Y38</f>
        <v>0</v>
      </c>
      <c r="AG38" s="13" t="n">
        <f aca="false">+$AG$28*Z38</f>
        <v>0</v>
      </c>
      <c r="AH38" s="13" t="n">
        <f aca="false">+$AH$28*AA38</f>
        <v>0</v>
      </c>
      <c r="AI38" s="13" t="n">
        <f aca="false">+$AI$28*AB38</f>
        <v>0</v>
      </c>
      <c r="AJ38" s="13" t="n">
        <f aca="false">+$AJ$28*AC38</f>
        <v>0</v>
      </c>
      <c r="AK38" s="13" t="n">
        <f aca="false">+$AK$28*AD38</f>
        <v>0</v>
      </c>
      <c r="AM38" s="452" t="n">
        <f aca="false">+AF38-R38</f>
        <v>0</v>
      </c>
      <c r="AN38" s="452" t="n">
        <f aca="false">+AG38-S38</f>
        <v>0</v>
      </c>
      <c r="AO38" s="452" t="n">
        <f aca="false">+AH38-T38</f>
        <v>0</v>
      </c>
      <c r="AP38" s="452" t="n">
        <f aca="false">+AI38-U38</f>
        <v>0</v>
      </c>
    </row>
    <row r="39" customFormat="false" ht="12.75" hidden="false" customHeight="false" outlineLevel="0" collapsed="false">
      <c r="A39" s="546"/>
      <c r="B39" s="61"/>
      <c r="C39" s="547"/>
      <c r="D39" s="61" t="s">
        <v>17</v>
      </c>
      <c r="E39" s="61"/>
      <c r="F39" s="62"/>
      <c r="G39" s="62"/>
      <c r="H39" s="548" t="e">
        <f aca="false">+H38</f>
        <v>#REF!</v>
      </c>
      <c r="I39" s="549" t="e">
        <f aca="false">+((F39*(H39-G39)))/H39</f>
        <v>#REF!</v>
      </c>
      <c r="J39" s="65" t="str">
        <f aca="false">IF(G39="","",(H39-G39)/G39)</f>
        <v/>
      </c>
      <c r="K39" s="550" t="n">
        <f aca="false">ABS(F39)</f>
        <v>0</v>
      </c>
      <c r="L39" s="67"/>
      <c r="M39" s="67" t="str">
        <f aca="true">IF(N39="","",N39-TODAY())</f>
        <v/>
      </c>
      <c r="N39" s="551"/>
      <c r="O39" s="551"/>
      <c r="R39" s="13" t="n">
        <f aca="false">IF($B39="DB-KIF",$I39,0)</f>
        <v>0</v>
      </c>
      <c r="S39" s="13" t="n">
        <f aca="false">IF($B39="UBS-MON",$I39,0)</f>
        <v>0</v>
      </c>
      <c r="T39" s="13" t="n">
        <f aca="false">IF($B39="UBS-KIF",$I39,0)</f>
        <v>0</v>
      </c>
      <c r="U39" s="13" t="n">
        <f aca="false">IF($B39="SAXO-MON",$I39,0)</f>
        <v>0</v>
      </c>
      <c r="V39" s="13" t="n">
        <f aca="false">IF($B39="SAXO-KIF",$I39,0)</f>
        <v>0</v>
      </c>
      <c r="W39" s="13" t="n">
        <f aca="false">IF($B39="chile",$I39,0)</f>
        <v>0</v>
      </c>
      <c r="Y39" s="13" t="n">
        <f aca="false">IF(R39&lt;&gt;0,$F39,0)</f>
        <v>0</v>
      </c>
      <c r="Z39" s="13" t="n">
        <f aca="false">IF(S39&lt;&gt;0,$F39,0)</f>
        <v>0</v>
      </c>
      <c r="AA39" s="13" t="n">
        <f aca="false">IF(T39&lt;&gt;0,$F39,0)</f>
        <v>0</v>
      </c>
      <c r="AB39" s="13" t="n">
        <f aca="false">IF(U39&lt;&gt;0,$F39,0)</f>
        <v>0</v>
      </c>
      <c r="AC39" s="13" t="n">
        <f aca="false">IF(V39&lt;&gt;0,$F39,0)</f>
        <v>0</v>
      </c>
      <c r="AD39" s="13" t="n">
        <f aca="false">IF(W39&lt;&gt;0,$F39,0)</f>
        <v>0</v>
      </c>
      <c r="AF39" s="13" t="n">
        <f aca="false">+$AF$28*Y39</f>
        <v>0</v>
      </c>
      <c r="AG39" s="13" t="n">
        <f aca="false">+$AG$28*Z39</f>
        <v>0</v>
      </c>
      <c r="AH39" s="13" t="n">
        <f aca="false">+$AH$28*AA39</f>
        <v>0</v>
      </c>
      <c r="AI39" s="13" t="n">
        <f aca="false">+$AI$28*AB39</f>
        <v>0</v>
      </c>
      <c r="AJ39" s="13" t="n">
        <f aca="false">+$AJ$28*AC39</f>
        <v>0</v>
      </c>
      <c r="AK39" s="13" t="n">
        <f aca="false">+$AK$28*AD39</f>
        <v>0</v>
      </c>
      <c r="AM39" s="452" t="n">
        <f aca="false">+AF39-R39</f>
        <v>0</v>
      </c>
      <c r="AN39" s="452" t="n">
        <f aca="false">+AG39-S39</f>
        <v>0</v>
      </c>
      <c r="AO39" s="452" t="n">
        <f aca="false">+AH39-T39</f>
        <v>0</v>
      </c>
      <c r="AP39" s="452" t="n">
        <f aca="false">+AI39-U39</f>
        <v>0</v>
      </c>
    </row>
    <row r="40" customFormat="false" ht="12.75" hidden="false" customHeight="false" outlineLevel="0" collapsed="false">
      <c r="A40" s="546"/>
      <c r="B40" s="61"/>
      <c r="C40" s="547"/>
      <c r="D40" s="61" t="s">
        <v>17</v>
      </c>
      <c r="E40" s="61"/>
      <c r="F40" s="62"/>
      <c r="G40" s="62"/>
      <c r="H40" s="548" t="e">
        <f aca="false">+H39</f>
        <v>#REF!</v>
      </c>
      <c r="I40" s="549" t="e">
        <f aca="false">+((F40*(H40-G40)))/H40</f>
        <v>#REF!</v>
      </c>
      <c r="J40" s="65" t="str">
        <f aca="false">IF(G40="","",(H40-G40)/G40)</f>
        <v/>
      </c>
      <c r="K40" s="550" t="n">
        <f aca="false">ABS(F40)</f>
        <v>0</v>
      </c>
      <c r="L40" s="67"/>
      <c r="M40" s="67" t="str">
        <f aca="true">IF(N40="","",N40-TODAY())</f>
        <v/>
      </c>
      <c r="N40" s="551"/>
      <c r="O40" s="551"/>
      <c r="R40" s="13" t="n">
        <f aca="false">IF($B40="DB-KIF",$I40,0)</f>
        <v>0</v>
      </c>
      <c r="S40" s="13" t="n">
        <f aca="false">IF($B40="UBS-MON",$I40,0)</f>
        <v>0</v>
      </c>
      <c r="T40" s="13" t="n">
        <f aca="false">IF($B40="UBS-KIF",$I40,0)</f>
        <v>0</v>
      </c>
      <c r="U40" s="13" t="n">
        <f aca="false">IF($B40="SAXO-MON",$I40,0)</f>
        <v>0</v>
      </c>
      <c r="V40" s="13" t="n">
        <f aca="false">IF($B40="SAXO-KIF",$I40,0)</f>
        <v>0</v>
      </c>
      <c r="W40" s="13" t="n">
        <f aca="false">IF($B40="chile",$I40,0)</f>
        <v>0</v>
      </c>
      <c r="Y40" s="13" t="n">
        <f aca="false">IF(R40&lt;&gt;0,$F40,0)</f>
        <v>0</v>
      </c>
      <c r="Z40" s="13" t="n">
        <f aca="false">IF(S40&lt;&gt;0,$F40,0)</f>
        <v>0</v>
      </c>
      <c r="AA40" s="13" t="n">
        <f aca="false">IF(T40&lt;&gt;0,$F40,0)</f>
        <v>0</v>
      </c>
      <c r="AB40" s="13" t="n">
        <f aca="false">IF(U40&lt;&gt;0,$F40,0)</f>
        <v>0</v>
      </c>
      <c r="AC40" s="13" t="n">
        <f aca="false">IF(V40&lt;&gt;0,$F40,0)</f>
        <v>0</v>
      </c>
      <c r="AD40" s="13" t="n">
        <f aca="false">IF(W40&lt;&gt;0,$F40,0)</f>
        <v>0</v>
      </c>
      <c r="AF40" s="13" t="n">
        <f aca="false">+$AF$28*Y40</f>
        <v>0</v>
      </c>
      <c r="AG40" s="13" t="n">
        <f aca="false">+$AG$28*Z40</f>
        <v>0</v>
      </c>
      <c r="AH40" s="13" t="n">
        <f aca="false">+$AH$28*AA40</f>
        <v>0</v>
      </c>
      <c r="AI40" s="13" t="n">
        <f aca="false">+$AI$28*AB40</f>
        <v>0</v>
      </c>
      <c r="AJ40" s="13" t="n">
        <f aca="false">+$AJ$28*AC40</f>
        <v>0</v>
      </c>
      <c r="AK40" s="13" t="n">
        <f aca="false">+$AK$28*AD40</f>
        <v>0</v>
      </c>
      <c r="AM40" s="452" t="n">
        <f aca="false">+AF40-R40</f>
        <v>0</v>
      </c>
      <c r="AN40" s="452" t="n">
        <f aca="false">+AG40-S40</f>
        <v>0</v>
      </c>
      <c r="AO40" s="452" t="n">
        <f aca="false">+AH40-T40</f>
        <v>0</v>
      </c>
      <c r="AP40" s="452" t="n">
        <f aca="false">+AI40-U40</f>
        <v>0</v>
      </c>
    </row>
    <row r="41" customFormat="false" ht="12.75" hidden="false" customHeight="false" outlineLevel="0" collapsed="false">
      <c r="A41" s="546"/>
      <c r="B41" s="61"/>
      <c r="C41" s="547"/>
      <c r="D41" s="61" t="s">
        <v>17</v>
      </c>
      <c r="E41" s="61"/>
      <c r="F41" s="62"/>
      <c r="G41" s="62"/>
      <c r="H41" s="548" t="e">
        <f aca="false">+H40</f>
        <v>#REF!</v>
      </c>
      <c r="I41" s="549" t="e">
        <f aca="false">+((F41*(H41-G41)))/H41</f>
        <v>#REF!</v>
      </c>
      <c r="J41" s="65" t="str">
        <f aca="false">IF(G41="","",(H41-G41)/G41)</f>
        <v/>
      </c>
      <c r="K41" s="550" t="n">
        <f aca="false">ABS(F41)</f>
        <v>0</v>
      </c>
      <c r="L41" s="67"/>
      <c r="M41" s="67" t="str">
        <f aca="true">IF(N41="","",N41-TODAY())</f>
        <v/>
      </c>
      <c r="N41" s="551"/>
      <c r="O41" s="551"/>
      <c r="R41" s="13" t="n">
        <f aca="false">IF($B41="DB-KIF",$I41,0)</f>
        <v>0</v>
      </c>
      <c r="S41" s="13" t="n">
        <f aca="false">IF($B41="UBS-MON",$I41,0)</f>
        <v>0</v>
      </c>
      <c r="T41" s="13" t="n">
        <f aca="false">IF($B41="UBS-KIF",$I41,0)</f>
        <v>0</v>
      </c>
      <c r="U41" s="13" t="n">
        <f aca="false">IF($B41="SAXO-MON",$I41,0)</f>
        <v>0</v>
      </c>
      <c r="V41" s="13" t="n">
        <f aca="false">IF($B41="SAXO-KIF",$I41,0)</f>
        <v>0</v>
      </c>
      <c r="W41" s="13" t="n">
        <f aca="false">IF($B41="chile",$I41,0)</f>
        <v>0</v>
      </c>
      <c r="Y41" s="13" t="n">
        <f aca="false">IF(R41&lt;&gt;0,$F41,0)</f>
        <v>0</v>
      </c>
      <c r="Z41" s="13" t="n">
        <f aca="false">IF(S41&lt;&gt;0,$F41,0)</f>
        <v>0</v>
      </c>
      <c r="AA41" s="13" t="n">
        <f aca="false">IF(T41&lt;&gt;0,$F41,0)</f>
        <v>0</v>
      </c>
      <c r="AB41" s="13" t="n">
        <f aca="false">IF(U41&lt;&gt;0,$F41,0)</f>
        <v>0</v>
      </c>
      <c r="AC41" s="13" t="n">
        <f aca="false">IF(V41&lt;&gt;0,$F41,0)</f>
        <v>0</v>
      </c>
      <c r="AD41" s="13" t="n">
        <f aca="false">IF(W41&lt;&gt;0,$F41,0)</f>
        <v>0</v>
      </c>
      <c r="AF41" s="13" t="n">
        <f aca="false">+$AF$28*Y41</f>
        <v>0</v>
      </c>
      <c r="AG41" s="13" t="n">
        <f aca="false">+$AG$28*Z41</f>
        <v>0</v>
      </c>
      <c r="AH41" s="13" t="n">
        <f aca="false">+$AH$28*AA41</f>
        <v>0</v>
      </c>
      <c r="AI41" s="13" t="n">
        <f aca="false">+$AI$28*AB41</f>
        <v>0</v>
      </c>
      <c r="AJ41" s="13" t="n">
        <f aca="false">+$AJ$28*AC41</f>
        <v>0</v>
      </c>
      <c r="AK41" s="13" t="n">
        <f aca="false">+$AK$28*AD41</f>
        <v>0</v>
      </c>
      <c r="AM41" s="452" t="n">
        <f aca="false">+AF41-R41</f>
        <v>0</v>
      </c>
      <c r="AN41" s="452" t="n">
        <f aca="false">+AG41-S41</f>
        <v>0</v>
      </c>
      <c r="AO41" s="452" t="n">
        <f aca="false">+AH41-T41</f>
        <v>0</v>
      </c>
      <c r="AP41" s="452" t="n">
        <f aca="false">+AI41-U41</f>
        <v>0</v>
      </c>
    </row>
    <row r="42" customFormat="false" ht="12.75" hidden="false" customHeight="false" outlineLevel="0" collapsed="false">
      <c r="A42" s="546"/>
      <c r="B42" s="61"/>
      <c r="C42" s="547"/>
      <c r="D42" s="61" t="s">
        <v>17</v>
      </c>
      <c r="E42" s="61"/>
      <c r="F42" s="62"/>
      <c r="G42" s="62"/>
      <c r="H42" s="548" t="e">
        <f aca="false">+H41</f>
        <v>#REF!</v>
      </c>
      <c r="I42" s="549" t="e">
        <f aca="false">+((F42*(H42-G42)))/H42</f>
        <v>#REF!</v>
      </c>
      <c r="J42" s="65" t="str">
        <f aca="false">IF(G42="","",(H42-G42)/G42)</f>
        <v/>
      </c>
      <c r="K42" s="550" t="n">
        <f aca="false">ABS(F42)</f>
        <v>0</v>
      </c>
      <c r="L42" s="67"/>
      <c r="M42" s="67" t="str">
        <f aca="true">IF(N42="","",N42-TODAY())</f>
        <v/>
      </c>
      <c r="N42" s="551"/>
      <c r="O42" s="551"/>
      <c r="R42" s="13" t="n">
        <f aca="false">IF($B42="DB-KIF",$I42,0)</f>
        <v>0</v>
      </c>
      <c r="S42" s="13" t="n">
        <f aca="false">IF($B42="UBS-MON",$I42,0)</f>
        <v>0</v>
      </c>
      <c r="T42" s="13" t="n">
        <f aca="false">IF($B42="UBS-KIF",$I42,0)</f>
        <v>0</v>
      </c>
      <c r="U42" s="13" t="n">
        <f aca="false">IF($B42="SAXO-MON",$I42,0)</f>
        <v>0</v>
      </c>
      <c r="V42" s="13" t="n">
        <f aca="false">IF($B42="SAXO-KIF",$I42,0)</f>
        <v>0</v>
      </c>
      <c r="W42" s="13" t="n">
        <f aca="false">IF($B42="chile",$I42,0)</f>
        <v>0</v>
      </c>
      <c r="Y42" s="13" t="n">
        <f aca="false">IF(R42&lt;&gt;0,$F42,0)</f>
        <v>0</v>
      </c>
      <c r="Z42" s="13" t="n">
        <f aca="false">IF(S42&lt;&gt;0,$F42,0)</f>
        <v>0</v>
      </c>
      <c r="AA42" s="13" t="n">
        <f aca="false">IF(T42&lt;&gt;0,$F42,0)</f>
        <v>0</v>
      </c>
      <c r="AB42" s="13" t="n">
        <f aca="false">IF(U42&lt;&gt;0,$F42,0)</f>
        <v>0</v>
      </c>
      <c r="AC42" s="13" t="n">
        <f aca="false">IF(V42&lt;&gt;0,$F42,0)</f>
        <v>0</v>
      </c>
      <c r="AD42" s="13" t="n">
        <f aca="false">IF(W42&lt;&gt;0,$F42,0)</f>
        <v>0</v>
      </c>
      <c r="AF42" s="13" t="n">
        <f aca="false">+$AF$28*Y42</f>
        <v>0</v>
      </c>
      <c r="AG42" s="13" t="n">
        <f aca="false">+$AG$28*Z42</f>
        <v>0</v>
      </c>
      <c r="AH42" s="13" t="n">
        <f aca="false">+$AH$28*AA42</f>
        <v>0</v>
      </c>
      <c r="AI42" s="13" t="n">
        <f aca="false">+$AI$28*AB42</f>
        <v>0</v>
      </c>
      <c r="AJ42" s="13" t="n">
        <f aca="false">+$AJ$28*AC42</f>
        <v>0</v>
      </c>
      <c r="AK42" s="13" t="n">
        <f aca="false">+$AK$28*AD42</f>
        <v>0</v>
      </c>
      <c r="AM42" s="452" t="n">
        <f aca="false">+AF42-R42</f>
        <v>0</v>
      </c>
      <c r="AN42" s="452" t="n">
        <f aca="false">+AG42-S42</f>
        <v>0</v>
      </c>
      <c r="AO42" s="452" t="n">
        <f aca="false">+AH42-T42</f>
        <v>0</v>
      </c>
      <c r="AP42" s="452" t="n">
        <f aca="false">+AI42-U42</f>
        <v>0</v>
      </c>
    </row>
    <row r="43" customFormat="false" ht="12.75" hidden="false" customHeight="false" outlineLevel="0" collapsed="false">
      <c r="A43" s="546"/>
      <c r="B43" s="61"/>
      <c r="C43" s="547"/>
      <c r="D43" s="61" t="s">
        <v>17</v>
      </c>
      <c r="E43" s="61"/>
      <c r="F43" s="62"/>
      <c r="G43" s="62"/>
      <c r="H43" s="548" t="e">
        <f aca="false">+H42</f>
        <v>#REF!</v>
      </c>
      <c r="I43" s="549" t="e">
        <f aca="false">+((F43*(H43-G43)))/H43</f>
        <v>#REF!</v>
      </c>
      <c r="J43" s="65" t="str">
        <f aca="false">IF(G43="","",(H43-G43)/G43)</f>
        <v/>
      </c>
      <c r="K43" s="550" t="n">
        <f aca="false">ABS(F43)</f>
        <v>0</v>
      </c>
      <c r="L43" s="67"/>
      <c r="M43" s="67" t="str">
        <f aca="true">IF(N43="","",N43-TODAY())</f>
        <v/>
      </c>
      <c r="N43" s="551"/>
      <c r="O43" s="551"/>
      <c r="R43" s="13" t="n">
        <f aca="false">IF($B43="DB-KIF",$I43,0)</f>
        <v>0</v>
      </c>
      <c r="S43" s="13" t="n">
        <f aca="false">IF($B43="UBS-MON",$I43,0)</f>
        <v>0</v>
      </c>
      <c r="T43" s="13" t="n">
        <f aca="false">IF($B43="UBS-KIF",$I43,0)</f>
        <v>0</v>
      </c>
      <c r="U43" s="13" t="n">
        <f aca="false">IF($B43="SAXO-MON",$I43,0)</f>
        <v>0</v>
      </c>
      <c r="V43" s="13" t="n">
        <f aca="false">IF($B43="SAXO-KIF",$I43,0)</f>
        <v>0</v>
      </c>
      <c r="W43" s="13" t="n">
        <f aca="false">IF($B43="chile",$I43,0)</f>
        <v>0</v>
      </c>
      <c r="Y43" s="13" t="n">
        <f aca="false">IF(R43&lt;&gt;0,$F43,0)</f>
        <v>0</v>
      </c>
      <c r="Z43" s="13" t="n">
        <f aca="false">IF(S43&lt;&gt;0,$F43,0)</f>
        <v>0</v>
      </c>
      <c r="AA43" s="13" t="n">
        <f aca="false">IF(T43&lt;&gt;0,$F43,0)</f>
        <v>0</v>
      </c>
      <c r="AB43" s="13" t="n">
        <f aca="false">IF(U43&lt;&gt;0,$F43,0)</f>
        <v>0</v>
      </c>
      <c r="AC43" s="13" t="n">
        <f aca="false">IF(V43&lt;&gt;0,$F43,0)</f>
        <v>0</v>
      </c>
      <c r="AD43" s="13" t="n">
        <f aca="false">IF(W43&lt;&gt;0,$F43,0)</f>
        <v>0</v>
      </c>
      <c r="AF43" s="13" t="n">
        <f aca="false">+$AF$28*Y43</f>
        <v>0</v>
      </c>
      <c r="AG43" s="13" t="n">
        <f aca="false">+$AG$28*Z43</f>
        <v>0</v>
      </c>
      <c r="AH43" s="13" t="n">
        <f aca="false">+$AH$28*AA43</f>
        <v>0</v>
      </c>
      <c r="AI43" s="13" t="n">
        <f aca="false">+$AI$28*AB43</f>
        <v>0</v>
      </c>
      <c r="AJ43" s="13" t="n">
        <f aca="false">+$AJ$28*AC43</f>
        <v>0</v>
      </c>
      <c r="AK43" s="13" t="n">
        <f aca="false">+$AK$28*AD43</f>
        <v>0</v>
      </c>
      <c r="AM43" s="452" t="n">
        <f aca="false">+AF43-R43</f>
        <v>0</v>
      </c>
      <c r="AN43" s="452" t="n">
        <f aca="false">+AG43-S43</f>
        <v>0</v>
      </c>
      <c r="AO43" s="452" t="n">
        <f aca="false">+AH43-T43</f>
        <v>0</v>
      </c>
      <c r="AP43" s="452" t="n">
        <f aca="false">+AI43-U43</f>
        <v>0</v>
      </c>
    </row>
    <row r="44" customFormat="false" ht="12.75" hidden="false" customHeight="false" outlineLevel="0" collapsed="false">
      <c r="A44" s="546"/>
      <c r="B44" s="61"/>
      <c r="C44" s="547"/>
      <c r="D44" s="61" t="s">
        <v>17</v>
      </c>
      <c r="E44" s="61"/>
      <c r="F44" s="62"/>
      <c r="G44" s="62"/>
      <c r="H44" s="548" t="e">
        <f aca="false">+H43</f>
        <v>#REF!</v>
      </c>
      <c r="I44" s="549" t="e">
        <f aca="false">+((F44*(H44-G44)))/H44</f>
        <v>#REF!</v>
      </c>
      <c r="J44" s="65" t="str">
        <f aca="false">IF(G44="","",(H44-G44)/G44)</f>
        <v/>
      </c>
      <c r="K44" s="550" t="n">
        <f aca="false">ABS(F44)</f>
        <v>0</v>
      </c>
      <c r="L44" s="67"/>
      <c r="M44" s="67" t="str">
        <f aca="true">IF(N44="","",N44-TODAY())</f>
        <v/>
      </c>
      <c r="N44" s="551"/>
      <c r="O44" s="551"/>
      <c r="R44" s="13" t="n">
        <f aca="false">IF($B44="DB-KIF",$I44,0)</f>
        <v>0</v>
      </c>
      <c r="S44" s="13" t="n">
        <f aca="false">IF($B44="UBS-MON",$I44,0)</f>
        <v>0</v>
      </c>
      <c r="T44" s="13" t="n">
        <f aca="false">IF($B44="UBS-KIF",$I44,0)</f>
        <v>0</v>
      </c>
      <c r="U44" s="13" t="n">
        <f aca="false">IF($B44="SAXO-MON",$I44,0)</f>
        <v>0</v>
      </c>
      <c r="V44" s="13" t="n">
        <f aca="false">IF($B44="SAXO-KIF",$I44,0)</f>
        <v>0</v>
      </c>
      <c r="W44" s="13" t="n">
        <f aca="false">IF($B44="chile",$I44,0)</f>
        <v>0</v>
      </c>
      <c r="Y44" s="13" t="n">
        <f aca="false">IF(R44&lt;&gt;0,$F44,0)</f>
        <v>0</v>
      </c>
      <c r="Z44" s="13" t="n">
        <f aca="false">IF(S44&lt;&gt;0,$F44,0)</f>
        <v>0</v>
      </c>
      <c r="AA44" s="13" t="n">
        <f aca="false">IF(T44&lt;&gt;0,$F44,0)</f>
        <v>0</v>
      </c>
      <c r="AB44" s="13" t="n">
        <f aca="false">IF(U44&lt;&gt;0,$F44,0)</f>
        <v>0</v>
      </c>
      <c r="AC44" s="13" t="n">
        <f aca="false">IF(V44&lt;&gt;0,$F44,0)</f>
        <v>0</v>
      </c>
      <c r="AD44" s="13" t="n">
        <f aca="false">IF(W44&lt;&gt;0,$F44,0)</f>
        <v>0</v>
      </c>
      <c r="AF44" s="13" t="n">
        <f aca="false">+$AF$28*Y44</f>
        <v>0</v>
      </c>
      <c r="AG44" s="13" t="n">
        <f aca="false">+$AG$28*Z44</f>
        <v>0</v>
      </c>
      <c r="AH44" s="13" t="n">
        <f aca="false">+$AH$28*AA44</f>
        <v>0</v>
      </c>
      <c r="AI44" s="13" t="n">
        <f aca="false">+$AI$28*AB44</f>
        <v>0</v>
      </c>
      <c r="AJ44" s="13" t="n">
        <f aca="false">+$AJ$28*AC44</f>
        <v>0</v>
      </c>
      <c r="AK44" s="13" t="n">
        <f aca="false">+$AK$28*AD44</f>
        <v>0</v>
      </c>
      <c r="AM44" s="452" t="n">
        <f aca="false">+AF44-R44</f>
        <v>0</v>
      </c>
      <c r="AN44" s="452" t="n">
        <f aca="false">+AG44-S44</f>
        <v>0</v>
      </c>
      <c r="AO44" s="452" t="n">
        <f aca="false">+AH44-T44</f>
        <v>0</v>
      </c>
      <c r="AP44" s="452" t="n">
        <f aca="false">+AI44-U44</f>
        <v>0</v>
      </c>
    </row>
    <row r="45" customFormat="false" ht="12.75" hidden="false" customHeight="false" outlineLevel="0" collapsed="false">
      <c r="A45" s="546"/>
      <c r="B45" s="61"/>
      <c r="C45" s="547"/>
      <c r="D45" s="61" t="s">
        <v>17</v>
      </c>
      <c r="E45" s="61"/>
      <c r="F45" s="62"/>
      <c r="G45" s="62"/>
      <c r="H45" s="548" t="e">
        <f aca="false">+H44</f>
        <v>#REF!</v>
      </c>
      <c r="I45" s="549" t="e">
        <f aca="false">+((F45*(H45-G45)))/H45</f>
        <v>#REF!</v>
      </c>
      <c r="J45" s="65" t="str">
        <f aca="false">IF(G45="","",(H45-G45)/G45)</f>
        <v/>
      </c>
      <c r="K45" s="550" t="n">
        <f aca="false">ABS(F45)</f>
        <v>0</v>
      </c>
      <c r="L45" s="67"/>
      <c r="M45" s="67" t="str">
        <f aca="true">IF(N45="","",N45-TODAY())</f>
        <v/>
      </c>
      <c r="N45" s="551"/>
      <c r="O45" s="551"/>
      <c r="R45" s="13" t="n">
        <f aca="false">IF($B45="DB-KIF",$I45,0)</f>
        <v>0</v>
      </c>
      <c r="S45" s="13" t="n">
        <f aca="false">IF($B45="UBS-MON",$I45,0)</f>
        <v>0</v>
      </c>
      <c r="T45" s="13" t="n">
        <f aca="false">IF($B45="UBS-KIF",$I45,0)</f>
        <v>0</v>
      </c>
      <c r="U45" s="13" t="n">
        <f aca="false">IF($B45="SAXO-MON",$I45,0)</f>
        <v>0</v>
      </c>
      <c r="V45" s="13" t="n">
        <f aca="false">IF($B45="SAXO-KIF",$I45,0)</f>
        <v>0</v>
      </c>
      <c r="W45" s="13" t="n">
        <f aca="false">IF($B45="chile",$I45,0)</f>
        <v>0</v>
      </c>
      <c r="Y45" s="13" t="n">
        <f aca="false">IF(R45&lt;&gt;0,$F45,0)</f>
        <v>0</v>
      </c>
      <c r="Z45" s="13" t="n">
        <f aca="false">IF(S45&lt;&gt;0,$F45,0)</f>
        <v>0</v>
      </c>
      <c r="AA45" s="13" t="n">
        <f aca="false">IF(T45&lt;&gt;0,$F45,0)</f>
        <v>0</v>
      </c>
      <c r="AB45" s="13" t="n">
        <f aca="false">IF(U45&lt;&gt;0,$F45,0)</f>
        <v>0</v>
      </c>
      <c r="AC45" s="13" t="n">
        <f aca="false">IF(V45&lt;&gt;0,$F45,0)</f>
        <v>0</v>
      </c>
      <c r="AD45" s="13" t="n">
        <f aca="false">IF(W45&lt;&gt;0,$F45,0)</f>
        <v>0</v>
      </c>
      <c r="AF45" s="13" t="n">
        <f aca="false">+$AF$28*Y45</f>
        <v>0</v>
      </c>
      <c r="AG45" s="13" t="n">
        <f aca="false">+$AG$28*Z45</f>
        <v>0</v>
      </c>
      <c r="AH45" s="13" t="n">
        <f aca="false">+$AH$28*AA45</f>
        <v>0</v>
      </c>
      <c r="AI45" s="13" t="n">
        <f aca="false">+$AI$28*AB45</f>
        <v>0</v>
      </c>
      <c r="AJ45" s="13" t="n">
        <f aca="false">+$AJ$28*AC45</f>
        <v>0</v>
      </c>
      <c r="AK45" s="13" t="n">
        <f aca="false">+$AK$28*AD45</f>
        <v>0</v>
      </c>
      <c r="AM45" s="452" t="n">
        <f aca="false">+AF45-R45</f>
        <v>0</v>
      </c>
      <c r="AN45" s="452" t="n">
        <f aca="false">+AG45-S45</f>
        <v>0</v>
      </c>
      <c r="AO45" s="452" t="n">
        <f aca="false">+AH45-T45</f>
        <v>0</v>
      </c>
      <c r="AP45" s="452" t="n">
        <f aca="false">+AI45-U45</f>
        <v>0</v>
      </c>
    </row>
    <row r="46" customFormat="false" ht="12.75" hidden="false" customHeight="false" outlineLevel="0" collapsed="false">
      <c r="A46" s="546"/>
      <c r="B46" s="61"/>
      <c r="C46" s="547"/>
      <c r="D46" s="61" t="s">
        <v>17</v>
      </c>
      <c r="E46" s="61"/>
      <c r="F46" s="62"/>
      <c r="G46" s="62"/>
      <c r="H46" s="548" t="e">
        <f aca="false">+H45</f>
        <v>#REF!</v>
      </c>
      <c r="I46" s="549" t="e">
        <f aca="false">+((F46*(H46-G46)))/H46</f>
        <v>#REF!</v>
      </c>
      <c r="J46" s="65" t="str">
        <f aca="false">IF(G46="","",(H46-G46)/G46)</f>
        <v/>
      </c>
      <c r="K46" s="550" t="n">
        <f aca="false">ABS(F46)</f>
        <v>0</v>
      </c>
      <c r="L46" s="67"/>
      <c r="M46" s="67" t="str">
        <f aca="true">IF(N46="","",N46-TODAY())</f>
        <v/>
      </c>
      <c r="N46" s="551"/>
      <c r="O46" s="551"/>
      <c r="R46" s="13" t="n">
        <f aca="false">IF($B46="DB-KIF",$I46,0)</f>
        <v>0</v>
      </c>
      <c r="S46" s="13" t="n">
        <f aca="false">IF($B46="UBS-MON",$I46,0)</f>
        <v>0</v>
      </c>
      <c r="T46" s="13" t="n">
        <f aca="false">IF($B46="UBS-KIF",$I46,0)</f>
        <v>0</v>
      </c>
      <c r="U46" s="13" t="n">
        <f aca="false">IF($B46="SAXO-MON",$I46,0)</f>
        <v>0</v>
      </c>
      <c r="V46" s="13" t="n">
        <f aca="false">IF($B46="SAXO-KIF",$I46,0)</f>
        <v>0</v>
      </c>
      <c r="W46" s="13" t="n">
        <f aca="false">IF($B46="chile",$I46,0)</f>
        <v>0</v>
      </c>
      <c r="Y46" s="13" t="n">
        <f aca="false">IF(R46&lt;&gt;0,$F46,0)</f>
        <v>0</v>
      </c>
      <c r="Z46" s="13" t="n">
        <f aca="false">IF(S46&lt;&gt;0,$F46,0)</f>
        <v>0</v>
      </c>
      <c r="AA46" s="13" t="n">
        <f aca="false">IF(T46&lt;&gt;0,$F46,0)</f>
        <v>0</v>
      </c>
      <c r="AB46" s="13" t="n">
        <f aca="false">IF(U46&lt;&gt;0,$F46,0)</f>
        <v>0</v>
      </c>
      <c r="AC46" s="13" t="n">
        <f aca="false">IF(V46&lt;&gt;0,$F46,0)</f>
        <v>0</v>
      </c>
      <c r="AD46" s="13" t="n">
        <f aca="false">IF(W46&lt;&gt;0,$F46,0)</f>
        <v>0</v>
      </c>
      <c r="AF46" s="13" t="n">
        <f aca="false">+$AF$28*Y46</f>
        <v>0</v>
      </c>
      <c r="AG46" s="13" t="n">
        <f aca="false">+$AG$28*Z46</f>
        <v>0</v>
      </c>
      <c r="AH46" s="13" t="n">
        <f aca="false">+$AH$28*AA46</f>
        <v>0</v>
      </c>
      <c r="AI46" s="13" t="n">
        <f aca="false">+$AI$28*AB46</f>
        <v>0</v>
      </c>
      <c r="AJ46" s="13" t="n">
        <f aca="false">+$AJ$28*AC46</f>
        <v>0</v>
      </c>
      <c r="AK46" s="13" t="n">
        <f aca="false">+$AK$28*AD46</f>
        <v>0</v>
      </c>
      <c r="AM46" s="452" t="n">
        <f aca="false">+AF46-R46</f>
        <v>0</v>
      </c>
      <c r="AN46" s="452" t="n">
        <f aca="false">+AG46-S46</f>
        <v>0</v>
      </c>
      <c r="AO46" s="452" t="n">
        <f aca="false">+AH46-T46</f>
        <v>0</v>
      </c>
      <c r="AP46" s="452" t="n">
        <f aca="false">+AI46-U46</f>
        <v>0</v>
      </c>
    </row>
    <row r="47" customFormat="false" ht="12.75" hidden="false" customHeight="false" outlineLevel="0" collapsed="false">
      <c r="A47" s="546"/>
      <c r="B47" s="61"/>
      <c r="C47" s="547"/>
      <c r="D47" s="61" t="s">
        <v>17</v>
      </c>
      <c r="E47" s="61"/>
      <c r="F47" s="62"/>
      <c r="G47" s="62"/>
      <c r="H47" s="548" t="e">
        <f aca="false">+H46</f>
        <v>#REF!</v>
      </c>
      <c r="I47" s="549" t="e">
        <f aca="false">+((F47*(H47-G47)))/H47</f>
        <v>#REF!</v>
      </c>
      <c r="J47" s="65" t="str">
        <f aca="false">IF(G47="","",(H47-G47)/G47)</f>
        <v/>
      </c>
      <c r="K47" s="550" t="n">
        <f aca="false">ABS(F47)</f>
        <v>0</v>
      </c>
      <c r="L47" s="67"/>
      <c r="M47" s="67" t="str">
        <f aca="true">IF(N47="","",N47-TODAY())</f>
        <v/>
      </c>
      <c r="N47" s="551"/>
      <c r="O47" s="551"/>
      <c r="R47" s="13" t="n">
        <f aca="false">IF($B47="DB-KIF",$I47,0)</f>
        <v>0</v>
      </c>
      <c r="S47" s="13" t="n">
        <f aca="false">IF($B47="UBS-MON",$I47,0)</f>
        <v>0</v>
      </c>
      <c r="T47" s="13" t="n">
        <f aca="false">IF($B47="UBS-KIF",$I47,0)</f>
        <v>0</v>
      </c>
      <c r="U47" s="13" t="n">
        <f aca="false">IF($B47="SAXO-MON",$I47,0)</f>
        <v>0</v>
      </c>
      <c r="V47" s="13" t="n">
        <f aca="false">IF($B47="SAXO-KIF",$I47,0)</f>
        <v>0</v>
      </c>
      <c r="W47" s="13" t="n">
        <f aca="false">IF($B47="chile",$I47,0)</f>
        <v>0</v>
      </c>
      <c r="Y47" s="13" t="n">
        <f aca="false">IF(R47&lt;&gt;0,$F47,0)</f>
        <v>0</v>
      </c>
      <c r="Z47" s="13" t="n">
        <f aca="false">IF(S47&lt;&gt;0,$F47,0)</f>
        <v>0</v>
      </c>
      <c r="AA47" s="13" t="n">
        <f aca="false">IF(T47&lt;&gt;0,$F47,0)</f>
        <v>0</v>
      </c>
      <c r="AB47" s="13" t="n">
        <f aca="false">IF(U47&lt;&gt;0,$F47,0)</f>
        <v>0</v>
      </c>
      <c r="AC47" s="13" t="n">
        <f aca="false">IF(V47&lt;&gt;0,$F47,0)</f>
        <v>0</v>
      </c>
      <c r="AD47" s="13" t="n">
        <f aca="false">IF(W47&lt;&gt;0,$F47,0)</f>
        <v>0</v>
      </c>
      <c r="AF47" s="13" t="n">
        <f aca="false">+$AF$28*Y47</f>
        <v>0</v>
      </c>
      <c r="AG47" s="13" t="n">
        <f aca="false">+$AG$28*Z47</f>
        <v>0</v>
      </c>
      <c r="AH47" s="13" t="n">
        <f aca="false">+$AH$28*AA47</f>
        <v>0</v>
      </c>
      <c r="AI47" s="13" t="n">
        <f aca="false">+$AI$28*AB47</f>
        <v>0</v>
      </c>
      <c r="AJ47" s="13" t="n">
        <f aca="false">+$AJ$28*AC47</f>
        <v>0</v>
      </c>
      <c r="AK47" s="13" t="n">
        <f aca="false">+$AK$28*AD47</f>
        <v>0</v>
      </c>
      <c r="AM47" s="452" t="n">
        <f aca="false">+AF47-R47</f>
        <v>0</v>
      </c>
      <c r="AN47" s="452" t="n">
        <f aca="false">+AG47-S47</f>
        <v>0</v>
      </c>
      <c r="AO47" s="452" t="n">
        <f aca="false">+AH47-T47</f>
        <v>0</v>
      </c>
      <c r="AP47" s="452" t="n">
        <f aca="false">+AI47-U47</f>
        <v>0</v>
      </c>
    </row>
    <row r="48" customFormat="false" ht="12.75" hidden="false" customHeight="false" outlineLevel="0" collapsed="false">
      <c r="A48" s="546"/>
      <c r="B48" s="61"/>
      <c r="C48" s="547"/>
      <c r="D48" s="61" t="s">
        <v>17</v>
      </c>
      <c r="E48" s="61"/>
      <c r="F48" s="62"/>
      <c r="G48" s="62"/>
      <c r="H48" s="548" t="e">
        <f aca="false">+H47</f>
        <v>#REF!</v>
      </c>
      <c r="I48" s="549" t="e">
        <f aca="false">+((F48*(H48-G48)))/H48</f>
        <v>#REF!</v>
      </c>
      <c r="J48" s="65" t="str">
        <f aca="false">IF(G48="","",(H48-G48)/G48)</f>
        <v/>
      </c>
      <c r="K48" s="550" t="n">
        <f aca="false">ABS(F48)</f>
        <v>0</v>
      </c>
      <c r="L48" s="67"/>
      <c r="M48" s="67" t="str">
        <f aca="true">IF(N48="","",N48-TODAY())</f>
        <v/>
      </c>
      <c r="N48" s="551"/>
      <c r="O48" s="551"/>
      <c r="R48" s="13" t="n">
        <f aca="false">IF($B48="DB-KIF",$I48,0)</f>
        <v>0</v>
      </c>
      <c r="S48" s="13" t="n">
        <f aca="false">IF($B48="UBS-MON",$I48,0)</f>
        <v>0</v>
      </c>
      <c r="T48" s="13" t="n">
        <f aca="false">IF($B48="UBS-KIF",$I48,0)</f>
        <v>0</v>
      </c>
      <c r="U48" s="13" t="n">
        <f aca="false">IF($B48="SAXO-MON",$I48,0)</f>
        <v>0</v>
      </c>
      <c r="V48" s="13" t="n">
        <f aca="false">IF($B48="SAXO-KIF",$I48,0)</f>
        <v>0</v>
      </c>
      <c r="W48" s="13" t="n">
        <f aca="false">IF($B48="chile",$I48,0)</f>
        <v>0</v>
      </c>
      <c r="Y48" s="13" t="n">
        <f aca="false">IF(R48&lt;&gt;0,$F48,0)</f>
        <v>0</v>
      </c>
      <c r="Z48" s="13" t="n">
        <f aca="false">IF(S48&lt;&gt;0,$F48,0)</f>
        <v>0</v>
      </c>
      <c r="AA48" s="13" t="n">
        <f aca="false">IF(T48&lt;&gt;0,$F48,0)</f>
        <v>0</v>
      </c>
      <c r="AB48" s="13" t="n">
        <f aca="false">IF(U48&lt;&gt;0,$F48,0)</f>
        <v>0</v>
      </c>
      <c r="AC48" s="13" t="n">
        <f aca="false">IF(V48&lt;&gt;0,$F48,0)</f>
        <v>0</v>
      </c>
      <c r="AD48" s="13" t="n">
        <f aca="false">IF(W48&lt;&gt;0,$F48,0)</f>
        <v>0</v>
      </c>
      <c r="AF48" s="13" t="n">
        <f aca="false">+$AF$28*Y48</f>
        <v>0</v>
      </c>
      <c r="AG48" s="13" t="n">
        <f aca="false">+$AG$28*Z48</f>
        <v>0</v>
      </c>
      <c r="AH48" s="13" t="n">
        <f aca="false">+$AH$28*AA48</f>
        <v>0</v>
      </c>
      <c r="AI48" s="13" t="n">
        <f aca="false">+$AI$28*AB48</f>
        <v>0</v>
      </c>
      <c r="AJ48" s="13" t="n">
        <f aca="false">+$AJ$28*AC48</f>
        <v>0</v>
      </c>
      <c r="AK48" s="13" t="n">
        <f aca="false">+$AK$28*AD48</f>
        <v>0</v>
      </c>
      <c r="AM48" s="452" t="n">
        <f aca="false">+AF48-R48</f>
        <v>0</v>
      </c>
      <c r="AN48" s="452" t="n">
        <f aca="false">+AG48-S48</f>
        <v>0</v>
      </c>
      <c r="AO48" s="452" t="n">
        <f aca="false">+AH48-T48</f>
        <v>0</v>
      </c>
      <c r="AP48" s="452" t="n">
        <f aca="false">+AI48-U48</f>
        <v>0</v>
      </c>
    </row>
    <row r="49" customFormat="false" ht="12.75" hidden="false" customHeight="false" outlineLevel="0" collapsed="false">
      <c r="A49" s="546"/>
      <c r="B49" s="61"/>
      <c r="C49" s="547"/>
      <c r="D49" s="61" t="s">
        <v>17</v>
      </c>
      <c r="E49" s="61"/>
      <c r="F49" s="62"/>
      <c r="G49" s="62"/>
      <c r="H49" s="548" t="e">
        <f aca="false">+H48</f>
        <v>#REF!</v>
      </c>
      <c r="I49" s="549" t="e">
        <f aca="false">+((F49*(H49-G49)))/H49</f>
        <v>#REF!</v>
      </c>
      <c r="J49" s="65" t="str">
        <f aca="false">IF(G49="","",(H49-G49)/G49)</f>
        <v/>
      </c>
      <c r="K49" s="550" t="n">
        <f aca="false">ABS(F49)</f>
        <v>0</v>
      </c>
      <c r="L49" s="67"/>
      <c r="M49" s="67" t="str">
        <f aca="true">IF(N49="","",N49-TODAY())</f>
        <v/>
      </c>
      <c r="N49" s="551"/>
      <c r="O49" s="551"/>
      <c r="R49" s="13" t="n">
        <f aca="false">IF($B49="DB-KIF",$I49,0)</f>
        <v>0</v>
      </c>
      <c r="S49" s="13" t="n">
        <f aca="false">IF($B49="UBS-MON",$I49,0)</f>
        <v>0</v>
      </c>
      <c r="T49" s="13" t="n">
        <f aca="false">IF($B49="UBS-KIF",$I49,0)</f>
        <v>0</v>
      </c>
      <c r="U49" s="13" t="n">
        <f aca="false">IF($B49="SAXO-MON",$I49,0)</f>
        <v>0</v>
      </c>
      <c r="V49" s="13" t="n">
        <f aca="false">IF($B49="SAXO-KIF",$I49,0)</f>
        <v>0</v>
      </c>
      <c r="W49" s="13" t="n">
        <f aca="false">IF($B49="chile",$I49,0)</f>
        <v>0</v>
      </c>
      <c r="Y49" s="13" t="n">
        <f aca="false">IF(R49&lt;&gt;0,$F49,0)</f>
        <v>0</v>
      </c>
      <c r="Z49" s="13" t="n">
        <f aca="false">IF(S49&lt;&gt;0,$F49,0)</f>
        <v>0</v>
      </c>
      <c r="AA49" s="13" t="n">
        <f aca="false">IF(T49&lt;&gt;0,$F49,0)</f>
        <v>0</v>
      </c>
      <c r="AB49" s="13" t="n">
        <f aca="false">IF(U49&lt;&gt;0,$F49,0)</f>
        <v>0</v>
      </c>
      <c r="AC49" s="13" t="n">
        <f aca="false">IF(V49&lt;&gt;0,$F49,0)</f>
        <v>0</v>
      </c>
      <c r="AD49" s="13" t="n">
        <f aca="false">IF(W49&lt;&gt;0,$F49,0)</f>
        <v>0</v>
      </c>
      <c r="AF49" s="13" t="n">
        <f aca="false">+$AF$28*Y49</f>
        <v>0</v>
      </c>
      <c r="AG49" s="13" t="n">
        <f aca="false">+$AG$28*Z49</f>
        <v>0</v>
      </c>
      <c r="AH49" s="13" t="n">
        <f aca="false">+$AH$28*AA49</f>
        <v>0</v>
      </c>
      <c r="AI49" s="13" t="n">
        <f aca="false">+$AI$28*AB49</f>
        <v>0</v>
      </c>
      <c r="AJ49" s="13" t="n">
        <f aca="false">+$AJ$28*AC49</f>
        <v>0</v>
      </c>
      <c r="AK49" s="13" t="n">
        <f aca="false">+$AK$28*AD49</f>
        <v>0</v>
      </c>
      <c r="AM49" s="452" t="n">
        <f aca="false">+AF49-R49</f>
        <v>0</v>
      </c>
      <c r="AN49" s="452" t="n">
        <f aca="false">+AG49-S49</f>
        <v>0</v>
      </c>
      <c r="AO49" s="452" t="n">
        <f aca="false">+AH49-T49</f>
        <v>0</v>
      </c>
      <c r="AP49" s="452" t="n">
        <f aca="false">+AI49-U49</f>
        <v>0</v>
      </c>
    </row>
    <row r="50" customFormat="false" ht="12.75" hidden="false" customHeight="false" outlineLevel="0" collapsed="false">
      <c r="A50" s="552"/>
      <c r="B50" s="71"/>
      <c r="C50" s="553"/>
      <c r="D50" s="71" t="s">
        <v>17</v>
      </c>
      <c r="E50" s="71"/>
      <c r="F50" s="73"/>
      <c r="G50" s="73"/>
      <c r="H50" s="74" t="e">
        <f aca="false">+H49</f>
        <v>#REF!</v>
      </c>
      <c r="I50" s="554" t="e">
        <f aca="false">+IF(H50&gt;G50,(H50-G50)*F50,0)/H50</f>
        <v>#REF!</v>
      </c>
      <c r="J50" s="76" t="str">
        <f aca="false">IF(G50="","",(H50-G50)/G50)</f>
        <v/>
      </c>
      <c r="K50" s="555" t="e">
        <f aca="false">IF(I50&lt;&gt;0,F50,0)</f>
        <v>#REF!</v>
      </c>
      <c r="L50" s="78"/>
      <c r="M50" s="78" t="str">
        <f aca="true">IF(N50="","",N50-TODAY())</f>
        <v/>
      </c>
      <c r="N50" s="556"/>
      <c r="O50" s="556"/>
      <c r="U50" s="13"/>
      <c r="V50" s="13"/>
      <c r="W50" s="13"/>
      <c r="Y50" s="13"/>
      <c r="Z50" s="13"/>
      <c r="AA50" s="13"/>
      <c r="AB50" s="13"/>
      <c r="AC50" s="13"/>
      <c r="AD50" s="13"/>
      <c r="AF50" s="13"/>
      <c r="AG50" s="13"/>
      <c r="AH50" s="13"/>
      <c r="AI50" s="13"/>
      <c r="AJ50" s="13"/>
      <c r="AK50" s="13"/>
      <c r="AM50" s="452"/>
      <c r="AN50" s="452"/>
      <c r="AO50" s="452"/>
      <c r="AP50" s="452"/>
    </row>
    <row r="51" customFormat="false" ht="12.75" hidden="false" customHeight="false" outlineLevel="0" collapsed="false">
      <c r="A51" s="546"/>
      <c r="B51" s="61"/>
      <c r="C51" s="547"/>
      <c r="D51" s="61" t="s">
        <v>99</v>
      </c>
      <c r="E51" s="61"/>
      <c r="F51" s="62"/>
      <c r="G51" s="62"/>
      <c r="H51" s="548" t="e">
        <f aca="false">+H50</f>
        <v>#REF!</v>
      </c>
      <c r="I51" s="549" t="e">
        <f aca="false">+IF(H51&gt;G51,(H51-G51)*F51,0)/H51</f>
        <v>#REF!</v>
      </c>
      <c r="J51" s="65" t="str">
        <f aca="false">IF(G51="","",(H51-G51)/G51)</f>
        <v/>
      </c>
      <c r="K51" s="550" t="e">
        <f aca="false">IF(I51&lt;&gt;0,F51,0)</f>
        <v>#REF!</v>
      </c>
      <c r="L51" s="67"/>
      <c r="M51" s="67" t="str">
        <f aca="true">IF(N51="","",N51-TODAY())</f>
        <v/>
      </c>
      <c r="N51" s="551"/>
      <c r="O51" s="551"/>
      <c r="U51" s="13"/>
      <c r="V51" s="13"/>
      <c r="W51" s="13"/>
      <c r="Y51" s="13"/>
      <c r="Z51" s="13"/>
      <c r="AA51" s="13"/>
      <c r="AB51" s="13"/>
      <c r="AC51" s="13"/>
      <c r="AD51" s="13"/>
      <c r="AF51" s="13"/>
      <c r="AG51" s="13"/>
      <c r="AH51" s="13"/>
      <c r="AI51" s="13"/>
      <c r="AJ51" s="13"/>
      <c r="AK51" s="13"/>
      <c r="AM51" s="452"/>
      <c r="AN51" s="452"/>
      <c r="AO51" s="452"/>
      <c r="AP51" s="452"/>
    </row>
    <row r="52" customFormat="false" ht="12.75" hidden="false" customHeight="false" outlineLevel="0" collapsed="false">
      <c r="A52" s="546"/>
      <c r="B52" s="61"/>
      <c r="C52" s="547"/>
      <c r="D52" s="61" t="s">
        <v>108</v>
      </c>
      <c r="E52" s="61"/>
      <c r="F52" s="62"/>
      <c r="G52" s="62"/>
      <c r="H52" s="548" t="e">
        <f aca="false">+H51</f>
        <v>#REF!</v>
      </c>
      <c r="I52" s="549" t="e">
        <f aca="false">+IF(H52&lt;G52,-(H52-G52)*F52,0)/H52</f>
        <v>#REF!</v>
      </c>
      <c r="J52" s="65" t="str">
        <f aca="false">IF(G52="","",(H52-G52)/G52)</f>
        <v/>
      </c>
      <c r="K52" s="550" t="e">
        <f aca="false">IF(I52&lt;&gt;0,F52,0)</f>
        <v>#REF!</v>
      </c>
      <c r="L52" s="67"/>
      <c r="M52" s="67" t="str">
        <f aca="true">IF(N52="","",N52-TODAY())</f>
        <v/>
      </c>
      <c r="N52" s="551"/>
      <c r="O52" s="551"/>
      <c r="U52" s="13"/>
      <c r="V52" s="13"/>
      <c r="W52" s="13"/>
      <c r="Y52" s="13"/>
      <c r="Z52" s="13"/>
      <c r="AA52" s="13"/>
      <c r="AB52" s="13"/>
      <c r="AC52" s="13"/>
      <c r="AD52" s="13"/>
      <c r="AF52" s="13"/>
      <c r="AG52" s="13"/>
      <c r="AH52" s="13"/>
      <c r="AI52" s="13"/>
      <c r="AJ52" s="13"/>
      <c r="AK52" s="13"/>
      <c r="AM52" s="452"/>
      <c r="AN52" s="452"/>
      <c r="AO52" s="452"/>
      <c r="AP52" s="452"/>
    </row>
    <row r="53" customFormat="false" ht="12.75" hidden="false" customHeight="false" outlineLevel="0" collapsed="false">
      <c r="A53" s="546"/>
      <c r="B53" s="61"/>
      <c r="C53" s="547"/>
      <c r="D53" s="61" t="s">
        <v>108</v>
      </c>
      <c r="E53" s="61"/>
      <c r="F53" s="62"/>
      <c r="G53" s="62"/>
      <c r="H53" s="548" t="e">
        <f aca="false">+H52</f>
        <v>#REF!</v>
      </c>
      <c r="I53" s="549" t="e">
        <f aca="false">+IF(H53&lt;G53,-(H53-G53)*F53,0)/H53</f>
        <v>#REF!</v>
      </c>
      <c r="J53" s="65" t="str">
        <f aca="false">IF(G53="","",(H53-G53)/G53)</f>
        <v/>
      </c>
      <c r="K53" s="550" t="e">
        <f aca="false">IF(I53&lt;&gt;0,F53,0)</f>
        <v>#REF!</v>
      </c>
      <c r="L53" s="67"/>
      <c r="M53" s="67" t="str">
        <f aca="true">IF(N53="","",N53-TODAY())</f>
        <v/>
      </c>
      <c r="N53" s="551"/>
      <c r="O53" s="551"/>
      <c r="U53" s="13"/>
      <c r="V53" s="13"/>
      <c r="W53" s="13"/>
      <c r="Y53" s="13"/>
      <c r="Z53" s="13"/>
      <c r="AA53" s="13"/>
      <c r="AB53" s="13"/>
      <c r="AC53" s="13"/>
      <c r="AD53" s="13"/>
      <c r="AF53" s="13"/>
      <c r="AG53" s="13"/>
      <c r="AH53" s="13"/>
      <c r="AI53" s="13"/>
      <c r="AJ53" s="13"/>
      <c r="AK53" s="13"/>
      <c r="AM53" s="452"/>
      <c r="AN53" s="452"/>
      <c r="AO53" s="452"/>
      <c r="AP53" s="452"/>
    </row>
    <row r="54" customFormat="false" ht="12.75" hidden="false" customHeight="false" outlineLevel="0" collapsed="false">
      <c r="A54" s="546"/>
      <c r="B54" s="61"/>
      <c r="C54" s="547"/>
      <c r="D54" s="61" t="s">
        <v>108</v>
      </c>
      <c r="E54" s="61"/>
      <c r="F54" s="62"/>
      <c r="G54" s="62"/>
      <c r="H54" s="548" t="e">
        <f aca="false">+H53</f>
        <v>#REF!</v>
      </c>
      <c r="I54" s="549" t="e">
        <f aca="false">+IF(H54&lt;G54,-(H54-G54)*F54,0)/H54</f>
        <v>#REF!</v>
      </c>
      <c r="J54" s="65" t="str">
        <f aca="false">IF(G54="","",(H54-G54)/G54)</f>
        <v/>
      </c>
      <c r="K54" s="550" t="e">
        <f aca="false">IF(I54&lt;&gt;0,F54,0)</f>
        <v>#REF!</v>
      </c>
      <c r="L54" s="67"/>
      <c r="M54" s="67" t="str">
        <f aca="true">IF(N54="","",N54-TODAY())</f>
        <v/>
      </c>
      <c r="N54" s="551"/>
      <c r="O54" s="551"/>
      <c r="U54" s="13"/>
      <c r="V54" s="13"/>
      <c r="W54" s="13"/>
      <c r="Y54" s="13"/>
      <c r="Z54" s="13"/>
      <c r="AA54" s="13"/>
      <c r="AB54" s="13"/>
      <c r="AC54" s="13"/>
      <c r="AD54" s="13"/>
      <c r="AF54" s="13"/>
      <c r="AG54" s="13"/>
      <c r="AH54" s="13"/>
      <c r="AI54" s="13"/>
      <c r="AJ54" s="13"/>
      <c r="AK54" s="13"/>
      <c r="AM54" s="452"/>
      <c r="AN54" s="452"/>
      <c r="AO54" s="452"/>
      <c r="AP54" s="452"/>
    </row>
    <row r="55" customFormat="false" ht="12.75" hidden="false" customHeight="false" outlineLevel="0" collapsed="false">
      <c r="A55" s="546"/>
      <c r="B55" s="61"/>
      <c r="C55" s="547"/>
      <c r="D55" s="61"/>
      <c r="E55" s="61"/>
      <c r="F55" s="62"/>
      <c r="G55" s="62"/>
      <c r="H55" s="548" t="e">
        <f aca="false">+H54</f>
        <v>#REF!</v>
      </c>
      <c r="I55" s="549"/>
      <c r="J55" s="65"/>
      <c r="K55" s="550"/>
      <c r="L55" s="67"/>
      <c r="M55" s="67"/>
      <c r="N55" s="551"/>
      <c r="O55" s="551"/>
      <c r="U55" s="13"/>
      <c r="V55" s="13"/>
      <c r="W55" s="13"/>
      <c r="Y55" s="13"/>
      <c r="Z55" s="13"/>
      <c r="AA55" s="13"/>
      <c r="AB55" s="13"/>
      <c r="AC55" s="13"/>
      <c r="AD55" s="13"/>
      <c r="AF55" s="13"/>
      <c r="AG55" s="13"/>
      <c r="AH55" s="13"/>
      <c r="AI55" s="13"/>
      <c r="AJ55" s="13"/>
      <c r="AK55" s="13"/>
      <c r="AM55" s="452"/>
      <c r="AN55" s="452"/>
      <c r="AO55" s="452"/>
      <c r="AP55" s="452"/>
    </row>
    <row r="56" customFormat="false" ht="12.75" hidden="false" customHeight="false" outlineLevel="0" collapsed="false">
      <c r="A56" s="546"/>
      <c r="B56" s="61"/>
      <c r="C56" s="547"/>
      <c r="D56" s="61"/>
      <c r="E56" s="61"/>
      <c r="F56" s="62"/>
      <c r="G56" s="62"/>
      <c r="H56" s="548" t="e">
        <f aca="false">+H54</f>
        <v>#REF!</v>
      </c>
      <c r="I56" s="549" t="e">
        <f aca="false">+((F56*(H56-G56)))/H56</f>
        <v>#REF!</v>
      </c>
      <c r="J56" s="65" t="str">
        <f aca="false">IF(G56="","",(H56-G56)/G56)</f>
        <v/>
      </c>
      <c r="K56" s="550" t="n">
        <f aca="false">ABS(F56)</f>
        <v>0</v>
      </c>
      <c r="L56" s="67"/>
      <c r="M56" s="67" t="str">
        <f aca="true">IF(N56="","",N56-TODAY())</f>
        <v/>
      </c>
      <c r="N56" s="551"/>
      <c r="O56" s="551"/>
      <c r="R56" s="13" t="n">
        <f aca="false">IF($B56="DB-KIF",$I56,0)</f>
        <v>0</v>
      </c>
      <c r="S56" s="13" t="n">
        <f aca="false">IF($B56="UBS-MON",$I56,0)</f>
        <v>0</v>
      </c>
      <c r="T56" s="13" t="n">
        <f aca="false">IF($B56="UBS-KIF",$I56,0)</f>
        <v>0</v>
      </c>
      <c r="U56" s="13" t="n">
        <f aca="false">IF($B56="SAXO-MON",$I56,0)</f>
        <v>0</v>
      </c>
      <c r="V56" s="13" t="n">
        <f aca="false">IF($B56="SAXO-KIF",$I56,0)</f>
        <v>0</v>
      </c>
      <c r="W56" s="13" t="n">
        <f aca="false">IF($B56="chile",$I56,0)</f>
        <v>0</v>
      </c>
      <c r="Y56" s="13" t="n">
        <f aca="false">IF(R56&lt;&gt;0,$F56,0)</f>
        <v>0</v>
      </c>
      <c r="Z56" s="13" t="n">
        <f aca="false">IF(S56&lt;&gt;0,$F56,0)</f>
        <v>0</v>
      </c>
      <c r="AA56" s="13" t="n">
        <f aca="false">IF(T56&lt;&gt;0,$F56,0)</f>
        <v>0</v>
      </c>
      <c r="AB56" s="13" t="n">
        <f aca="false">IF(U56&lt;&gt;0,$F56,0)</f>
        <v>0</v>
      </c>
      <c r="AC56" s="13" t="n">
        <f aca="false">IF(V56&lt;&gt;0,$F56,0)</f>
        <v>0</v>
      </c>
      <c r="AD56" s="13" t="n">
        <f aca="false">IF(W56&lt;&gt;0,$F56,0)</f>
        <v>0</v>
      </c>
      <c r="AF56" s="13" t="n">
        <f aca="false">+$AF$28*Y56</f>
        <v>0</v>
      </c>
      <c r="AG56" s="13" t="n">
        <f aca="false">+$AG$28*Z56</f>
        <v>0</v>
      </c>
      <c r="AH56" s="13" t="n">
        <f aca="false">+$AH$28*AA56</f>
        <v>0</v>
      </c>
      <c r="AI56" s="13" t="n">
        <f aca="false">+$AI$28*AB56</f>
        <v>0</v>
      </c>
      <c r="AJ56" s="13" t="n">
        <f aca="false">+$AJ$28*AC56</f>
        <v>0</v>
      </c>
      <c r="AK56" s="13" t="n">
        <f aca="false">+$AK$28*AD56</f>
        <v>0</v>
      </c>
      <c r="AM56" s="452" t="n">
        <f aca="false">+AF56-R56</f>
        <v>0</v>
      </c>
      <c r="AN56" s="452" t="n">
        <f aca="false">+AG56-S56</f>
        <v>0</v>
      </c>
      <c r="AO56" s="452" t="n">
        <f aca="false">+AH56-T56</f>
        <v>0</v>
      </c>
      <c r="AP56" s="452" t="n">
        <f aca="false">+AI56-U56</f>
        <v>0</v>
      </c>
    </row>
    <row r="57" customFormat="false" ht="12.75" hidden="false" customHeight="false" outlineLevel="0" collapsed="false">
      <c r="A57" s="552"/>
      <c r="B57" s="71"/>
      <c r="C57" s="553"/>
      <c r="D57" s="71"/>
      <c r="E57" s="71"/>
      <c r="F57" s="73"/>
      <c r="G57" s="73"/>
      <c r="H57" s="74"/>
      <c r="I57" s="554"/>
      <c r="J57" s="76"/>
      <c r="K57" s="555"/>
      <c r="L57" s="78"/>
      <c r="M57" s="78"/>
      <c r="N57" s="556"/>
      <c r="O57" s="556"/>
      <c r="U57" s="13"/>
      <c r="V57" s="13"/>
      <c r="W57" s="13"/>
      <c r="Y57" s="13"/>
      <c r="Z57" s="13"/>
      <c r="AA57" s="13"/>
      <c r="AB57" s="13"/>
      <c r="AC57" s="13"/>
      <c r="AD57" s="13"/>
      <c r="AF57" s="13"/>
      <c r="AG57" s="13"/>
      <c r="AH57" s="13"/>
      <c r="AI57" s="13"/>
      <c r="AJ57" s="13"/>
      <c r="AK57" s="13"/>
      <c r="AM57" s="452"/>
      <c r="AN57" s="452"/>
      <c r="AO57" s="452"/>
      <c r="AP57" s="452"/>
    </row>
    <row r="58" customFormat="false" ht="12.75" hidden="false" customHeight="false" outlineLevel="0" collapsed="false">
      <c r="E58" s="344" t="s">
        <v>696</v>
      </c>
      <c r="F58" s="557" t="n">
        <f aca="false">SUM(F32:F49)</f>
        <v>0</v>
      </c>
      <c r="G58" s="558"/>
      <c r="H58" s="82" t="s">
        <v>31</v>
      </c>
      <c r="I58" s="559" t="e">
        <f aca="false">SUM(I32:I57)</f>
        <v>#REF!</v>
      </c>
      <c r="J58" s="560"/>
      <c r="M58" s="344"/>
      <c r="N58" s="561"/>
      <c r="U58" s="13"/>
      <c r="V58" s="13"/>
      <c r="W58" s="13"/>
      <c r="Y58" s="13"/>
      <c r="Z58" s="13"/>
      <c r="AA58" s="13"/>
      <c r="AB58" s="13"/>
      <c r="AC58" s="13"/>
      <c r="AD58" s="13"/>
      <c r="AF58" s="13"/>
      <c r="AG58" s="13"/>
      <c r="AH58" s="13"/>
      <c r="AI58" s="13"/>
      <c r="AJ58" s="13"/>
      <c r="AK58" s="13"/>
      <c r="AM58" s="452"/>
      <c r="AN58" s="452"/>
      <c r="AO58" s="452"/>
      <c r="AP58" s="452"/>
    </row>
    <row r="59" customFormat="false" ht="12.75" hidden="false" customHeight="false" outlineLevel="0" collapsed="false">
      <c r="E59" s="344" t="s">
        <v>58</v>
      </c>
      <c r="F59" s="562" t="e">
        <f aca="false">SUM(K50:K51)</f>
        <v>#REF!</v>
      </c>
      <c r="I59" s="541"/>
      <c r="L59" s="408"/>
      <c r="U59" s="13"/>
      <c r="V59" s="13"/>
      <c r="W59" s="13"/>
      <c r="Y59" s="13"/>
      <c r="Z59" s="13"/>
      <c r="AA59" s="13"/>
      <c r="AB59" s="13"/>
      <c r="AC59" s="13"/>
      <c r="AD59" s="13"/>
      <c r="AF59" s="13"/>
      <c r="AG59" s="13"/>
      <c r="AH59" s="13"/>
      <c r="AI59" s="13"/>
      <c r="AJ59" s="13"/>
      <c r="AK59" s="13"/>
      <c r="AM59" s="452"/>
      <c r="AN59" s="452"/>
      <c r="AO59" s="452"/>
      <c r="AP59" s="452"/>
    </row>
    <row r="60" customFormat="false" ht="12.75" hidden="false" customHeight="false" outlineLevel="0" collapsed="false">
      <c r="E60" s="33"/>
      <c r="F60" s="86"/>
      <c r="H60" s="44" t="s">
        <v>32</v>
      </c>
      <c r="I60" s="45" t="n">
        <f aca="false">SUMIF(B32:B57,"HEDGE",F32:F57)</f>
        <v>0</v>
      </c>
      <c r="J60" s="13"/>
      <c r="L60" s="87"/>
      <c r="U60" s="13"/>
      <c r="V60" s="13"/>
      <c r="W60" s="13"/>
      <c r="AC60" s="13"/>
      <c r="AD60" s="13"/>
      <c r="AF60" s="13"/>
      <c r="AG60" s="13"/>
      <c r="AH60" s="13"/>
      <c r="AI60" s="13"/>
      <c r="AJ60" s="13"/>
      <c r="AK60" s="13"/>
      <c r="AM60" s="452"/>
      <c r="AN60" s="452"/>
      <c r="AO60" s="452"/>
      <c r="AP60" s="452"/>
    </row>
    <row r="61" customFormat="false" ht="12.75" hidden="false" customHeight="false" outlineLevel="0" collapsed="false">
      <c r="E61" s="33" t="s">
        <v>697</v>
      </c>
      <c r="F61" s="563" t="e">
        <f aca="false">F58+F59</f>
        <v>#REF!</v>
      </c>
      <c r="H61" s="44" t="s">
        <v>33</v>
      </c>
      <c r="I61" s="45" t="n">
        <f aca="false">SUMIF(B32:B57,"DB",F32:F57)</f>
        <v>0</v>
      </c>
      <c r="K61" s="409" t="n">
        <v>1</v>
      </c>
      <c r="L61" s="87" t="n">
        <f aca="false">SUMIF(M32:M56,K61,F32:F56)</f>
        <v>0</v>
      </c>
      <c r="U61" s="13"/>
      <c r="V61" s="13"/>
      <c r="W61" s="13"/>
      <c r="AC61" s="13"/>
      <c r="AD61" s="13"/>
      <c r="AF61" s="13"/>
      <c r="AG61" s="13"/>
      <c r="AH61" s="13"/>
      <c r="AI61" s="13"/>
      <c r="AJ61" s="13"/>
      <c r="AK61" s="13"/>
      <c r="AM61" s="452"/>
      <c r="AN61" s="452"/>
      <c r="AO61" s="452"/>
      <c r="AP61" s="452"/>
    </row>
    <row r="62" customFormat="false" ht="12.75" hidden="false" customHeight="false" outlineLevel="0" collapsed="false">
      <c r="E62" s="33"/>
      <c r="F62" s="564"/>
      <c r="H62" s="44" t="s">
        <v>22</v>
      </c>
      <c r="I62" s="534" t="n">
        <f aca="false">SUMIF(B32:B57,"UBS",F32:F57)</f>
        <v>0</v>
      </c>
      <c r="K62" s="409" t="n">
        <v>38</v>
      </c>
      <c r="L62" s="87" t="n">
        <f aca="false">SUMIF(M32:M56,K62,F32:F56)</f>
        <v>0</v>
      </c>
      <c r="U62" s="13"/>
      <c r="V62" s="13"/>
      <c r="W62" s="13"/>
      <c r="AC62" s="13"/>
      <c r="AD62" s="13"/>
      <c r="AF62" s="13"/>
      <c r="AG62" s="13"/>
      <c r="AH62" s="13"/>
      <c r="AI62" s="13"/>
      <c r="AJ62" s="13"/>
      <c r="AK62" s="13"/>
      <c r="AM62" s="452"/>
      <c r="AN62" s="452"/>
      <c r="AO62" s="452"/>
      <c r="AP62" s="452"/>
    </row>
    <row r="63" customFormat="false" ht="12.75" hidden="false" customHeight="false" outlineLevel="0" collapsed="false">
      <c r="E63" s="33"/>
      <c r="F63" s="564"/>
      <c r="H63" s="44" t="s">
        <v>23</v>
      </c>
      <c r="I63" s="534" t="n">
        <f aca="false">SUMIF(B32:B57,"SB",F32:F57)</f>
        <v>0</v>
      </c>
      <c r="K63" s="409" t="n">
        <v>101</v>
      </c>
      <c r="L63" s="87" t="n">
        <f aca="false">SUMIF(M32:M56,K63,F32:F56)</f>
        <v>0</v>
      </c>
      <c r="U63" s="13"/>
      <c r="V63" s="13"/>
      <c r="W63" s="13"/>
      <c r="AC63" s="13"/>
      <c r="AD63" s="13"/>
      <c r="AF63" s="13"/>
      <c r="AG63" s="13"/>
      <c r="AH63" s="13"/>
      <c r="AI63" s="13"/>
      <c r="AJ63" s="13"/>
      <c r="AK63" s="13"/>
      <c r="AM63" s="452"/>
      <c r="AN63" s="452"/>
      <c r="AO63" s="452"/>
      <c r="AP63" s="452"/>
    </row>
    <row r="64" customFormat="false" ht="12.75" hidden="false" customHeight="false" outlineLevel="0" collapsed="false">
      <c r="E64" s="33"/>
      <c r="F64" s="564"/>
      <c r="G64" s="13"/>
      <c r="H64" s="33"/>
      <c r="I64" s="564"/>
      <c r="J64" s="533"/>
      <c r="K64" s="409"/>
      <c r="L64" s="87"/>
      <c r="U64" s="13"/>
      <c r="V64" s="13"/>
      <c r="W64" s="13"/>
      <c r="Y64" s="13"/>
      <c r="Z64" s="13"/>
      <c r="AA64" s="13"/>
      <c r="AB64" s="13"/>
      <c r="AC64" s="13"/>
      <c r="AD64" s="13"/>
      <c r="AF64" s="13"/>
      <c r="AG64" s="13"/>
      <c r="AH64" s="13"/>
      <c r="AI64" s="13"/>
      <c r="AJ64" s="13"/>
      <c r="AK64" s="13"/>
      <c r="AM64" s="452"/>
      <c r="AN64" s="452"/>
      <c r="AO64" s="452"/>
      <c r="AP64" s="452"/>
    </row>
    <row r="65" customFormat="false" ht="12.75" hidden="false" customHeight="false" outlineLevel="0" collapsed="false">
      <c r="A65" s="135" t="s">
        <v>2</v>
      </c>
      <c r="B65" s="135" t="s">
        <v>3</v>
      </c>
      <c r="C65" s="135" t="s">
        <v>26</v>
      </c>
      <c r="D65" s="135" t="s">
        <v>5</v>
      </c>
      <c r="E65" s="135" t="s">
        <v>6</v>
      </c>
      <c r="F65" s="135" t="s">
        <v>7</v>
      </c>
      <c r="G65" s="135" t="s">
        <v>62</v>
      </c>
      <c r="H65" s="135" t="s">
        <v>9</v>
      </c>
      <c r="I65" s="135" t="s">
        <v>10</v>
      </c>
      <c r="J65" s="137" t="s">
        <v>62</v>
      </c>
      <c r="K65" s="135" t="s">
        <v>64</v>
      </c>
      <c r="L65" s="135" t="s">
        <v>98</v>
      </c>
      <c r="M65" s="135" t="s">
        <v>66</v>
      </c>
      <c r="U65" s="13"/>
      <c r="V65" s="13"/>
      <c r="W65" s="13"/>
      <c r="Y65" s="13"/>
      <c r="Z65" s="13"/>
      <c r="AA65" s="13"/>
      <c r="AB65" s="13"/>
      <c r="AC65" s="13"/>
      <c r="AD65" s="13"/>
      <c r="AF65" s="13"/>
      <c r="AG65" s="13"/>
      <c r="AH65" s="13"/>
      <c r="AI65" s="13"/>
      <c r="AJ65" s="13"/>
      <c r="AK65" s="13"/>
      <c r="AM65" s="452"/>
      <c r="AN65" s="452"/>
      <c r="AO65" s="452"/>
      <c r="AP65" s="452"/>
    </row>
    <row r="66" customFormat="false" ht="12.75" hidden="false" customHeight="false" outlineLevel="0" collapsed="false">
      <c r="A66" s="140"/>
      <c r="B66" s="141"/>
      <c r="C66" s="142"/>
      <c r="D66" s="143"/>
      <c r="E66" s="143"/>
      <c r="F66" s="144"/>
      <c r="G66" s="44"/>
      <c r="H66" s="156"/>
      <c r="I66" s="64"/>
      <c r="J66" s="154"/>
      <c r="K66" s="158"/>
      <c r="L66" s="155"/>
      <c r="M66" s="149"/>
      <c r="U66" s="13"/>
      <c r="V66" s="13"/>
      <c r="W66" s="13"/>
      <c r="Y66" s="13"/>
      <c r="Z66" s="13"/>
      <c r="AA66" s="13"/>
      <c r="AB66" s="13"/>
      <c r="AC66" s="13"/>
      <c r="AD66" s="13"/>
      <c r="AF66" s="13"/>
      <c r="AG66" s="13"/>
      <c r="AH66" s="13"/>
      <c r="AI66" s="13"/>
      <c r="AJ66" s="13"/>
      <c r="AK66" s="13"/>
      <c r="AM66" s="452"/>
      <c r="AN66" s="452"/>
      <c r="AO66" s="452"/>
      <c r="AP66" s="452"/>
    </row>
    <row r="67" customFormat="false" ht="12.75" hidden="false" customHeight="false" outlineLevel="0" collapsed="false">
      <c r="A67" s="140"/>
      <c r="B67" s="141"/>
      <c r="C67" s="142"/>
      <c r="D67" s="143"/>
      <c r="E67" s="143"/>
      <c r="F67" s="144"/>
      <c r="G67" s="44"/>
      <c r="H67" s="156"/>
      <c r="I67" s="64"/>
      <c r="J67" s="154"/>
      <c r="K67" s="158"/>
      <c r="L67" s="155"/>
      <c r="M67" s="149"/>
      <c r="U67" s="13"/>
      <c r="V67" s="13"/>
      <c r="W67" s="13"/>
      <c r="Y67" s="13"/>
      <c r="Z67" s="13"/>
      <c r="AA67" s="13"/>
      <c r="AB67" s="13"/>
      <c r="AC67" s="13"/>
      <c r="AD67" s="13"/>
      <c r="AF67" s="13"/>
      <c r="AG67" s="13"/>
      <c r="AH67" s="13"/>
      <c r="AI67" s="13"/>
      <c r="AJ67" s="13"/>
      <c r="AK67" s="13"/>
      <c r="AM67" s="452"/>
      <c r="AN67" s="452"/>
      <c r="AO67" s="452"/>
      <c r="AP67" s="452"/>
    </row>
    <row r="68" customFormat="false" ht="12.75" hidden="false" customHeight="false" outlineLevel="0" collapsed="false">
      <c r="E68" s="33"/>
      <c r="F68" s="564"/>
      <c r="G68" s="13"/>
      <c r="H68" s="33"/>
      <c r="I68" s="564"/>
      <c r="J68" s="533"/>
      <c r="K68" s="409"/>
      <c r="L68" s="87"/>
      <c r="U68" s="13"/>
      <c r="V68" s="13"/>
      <c r="W68" s="13"/>
      <c r="Y68" s="13"/>
      <c r="Z68" s="13"/>
      <c r="AA68" s="13"/>
      <c r="AB68" s="13"/>
      <c r="AC68" s="13"/>
      <c r="AD68" s="13"/>
      <c r="AF68" s="13"/>
      <c r="AG68" s="13"/>
      <c r="AH68" s="13"/>
      <c r="AI68" s="13"/>
      <c r="AJ68" s="13"/>
      <c r="AK68" s="13"/>
      <c r="AM68" s="452"/>
      <c r="AN68" s="452"/>
      <c r="AO68" s="452"/>
      <c r="AP68" s="452"/>
    </row>
    <row r="69" customFormat="false" ht="12.75" hidden="false" customHeight="false" outlineLevel="0" collapsed="false">
      <c r="E69" s="33"/>
      <c r="F69" s="564"/>
      <c r="G69" s="13"/>
      <c r="H69" s="33"/>
      <c r="I69" s="564"/>
      <c r="J69" s="533"/>
      <c r="K69" s="409"/>
      <c r="L69" s="87"/>
      <c r="U69" s="13"/>
      <c r="V69" s="13"/>
      <c r="W69" s="13"/>
      <c r="Y69" s="13"/>
      <c r="Z69" s="13"/>
      <c r="AA69" s="13"/>
      <c r="AB69" s="13"/>
      <c r="AC69" s="13"/>
      <c r="AD69" s="13"/>
      <c r="AF69" s="13"/>
      <c r="AG69" s="13"/>
      <c r="AH69" s="13"/>
      <c r="AI69" s="13"/>
      <c r="AJ69" s="13"/>
      <c r="AK69" s="13"/>
      <c r="AM69" s="452"/>
      <c r="AN69" s="452"/>
      <c r="AO69" s="452"/>
      <c r="AP69" s="452"/>
    </row>
    <row r="70" customFormat="false" ht="12.75" hidden="false" customHeight="false" outlineLevel="0" collapsed="false">
      <c r="E70" s="33"/>
      <c r="F70" s="564"/>
      <c r="G70" s="13"/>
      <c r="H70" s="33"/>
      <c r="I70" s="564"/>
      <c r="J70" s="533"/>
      <c r="K70" s="409"/>
      <c r="L70" s="87"/>
      <c r="U70" s="13"/>
      <c r="V70" s="13"/>
      <c r="W70" s="13"/>
      <c r="Y70" s="13"/>
      <c r="Z70" s="13"/>
      <c r="AA70" s="13"/>
      <c r="AB70" s="13"/>
      <c r="AC70" s="13"/>
      <c r="AD70" s="13"/>
      <c r="AF70" s="13"/>
      <c r="AG70" s="13"/>
      <c r="AH70" s="13"/>
      <c r="AI70" s="13"/>
      <c r="AJ70" s="13"/>
      <c r="AK70" s="13"/>
      <c r="AM70" s="452"/>
      <c r="AN70" s="452"/>
      <c r="AO70" s="452"/>
      <c r="AP70" s="452"/>
    </row>
    <row r="71" customFormat="false" ht="12.75" hidden="false" customHeight="false" outlineLevel="0" collapsed="false">
      <c r="E71" s="33"/>
      <c r="F71" s="564"/>
      <c r="G71" s="13"/>
      <c r="H71" s="33"/>
      <c r="I71" s="564"/>
      <c r="J71" s="533"/>
      <c r="K71" s="409"/>
      <c r="L71" s="87"/>
      <c r="U71" s="13"/>
      <c r="V71" s="13"/>
      <c r="W71" s="13"/>
      <c r="Y71" s="13"/>
      <c r="Z71" s="13"/>
      <c r="AA71" s="13"/>
      <c r="AB71" s="13"/>
      <c r="AC71" s="13"/>
      <c r="AD71" s="13"/>
      <c r="AF71" s="13"/>
      <c r="AG71" s="13"/>
      <c r="AH71" s="13"/>
      <c r="AI71" s="13"/>
      <c r="AJ71" s="13"/>
      <c r="AK71" s="13"/>
      <c r="AM71" s="452"/>
      <c r="AN71" s="452"/>
      <c r="AO71" s="452"/>
      <c r="AP71" s="452"/>
    </row>
    <row r="72" customFormat="false" ht="12.75" hidden="false" customHeight="false" outlineLevel="0" collapsed="false">
      <c r="E72" s="33"/>
      <c r="F72" s="564"/>
      <c r="G72" s="13"/>
      <c r="H72" s="33"/>
      <c r="I72" s="564"/>
      <c r="J72" s="533"/>
      <c r="K72" s="409"/>
      <c r="L72" s="87"/>
      <c r="U72" s="13"/>
      <c r="V72" s="13"/>
      <c r="W72" s="13"/>
      <c r="Y72" s="13"/>
      <c r="Z72" s="13"/>
      <c r="AA72" s="13"/>
      <c r="AB72" s="13"/>
      <c r="AC72" s="13"/>
      <c r="AD72" s="13"/>
      <c r="AF72" s="13"/>
      <c r="AG72" s="13"/>
      <c r="AH72" s="13"/>
      <c r="AI72" s="13"/>
      <c r="AJ72" s="13"/>
      <c r="AK72" s="13"/>
      <c r="AM72" s="452"/>
      <c r="AN72" s="452"/>
      <c r="AO72" s="452"/>
      <c r="AP72" s="452"/>
    </row>
    <row r="73" customFormat="false" ht="12.75" hidden="false" customHeight="false" outlineLevel="0" collapsed="false">
      <c r="E73" s="33"/>
      <c r="F73" s="564"/>
      <c r="G73" s="13"/>
      <c r="H73" s="33"/>
      <c r="I73" s="564"/>
      <c r="J73" s="533"/>
      <c r="K73" s="409"/>
      <c r="L73" s="87"/>
      <c r="U73" s="13"/>
      <c r="V73" s="13"/>
      <c r="W73" s="13"/>
      <c r="Y73" s="13"/>
      <c r="Z73" s="13"/>
      <c r="AA73" s="13"/>
      <c r="AB73" s="13"/>
      <c r="AC73" s="13"/>
      <c r="AD73" s="13"/>
      <c r="AF73" s="13"/>
      <c r="AG73" s="13"/>
      <c r="AH73" s="13"/>
      <c r="AI73" s="13"/>
      <c r="AJ73" s="13"/>
      <c r="AK73" s="13"/>
      <c r="AM73" s="452"/>
      <c r="AN73" s="452"/>
      <c r="AO73" s="452"/>
      <c r="AP73" s="452"/>
    </row>
    <row r="74" customFormat="false" ht="12.75" hidden="false" customHeight="false" outlineLevel="0" collapsed="false">
      <c r="E74" s="33"/>
      <c r="F74" s="564"/>
      <c r="G74" s="13"/>
      <c r="H74" s="33"/>
      <c r="I74" s="564"/>
      <c r="J74" s="533"/>
      <c r="K74" s="409"/>
      <c r="L74" s="87"/>
      <c r="U74" s="13"/>
      <c r="V74" s="13"/>
      <c r="W74" s="13"/>
      <c r="Y74" s="13"/>
      <c r="Z74" s="13"/>
      <c r="AA74" s="13"/>
      <c r="AB74" s="13"/>
      <c r="AC74" s="13"/>
      <c r="AD74" s="13"/>
      <c r="AF74" s="13"/>
      <c r="AG74" s="13"/>
      <c r="AH74" s="13"/>
      <c r="AI74" s="13"/>
      <c r="AJ74" s="13"/>
      <c r="AK74" s="13"/>
      <c r="AM74" s="452"/>
      <c r="AN74" s="452"/>
      <c r="AO74" s="452"/>
      <c r="AP74" s="452"/>
    </row>
    <row r="75" customFormat="false" ht="12.75" hidden="false" customHeight="false" outlineLevel="0" collapsed="false">
      <c r="E75" s="33"/>
      <c r="F75" s="564"/>
      <c r="G75" s="13"/>
      <c r="H75" s="33"/>
      <c r="I75" s="564"/>
      <c r="J75" s="533"/>
      <c r="K75" s="409"/>
      <c r="L75" s="87"/>
      <c r="U75" s="13"/>
      <c r="V75" s="13"/>
      <c r="W75" s="13"/>
      <c r="Y75" s="13"/>
      <c r="Z75" s="13"/>
      <c r="AA75" s="13"/>
      <c r="AB75" s="13"/>
      <c r="AC75" s="13"/>
      <c r="AD75" s="13"/>
      <c r="AF75" s="13"/>
      <c r="AG75" s="13"/>
      <c r="AH75" s="13"/>
      <c r="AI75" s="13"/>
      <c r="AJ75" s="13"/>
      <c r="AK75" s="13"/>
      <c r="AM75" s="452"/>
      <c r="AN75" s="452"/>
      <c r="AO75" s="452"/>
      <c r="AP75" s="452"/>
    </row>
    <row r="76" customFormat="false" ht="12.75" hidden="false" customHeight="false" outlineLevel="0" collapsed="false">
      <c r="E76" s="33"/>
      <c r="F76" s="564"/>
      <c r="G76" s="13"/>
      <c r="H76" s="33"/>
      <c r="I76" s="564"/>
      <c r="J76" s="533"/>
      <c r="K76" s="409"/>
      <c r="L76" s="87"/>
      <c r="U76" s="13"/>
      <c r="V76" s="13"/>
      <c r="W76" s="13"/>
      <c r="Y76" s="13"/>
      <c r="Z76" s="13"/>
      <c r="AA76" s="13"/>
      <c r="AB76" s="13"/>
      <c r="AC76" s="13"/>
      <c r="AD76" s="13"/>
      <c r="AF76" s="13"/>
      <c r="AG76" s="13"/>
      <c r="AH76" s="13"/>
      <c r="AI76" s="13"/>
      <c r="AJ76" s="13"/>
      <c r="AK76" s="13"/>
      <c r="AM76" s="452"/>
      <c r="AN76" s="452"/>
      <c r="AO76" s="452"/>
      <c r="AP76" s="452"/>
    </row>
    <row r="77" customFormat="false" ht="12.75" hidden="false" customHeight="false" outlineLevel="0" collapsed="false">
      <c r="F77" s="533"/>
      <c r="G77" s="13"/>
      <c r="I77" s="10"/>
      <c r="J77" s="87"/>
      <c r="L77" s="13"/>
      <c r="U77" s="13"/>
      <c r="V77" s="13"/>
      <c r="W77" s="13"/>
      <c r="Y77" s="13"/>
      <c r="Z77" s="13"/>
      <c r="AA77" s="13"/>
      <c r="AB77" s="13"/>
      <c r="AC77" s="13"/>
      <c r="AD77" s="13"/>
      <c r="AF77" s="13"/>
      <c r="AG77" s="13"/>
      <c r="AH77" s="13"/>
      <c r="AI77" s="13"/>
      <c r="AJ77" s="13"/>
      <c r="AK77" s="13"/>
      <c r="AM77" s="452"/>
      <c r="AN77" s="452"/>
      <c r="AO77" s="452"/>
      <c r="AP77" s="452"/>
    </row>
    <row r="84" s="510" customFormat="true" ht="13.8" hidden="false" customHeight="false" outlineLevel="0" collapsed="false">
      <c r="A84" s="344"/>
      <c r="B84" s="344"/>
      <c r="C84" s="344"/>
      <c r="D84" s="344"/>
      <c r="E84" s="565" t="s">
        <v>698</v>
      </c>
      <c r="F84" s="565"/>
      <c r="G84" s="565"/>
      <c r="H84" s="565"/>
      <c r="J84" s="344"/>
      <c r="K84" s="344"/>
      <c r="L84" s="344"/>
      <c r="M84" s="511"/>
      <c r="N84" s="511"/>
      <c r="O84" s="344"/>
      <c r="P84" s="344"/>
      <c r="Q84" s="344"/>
      <c r="R84" s="13"/>
      <c r="S84" s="13"/>
      <c r="T84" s="13"/>
      <c r="U84" s="344"/>
      <c r="V84" s="344"/>
      <c r="W84" s="344"/>
      <c r="X84" s="344"/>
      <c r="Y84" s="344"/>
      <c r="Z84" s="344"/>
      <c r="AA84" s="344"/>
      <c r="AB84" s="344"/>
      <c r="AC84" s="344"/>
      <c r="AD84" s="344"/>
      <c r="AE84" s="344"/>
      <c r="AF84" s="344"/>
      <c r="AG84" s="344"/>
      <c r="AH84" s="344"/>
      <c r="AI84" s="344"/>
      <c r="AJ84" s="344"/>
      <c r="AK84" s="344"/>
      <c r="AL84" s="344"/>
      <c r="AM84" s="344"/>
      <c r="AN84" s="344"/>
      <c r="AO84" s="344"/>
      <c r="AP84" s="344"/>
    </row>
    <row r="85" s="510" customFormat="true" ht="12.75" hidden="false" customHeight="false" outlineLevel="0" collapsed="false">
      <c r="A85" s="344"/>
      <c r="B85" s="344"/>
      <c r="C85" s="344"/>
      <c r="D85" s="344"/>
      <c r="E85" s="566"/>
      <c r="F85" s="566"/>
      <c r="G85" s="566"/>
      <c r="H85" s="566"/>
      <c r="J85" s="344"/>
      <c r="K85" s="344"/>
      <c r="L85" s="344"/>
      <c r="M85" s="511"/>
      <c r="N85" s="511"/>
      <c r="O85" s="344"/>
      <c r="P85" s="344"/>
      <c r="Q85" s="344"/>
      <c r="R85" s="13"/>
      <c r="S85" s="13"/>
      <c r="T85" s="13"/>
      <c r="U85" s="344"/>
      <c r="V85" s="344"/>
      <c r="W85" s="344"/>
      <c r="X85" s="344"/>
      <c r="Y85" s="344"/>
      <c r="Z85" s="344"/>
      <c r="AA85" s="344"/>
      <c r="AB85" s="344"/>
      <c r="AC85" s="344"/>
      <c r="AD85" s="344"/>
      <c r="AE85" s="344"/>
      <c r="AF85" s="344"/>
      <c r="AG85" s="344"/>
      <c r="AH85" s="344"/>
      <c r="AI85" s="344"/>
      <c r="AJ85" s="344"/>
      <c r="AK85" s="344"/>
      <c r="AL85" s="344"/>
      <c r="AM85" s="344"/>
      <c r="AN85" s="344"/>
      <c r="AO85" s="344"/>
      <c r="AP85" s="344"/>
    </row>
    <row r="86" s="510" customFormat="true" ht="12.75" hidden="false" customHeight="false" outlineLevel="0" collapsed="false">
      <c r="A86" s="344"/>
      <c r="B86" s="344"/>
      <c r="C86" s="344"/>
      <c r="D86" s="344"/>
      <c r="E86" s="567" t="s">
        <v>699</v>
      </c>
      <c r="F86" s="567"/>
      <c r="G86" s="568" t="s">
        <v>700</v>
      </c>
      <c r="H86" s="568"/>
      <c r="J86" s="13"/>
      <c r="K86" s="344"/>
      <c r="L86" s="344"/>
      <c r="M86" s="511"/>
      <c r="N86" s="511"/>
      <c r="O86" s="344"/>
      <c r="P86" s="344"/>
      <c r="Q86" s="344"/>
      <c r="R86" s="13"/>
      <c r="S86" s="13"/>
      <c r="T86" s="13"/>
      <c r="U86" s="344"/>
      <c r="V86" s="344"/>
      <c r="W86" s="344"/>
      <c r="X86" s="344"/>
      <c r="Y86" s="344"/>
      <c r="Z86" s="344"/>
      <c r="AA86" s="344"/>
      <c r="AB86" s="344"/>
      <c r="AC86" s="344"/>
      <c r="AD86" s="344"/>
      <c r="AE86" s="344"/>
      <c r="AF86" s="344"/>
      <c r="AG86" s="344"/>
      <c r="AH86" s="344"/>
      <c r="AI86" s="344"/>
      <c r="AJ86" s="344"/>
      <c r="AK86" s="344"/>
      <c r="AL86" s="344"/>
      <c r="AM86" s="344"/>
      <c r="AN86" s="344"/>
      <c r="AO86" s="344"/>
      <c r="AP86" s="344"/>
    </row>
    <row r="87" s="510" customFormat="true" ht="12.75" hidden="false" customHeight="false" outlineLevel="0" collapsed="false">
      <c r="A87" s="344"/>
      <c r="B87" s="344"/>
      <c r="C87" s="344"/>
      <c r="D87" s="344"/>
      <c r="E87" s="569"/>
      <c r="F87" s="570"/>
      <c r="G87" s="569"/>
      <c r="H87" s="570"/>
      <c r="J87" s="344"/>
      <c r="K87" s="344"/>
      <c r="L87" s="344"/>
      <c r="M87" s="511"/>
      <c r="N87" s="511"/>
      <c r="O87" s="344"/>
      <c r="P87" s="344"/>
      <c r="Q87" s="344"/>
      <c r="R87" s="13"/>
      <c r="S87" s="13"/>
      <c r="T87" s="13"/>
      <c r="U87" s="344"/>
      <c r="V87" s="344"/>
      <c r="W87" s="344"/>
      <c r="X87" s="344"/>
      <c r="Y87" s="344"/>
      <c r="Z87" s="344"/>
      <c r="AA87" s="344"/>
      <c r="AB87" s="344"/>
      <c r="AC87" s="344"/>
      <c r="AD87" s="344"/>
      <c r="AE87" s="344"/>
      <c r="AF87" s="344"/>
      <c r="AG87" s="344"/>
      <c r="AH87" s="344"/>
      <c r="AI87" s="344"/>
      <c r="AJ87" s="344"/>
      <c r="AK87" s="344"/>
      <c r="AL87" s="344"/>
      <c r="AM87" s="344"/>
      <c r="AN87" s="344"/>
      <c r="AO87" s="344"/>
      <c r="AP87" s="344"/>
    </row>
    <row r="88" s="510" customFormat="true" ht="12.75" hidden="false" customHeight="false" outlineLevel="0" collapsed="false">
      <c r="A88" s="344"/>
      <c r="B88" s="344"/>
      <c r="C88" s="344"/>
      <c r="D88" s="344"/>
      <c r="E88" s="569"/>
      <c r="F88" s="570"/>
      <c r="G88" s="569"/>
      <c r="H88" s="570"/>
      <c r="J88" s="344"/>
      <c r="K88" s="344"/>
      <c r="L88" s="344"/>
      <c r="M88" s="511"/>
      <c r="N88" s="511"/>
      <c r="O88" s="344"/>
      <c r="P88" s="344"/>
      <c r="Q88" s="344"/>
      <c r="R88" s="13"/>
      <c r="S88" s="13"/>
      <c r="T88" s="13"/>
      <c r="U88" s="344"/>
      <c r="V88" s="344"/>
      <c r="W88" s="344"/>
      <c r="X88" s="344"/>
      <c r="Y88" s="344"/>
      <c r="Z88" s="344"/>
      <c r="AA88" s="344"/>
      <c r="AB88" s="344"/>
      <c r="AC88" s="344"/>
      <c r="AD88" s="344"/>
      <c r="AE88" s="344"/>
      <c r="AF88" s="344"/>
      <c r="AG88" s="344"/>
      <c r="AH88" s="344"/>
      <c r="AI88" s="344"/>
      <c r="AJ88" s="344"/>
      <c r="AK88" s="344"/>
      <c r="AL88" s="344"/>
      <c r="AM88" s="344"/>
      <c r="AN88" s="344"/>
      <c r="AO88" s="344"/>
      <c r="AP88" s="344"/>
    </row>
    <row r="89" s="510" customFormat="true" ht="12.75" hidden="false" customHeight="false" outlineLevel="0" collapsed="false">
      <c r="A89" s="344"/>
      <c r="B89" s="344"/>
      <c r="C89" s="344"/>
      <c r="D89" s="344"/>
      <c r="E89" s="569"/>
      <c r="F89" s="570"/>
      <c r="G89" s="569"/>
      <c r="H89" s="571"/>
      <c r="J89" s="344"/>
      <c r="K89" s="344"/>
      <c r="L89" s="344"/>
      <c r="M89" s="511"/>
      <c r="N89" s="511"/>
      <c r="O89" s="344"/>
      <c r="P89" s="344"/>
      <c r="Q89" s="344"/>
      <c r="R89" s="13"/>
      <c r="S89" s="13"/>
      <c r="T89" s="13"/>
      <c r="U89" s="344"/>
      <c r="V89" s="344"/>
      <c r="W89" s="344"/>
      <c r="X89" s="344"/>
      <c r="Y89" s="344"/>
      <c r="Z89" s="344"/>
      <c r="AA89" s="344"/>
      <c r="AB89" s="344"/>
      <c r="AC89" s="344"/>
      <c r="AD89" s="344"/>
      <c r="AE89" s="344"/>
      <c r="AF89" s="344"/>
      <c r="AG89" s="344"/>
      <c r="AH89" s="344"/>
      <c r="AI89" s="344"/>
      <c r="AJ89" s="344"/>
      <c r="AK89" s="344"/>
      <c r="AL89" s="344"/>
      <c r="AM89" s="344"/>
      <c r="AN89" s="344"/>
      <c r="AO89" s="344"/>
      <c r="AP89" s="344"/>
    </row>
    <row r="90" customFormat="false" ht="12.75" hidden="false" customHeight="false" outlineLevel="0" collapsed="false">
      <c r="E90" s="569"/>
      <c r="F90" s="570"/>
      <c r="G90" s="569"/>
      <c r="H90" s="571"/>
    </row>
    <row r="91" customFormat="false" ht="12.75" hidden="false" customHeight="false" outlineLevel="0" collapsed="false">
      <c r="E91" s="569"/>
      <c r="F91" s="570"/>
      <c r="G91" s="569"/>
      <c r="H91" s="571"/>
    </row>
    <row r="92" customFormat="false" ht="12.75" hidden="false" customHeight="false" outlineLevel="0" collapsed="false">
      <c r="E92" s="569"/>
      <c r="F92" s="570"/>
      <c r="G92" s="569"/>
      <c r="H92" s="570"/>
    </row>
    <row r="93" customFormat="false" ht="12.75" hidden="false" customHeight="false" outlineLevel="0" collapsed="false">
      <c r="E93" s="572" t="s">
        <v>701</v>
      </c>
      <c r="F93" s="573" t="n">
        <f aca="false">SUM(F87:F92)</f>
        <v>0</v>
      </c>
      <c r="G93" s="572"/>
      <c r="H93" s="573" t="n">
        <f aca="false">SUM(H87:H92)</f>
        <v>0</v>
      </c>
    </row>
    <row r="94" customFormat="false" ht="12.75" hidden="false" customHeight="false" outlineLevel="0" collapsed="false">
      <c r="E94" s="574"/>
      <c r="F94" s="574"/>
      <c r="G94" s="574"/>
      <c r="H94" s="574"/>
    </row>
    <row r="95" customFormat="false" ht="12.75" hidden="false" customHeight="false" outlineLevel="0" collapsed="false">
      <c r="E95" s="574" t="s">
        <v>702</v>
      </c>
      <c r="F95" s="575" t="n">
        <f aca="false">+F93-H93</f>
        <v>0</v>
      </c>
      <c r="G95" s="574"/>
      <c r="H95" s="574"/>
    </row>
  </sheetData>
  <mergeCells count="8">
    <mergeCell ref="A5:C5"/>
    <mergeCell ref="A28:C28"/>
    <mergeCell ref="R30:V30"/>
    <mergeCell ref="Y30:AC30"/>
    <mergeCell ref="AM30:AP30"/>
    <mergeCell ref="E84:H84"/>
    <mergeCell ref="E86:F86"/>
    <mergeCell ref="G86:H8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A13" activeCellId="0" sqref="A13"/>
    </sheetView>
  </sheetViews>
  <sheetFormatPr defaultColWidth="8.859375" defaultRowHeight="12.75" zeroHeight="false" outlineLevelRow="0" outlineLevelCol="0"/>
  <cols>
    <col collapsed="false" customWidth="true" hidden="false" outlineLevel="0" max="1" min="1" style="0" width="34.42"/>
    <col collapsed="false" customWidth="true" hidden="false" outlineLevel="0" max="2" min="2" style="0" width="14"/>
    <col collapsed="false" customWidth="true" hidden="false" outlineLevel="0" max="3" min="3" style="0" width="16.57"/>
    <col collapsed="false" customWidth="true" hidden="false" outlineLevel="0" max="4" min="4" style="0" width="16"/>
    <col collapsed="false" customWidth="true" hidden="false" outlineLevel="0" max="5" min="5" style="0" width="14.57"/>
    <col collapsed="false" customWidth="true" hidden="false" outlineLevel="0" max="6" min="6" style="0" width="31.42"/>
    <col collapsed="false" customWidth="true" hidden="false" outlineLevel="0" max="7" min="7" style="0" width="4.14"/>
    <col collapsed="false" customWidth="true" hidden="false" outlineLevel="0" max="8" min="8" style="0" width="17.15"/>
    <col collapsed="false" customWidth="true" hidden="false" outlineLevel="0" max="9" min="9" style="0" width="12"/>
  </cols>
  <sheetData>
    <row r="1" customFormat="false" ht="17.35" hidden="false" customHeight="false" outlineLevel="0" collapsed="false">
      <c r="A1" s="576" t="n">
        <v>4</v>
      </c>
      <c r="B1" s="576"/>
      <c r="C1" s="576"/>
      <c r="D1" s="576"/>
      <c r="E1" s="576"/>
      <c r="F1" s="576"/>
      <c r="G1" s="576"/>
      <c r="H1" s="576"/>
    </row>
    <row r="3" customFormat="false" ht="13.8" hidden="false" customHeight="false" outlineLevel="0" collapsed="false">
      <c r="A3" s="577" t="s">
        <v>703</v>
      </c>
      <c r="B3" s="577"/>
      <c r="C3" s="577"/>
      <c r="D3" s="577"/>
      <c r="E3" s="577"/>
      <c r="F3" s="577"/>
      <c r="G3" s="577"/>
      <c r="H3" s="577"/>
    </row>
    <row r="4" customFormat="false" ht="16.4" hidden="false" customHeight="false" outlineLevel="0" collapsed="false">
      <c r="A4" s="578" t="s">
        <v>704</v>
      </c>
      <c r="B4" s="578" t="s">
        <v>705</v>
      </c>
      <c r="C4" s="578" t="s">
        <v>706</v>
      </c>
      <c r="D4" s="578" t="s">
        <v>707</v>
      </c>
      <c r="E4" s="578" t="s">
        <v>708</v>
      </c>
      <c r="F4" s="578" t="s">
        <v>709</v>
      </c>
      <c r="G4" s="579"/>
      <c r="H4" s="579"/>
    </row>
    <row r="5" customFormat="false" ht="12.75" hidden="false" customHeight="false" outlineLevel="0" collapsed="false">
      <c r="A5" s="580" t="s">
        <v>710</v>
      </c>
      <c r="B5" s="581" t="e">
        <f aca="false">+#REF!</f>
        <v>#REF!</v>
      </c>
      <c r="C5" s="582" t="n">
        <v>-4690589.32584389</v>
      </c>
      <c r="D5" s="582" t="n">
        <v>-6592029.73900687</v>
      </c>
      <c r="E5" s="583" t="n">
        <v>-8766583.90843226</v>
      </c>
      <c r="F5" s="580"/>
      <c r="I5" s="584"/>
    </row>
    <row r="6" customFormat="false" ht="14.15" hidden="false" customHeight="false" outlineLevel="0" collapsed="false">
      <c r="A6" s="580" t="s">
        <v>711</v>
      </c>
      <c r="B6" s="582" t="n">
        <v>0</v>
      </c>
      <c r="C6" s="585" t="e">
        <f aca="false">C5-B5</f>
        <v>#REF!</v>
      </c>
      <c r="D6" s="586" t="e">
        <f aca="false">D5-B5</f>
        <v>#REF!</v>
      </c>
      <c r="E6" s="587" t="e">
        <f aca="false">E5-B5</f>
        <v>#REF!</v>
      </c>
      <c r="F6" s="580"/>
    </row>
    <row r="7" customFormat="false" ht="33" hidden="false" customHeight="true" outlineLevel="0" collapsed="false">
      <c r="A7" s="588" t="s">
        <v>712</v>
      </c>
      <c r="B7" s="589"/>
      <c r="C7" s="589" t="e">
        <f aca="false">-(C6)/5</f>
        <v>#REF!</v>
      </c>
      <c r="D7" s="589" t="e">
        <f aca="false">-(D6)/10</f>
        <v>#REF!</v>
      </c>
      <c r="E7" s="590" t="e">
        <f aca="false">-(E6)/15</f>
        <v>#REF!</v>
      </c>
      <c r="F7" s="580" t="s">
        <v>713</v>
      </c>
    </row>
    <row r="8" s="579" customFormat="true" ht="17.25" hidden="false" customHeight="true" outlineLevel="0" collapsed="false">
      <c r="A8" s="578" t="s">
        <v>704</v>
      </c>
      <c r="B8" s="578" t="s">
        <v>705</v>
      </c>
      <c r="C8" s="591" t="n">
        <v>-0.02</v>
      </c>
      <c r="D8" s="591" t="n">
        <v>-0.05</v>
      </c>
      <c r="E8" s="591" t="n">
        <v>-0.08</v>
      </c>
      <c r="F8" s="578" t="s">
        <v>709</v>
      </c>
    </row>
    <row r="9" customFormat="false" ht="17.25" hidden="false" customHeight="true" outlineLevel="0" collapsed="false">
      <c r="A9" s="580" t="s">
        <v>710</v>
      </c>
      <c r="B9" s="589" t="e">
        <f aca="false">+B5</f>
        <v>#REF!</v>
      </c>
      <c r="C9" s="582" t="n">
        <v>-3358066.65014228</v>
      </c>
      <c r="D9" s="582" t="n">
        <v>-3997701.99692038</v>
      </c>
      <c r="E9" s="583" t="n">
        <v>-5082556.99823345</v>
      </c>
      <c r="F9" s="580"/>
    </row>
    <row r="10" customFormat="false" ht="33" hidden="false" customHeight="true" outlineLevel="0" collapsed="false">
      <c r="A10" s="580" t="s">
        <v>711</v>
      </c>
      <c r="B10" s="592"/>
      <c r="C10" s="585" t="e">
        <f aca="false">C9-B9</f>
        <v>#REF!</v>
      </c>
      <c r="D10" s="586" t="e">
        <f aca="false">D9-B9</f>
        <v>#REF!</v>
      </c>
      <c r="E10" s="587" t="e">
        <f aca="false">E9-B9</f>
        <v>#REF!</v>
      </c>
      <c r="F10" s="580"/>
    </row>
    <row r="11" customFormat="false" ht="33" hidden="false" customHeight="true" outlineLevel="0" collapsed="false">
      <c r="A11" s="593" t="s">
        <v>714</v>
      </c>
      <c r="B11" s="594"/>
      <c r="C11" s="589" t="e">
        <f aca="false">-(C10)/2</f>
        <v>#REF!</v>
      </c>
      <c r="D11" s="589" t="e">
        <f aca="false">-(D10)/5</f>
        <v>#REF!</v>
      </c>
      <c r="E11" s="589" t="e">
        <f aca="false">-(E10)/8</f>
        <v>#REF!</v>
      </c>
      <c r="F11" s="595"/>
    </row>
    <row r="12" customFormat="false" ht="14.15" hidden="false" customHeight="true" outlineLevel="0" collapsed="false">
      <c r="A12" s="596" t="s">
        <v>715</v>
      </c>
      <c r="B12" s="596"/>
      <c r="C12" s="596"/>
      <c r="D12" s="596"/>
      <c r="E12" s="596"/>
      <c r="F12" s="596"/>
    </row>
    <row r="13" customFormat="false" ht="12.75" hidden="false" customHeight="false" outlineLevel="0" collapsed="false">
      <c r="A13" s="597" t="s">
        <v>716</v>
      </c>
      <c r="B13" s="598"/>
      <c r="C13" s="598" t="e">
        <f aca="false">+C10+C6</f>
        <v>#REF!</v>
      </c>
      <c r="D13" s="598" t="e">
        <f aca="false">+D10+D6</f>
        <v>#REF!</v>
      </c>
      <c r="E13" s="598" t="e">
        <f aca="false">+E10+E6</f>
        <v>#REF!</v>
      </c>
      <c r="F13" s="597" t="s">
        <v>717</v>
      </c>
    </row>
    <row r="14" customFormat="false" ht="12.75" hidden="false" customHeight="false" outlineLevel="0" collapsed="false">
      <c r="A14" s="599" t="s">
        <v>718</v>
      </c>
      <c r="B14" s="600"/>
      <c r="C14" s="601" t="e">
        <f aca="false">+B5</f>
        <v>#REF!</v>
      </c>
      <c r="D14" s="601" t="e">
        <f aca="false">+C14</f>
        <v>#REF!</v>
      </c>
      <c r="E14" s="601" t="e">
        <f aca="false">+D14</f>
        <v>#REF!</v>
      </c>
    </row>
    <row r="15" customFormat="false" ht="12.75" hidden="false" customHeight="false" outlineLevel="0" collapsed="false">
      <c r="A15" s="602" t="s">
        <v>719</v>
      </c>
      <c r="B15" s="600"/>
      <c r="C15" s="603" t="e">
        <f aca="false">+#REF!</f>
        <v>#REF!</v>
      </c>
      <c r="D15" s="603" t="e">
        <f aca="false">+C15</f>
        <v>#REF!</v>
      </c>
      <c r="E15" s="603" t="e">
        <f aca="false">+D15</f>
        <v>#REF!</v>
      </c>
    </row>
    <row r="16" customFormat="false" ht="12.75" hidden="false" customHeight="false" outlineLevel="0" collapsed="false">
      <c r="A16" s="602"/>
      <c r="B16" s="600"/>
      <c r="C16" s="603"/>
      <c r="D16" s="603"/>
      <c r="E16" s="603"/>
    </row>
    <row r="17" customFormat="false" ht="12.75" hidden="false" customHeight="false" outlineLevel="0" collapsed="false">
      <c r="A17" s="602"/>
      <c r="B17" s="600"/>
      <c r="C17" s="603" t="e">
        <f aca="false">+C15+C14+C10+C6</f>
        <v>#REF!</v>
      </c>
      <c r="D17" s="603" t="e">
        <f aca="false">+D15+D14+D10+D6</f>
        <v>#REF!</v>
      </c>
      <c r="E17" s="603" t="e">
        <f aca="false">+E15+E14+E10+E6</f>
        <v>#REF!</v>
      </c>
    </row>
    <row r="18" customFormat="false" ht="13.8" hidden="false" customHeight="false" outlineLevel="0" collapsed="false">
      <c r="A18" s="604" t="s">
        <v>720</v>
      </c>
      <c r="B18" s="604"/>
      <c r="C18" s="604"/>
      <c r="D18" s="604"/>
      <c r="E18" s="604"/>
      <c r="F18" s="604"/>
      <c r="G18" s="604"/>
      <c r="H18" s="604"/>
    </row>
    <row r="19" customFormat="false" ht="13.8" hidden="false" customHeight="false" outlineLevel="0" collapsed="false">
      <c r="A19" s="0" t="s">
        <v>721</v>
      </c>
      <c r="B19" s="605" t="s">
        <v>707</v>
      </c>
      <c r="G19" s="606"/>
      <c r="H19" s="606"/>
    </row>
    <row r="20" customFormat="false" ht="12.75" hidden="false" customHeight="false" outlineLevel="0" collapsed="false">
      <c r="G20" s="606"/>
      <c r="H20" s="606"/>
    </row>
    <row r="21" customFormat="false" ht="39" hidden="false" customHeight="true" outlineLevel="0" collapsed="false">
      <c r="A21" s="607" t="s">
        <v>722</v>
      </c>
      <c r="B21" s="607" t="s">
        <v>723</v>
      </c>
      <c r="C21" s="607" t="s">
        <v>724</v>
      </c>
      <c r="D21" s="607" t="s">
        <v>725</v>
      </c>
      <c r="E21" s="607" t="s">
        <v>726</v>
      </c>
      <c r="F21" s="607" t="s">
        <v>727</v>
      </c>
      <c r="G21" s="607" t="s">
        <v>728</v>
      </c>
      <c r="H21" s="607" t="s">
        <v>729</v>
      </c>
      <c r="I21" s="607" t="s">
        <v>730</v>
      </c>
    </row>
    <row r="22" customFormat="false" ht="12.75" hidden="false" customHeight="false" outlineLevel="0" collapsed="false">
      <c r="A22" s="580" t="s">
        <v>731</v>
      </c>
      <c r="B22" s="580" t="s">
        <v>17</v>
      </c>
      <c r="C22" s="580" t="s">
        <v>732</v>
      </c>
      <c r="D22" s="608" t="n">
        <v>-48575.7508135709</v>
      </c>
      <c r="E22" s="609" t="n">
        <v>0.263042934554311</v>
      </c>
      <c r="F22" s="600" t="n">
        <v>-101947.085315949</v>
      </c>
      <c r="G22" s="0" t="n">
        <v>0.296594218162466</v>
      </c>
      <c r="H22" s="0" t="n">
        <v>-214170.953182979</v>
      </c>
      <c r="I22" s="610" t="n">
        <v>0.325759800335859</v>
      </c>
    </row>
    <row r="23" customFormat="false" ht="12.75" hidden="false" customHeight="false" outlineLevel="0" collapsed="false">
      <c r="A23" s="580" t="s">
        <v>733</v>
      </c>
      <c r="B23" s="580" t="s">
        <v>17</v>
      </c>
      <c r="C23" s="580" t="s">
        <v>734</v>
      </c>
      <c r="D23" s="608" t="n">
        <v>-35379.3281575672</v>
      </c>
      <c r="E23" s="609" t="n">
        <v>0.247281186650544</v>
      </c>
      <c r="F23" s="600" t="n">
        <v>-77176.959078522</v>
      </c>
      <c r="G23" s="0" t="n">
        <v>0.309956948517841</v>
      </c>
      <c r="H23" s="0" t="n">
        <v>-169630.712402787</v>
      </c>
      <c r="I23" s="610" t="n">
        <v>0.395580214616056</v>
      </c>
    </row>
    <row r="24" customFormat="false" ht="12.75" hidden="false" customHeight="false" outlineLevel="0" collapsed="false">
      <c r="A24" s="580" t="s">
        <v>735</v>
      </c>
      <c r="B24" s="580" t="s">
        <v>17</v>
      </c>
      <c r="C24" s="580" t="s">
        <v>732</v>
      </c>
      <c r="D24" s="608" t="n">
        <v>-44867.123331066</v>
      </c>
      <c r="E24" s="609" t="n">
        <v>0.225021264982787</v>
      </c>
      <c r="F24" s="600" t="n">
        <v>-95945.3580364228</v>
      </c>
      <c r="G24" s="0" t="n">
        <v>0.262484652677573</v>
      </c>
      <c r="H24" s="0" t="n">
        <v>-205946.790734408</v>
      </c>
      <c r="I24" s="610" t="n">
        <v>0.29877917460196</v>
      </c>
    </row>
    <row r="25" customFormat="false" ht="12.75" hidden="false" customHeight="false" outlineLevel="0" collapsed="false">
      <c r="A25" s="580" t="s">
        <v>736</v>
      </c>
      <c r="B25" s="580" t="s">
        <v>73</v>
      </c>
      <c r="C25" s="580" t="s">
        <v>734</v>
      </c>
      <c r="D25" s="608" t="n">
        <v>-27378.602482853</v>
      </c>
      <c r="E25" s="609" t="n">
        <v>0.140374722094737</v>
      </c>
      <c r="F25" s="600" t="n">
        <v>-63433.3373758913</v>
      </c>
      <c r="G25" s="0" t="n">
        <v>0.193792166408425</v>
      </c>
      <c r="H25" s="0" t="n">
        <v>-152894.994735094</v>
      </c>
      <c r="I25" s="610" t="n">
        <v>0.284272584251894</v>
      </c>
    </row>
    <row r="26" customFormat="false" ht="12.75" hidden="false" customHeight="false" outlineLevel="0" collapsed="false">
      <c r="A26" s="580" t="s">
        <v>737</v>
      </c>
      <c r="B26" s="580" t="s">
        <v>73</v>
      </c>
      <c r="C26" s="580" t="s">
        <v>734</v>
      </c>
      <c r="D26" s="608" t="n">
        <v>-19310.3238966141</v>
      </c>
      <c r="E26" s="609" t="n">
        <v>0.10085475677145</v>
      </c>
      <c r="F26" s="600" t="n">
        <v>-47000.7081975225</v>
      </c>
      <c r="G26" s="0" t="n">
        <v>0.14985737651058</v>
      </c>
      <c r="H26" s="0" t="n">
        <v>-121065.898175272</v>
      </c>
      <c r="I26" s="610" t="n">
        <v>0.239627946842833</v>
      </c>
    </row>
    <row r="27" customFormat="false" ht="12.75" hidden="false" customHeight="false" outlineLevel="0" collapsed="false">
      <c r="A27" s="580" t="s">
        <v>738</v>
      </c>
      <c r="B27" s="580" t="s">
        <v>73</v>
      </c>
      <c r="C27" s="580" t="s">
        <v>734</v>
      </c>
      <c r="D27" s="608" t="n">
        <v>-12906.9309930973</v>
      </c>
      <c r="E27" s="609" t="n">
        <v>0.0696517950542536</v>
      </c>
      <c r="F27" s="600" t="n">
        <v>-33251.7669562379</v>
      </c>
      <c r="G27" s="0" t="n">
        <v>0.112248729906952</v>
      </c>
      <c r="H27" s="0" t="n">
        <v>-92574.8558680289</v>
      </c>
      <c r="I27" s="610" t="n">
        <v>0.197673336637375</v>
      </c>
    </row>
    <row r="28" customFormat="false" ht="12.75" hidden="false" customHeight="false" outlineLevel="0" collapsed="false">
      <c r="A28" s="580" t="s">
        <v>739</v>
      </c>
      <c r="B28" s="580" t="s">
        <v>71</v>
      </c>
      <c r="C28" s="580" t="s">
        <v>734</v>
      </c>
      <c r="D28" s="608" t="n">
        <v>-34517.6887598277</v>
      </c>
      <c r="E28" s="609" t="n">
        <v>0.183518090442707</v>
      </c>
      <c r="F28" s="600" t="n">
        <v>-75832.5885053436</v>
      </c>
      <c r="G28" s="0" t="n">
        <v>0.232625421457823</v>
      </c>
      <c r="H28" s="0" t="n">
        <v>-171827.0089633</v>
      </c>
      <c r="I28" s="610" t="n">
        <v>0.314777838930942</v>
      </c>
    </row>
    <row r="29" customFormat="false" ht="12.75" hidden="false" customHeight="false" outlineLevel="0" collapsed="false">
      <c r="A29" s="580" t="s">
        <v>740</v>
      </c>
      <c r="B29" s="580" t="s">
        <v>71</v>
      </c>
      <c r="C29" s="580" t="s">
        <v>734</v>
      </c>
      <c r="D29" s="608" t="n">
        <v>-26138.8311255386</v>
      </c>
      <c r="E29" s="609" t="n">
        <v>0.140158121481622</v>
      </c>
      <c r="F29" s="600" t="n">
        <v>-59358.0610124719</v>
      </c>
      <c r="G29" s="0" t="n">
        <v>0.187514027798255</v>
      </c>
      <c r="H29" s="0" t="n">
        <v>-140921.74261973</v>
      </c>
      <c r="I29" s="610" t="n">
        <v>0.271265784700501</v>
      </c>
    </row>
    <row r="30" customFormat="false" ht="12.75" hidden="false" customHeight="false" outlineLevel="0" collapsed="false">
      <c r="A30" s="580" t="s">
        <v>741</v>
      </c>
      <c r="B30" s="580" t="s">
        <v>71</v>
      </c>
      <c r="C30" s="580" t="s">
        <v>734</v>
      </c>
      <c r="D30" s="608" t="n">
        <v>-18902.8754568902</v>
      </c>
      <c r="E30" s="609" t="n">
        <v>0.103543696496258</v>
      </c>
      <c r="F30" s="600" t="n">
        <v>-44615.5350406049</v>
      </c>
      <c r="G30" s="0" t="n">
        <v>0.147111517936172</v>
      </c>
      <c r="H30" s="0" t="n">
        <v>-111935.927742071</v>
      </c>
      <c r="I30" s="610" t="n">
        <v>0.229408042282664</v>
      </c>
    </row>
    <row r="31" customFormat="false" ht="12.75" hidden="false" customHeight="false" outlineLevel="0" collapsed="false">
      <c r="A31" s="580" t="s">
        <v>742</v>
      </c>
      <c r="B31" s="580" t="s">
        <v>86</v>
      </c>
      <c r="C31" s="580" t="s">
        <v>734</v>
      </c>
      <c r="D31" s="608" t="n">
        <v>-53832.0797200866</v>
      </c>
      <c r="E31" s="609" t="n">
        <v>0.374186441551383</v>
      </c>
      <c r="F31" s="600" t="n">
        <v>-109062.397495484</v>
      </c>
      <c r="G31" s="0" t="n">
        <v>0.402788173313558</v>
      </c>
      <c r="H31" s="0" t="n">
        <v>-222127.395547951</v>
      </c>
      <c r="I31" s="610" t="n">
        <v>0.452987379246317</v>
      </c>
    </row>
    <row r="32" customFormat="false" ht="12.75" hidden="false" customHeight="false" outlineLevel="0" collapsed="false">
      <c r="A32" s="580" t="s">
        <v>743</v>
      </c>
      <c r="B32" s="580" t="s">
        <v>86</v>
      </c>
      <c r="C32" s="580" t="s">
        <v>734</v>
      </c>
      <c r="D32" s="608" t="n">
        <v>-49467.9822997858</v>
      </c>
      <c r="E32" s="609" t="n">
        <v>0.359003037532016</v>
      </c>
      <c r="F32" s="600" t="n">
        <v>-100399.407810561</v>
      </c>
      <c r="G32" s="0" t="n">
        <v>0.387718975117405</v>
      </c>
      <c r="H32" s="0" t="n">
        <v>-205139.635369629</v>
      </c>
      <c r="I32" s="610" t="n">
        <v>0.438844321521289</v>
      </c>
    </row>
    <row r="33" customFormat="false" ht="12.75" hidden="false" customHeight="false" outlineLevel="0" collapsed="false">
      <c r="A33" s="580" t="s">
        <v>744</v>
      </c>
      <c r="B33" s="580" t="s">
        <v>86</v>
      </c>
      <c r="C33" s="580" t="s">
        <v>734</v>
      </c>
      <c r="D33" s="608" t="n">
        <v>-45197.5536673749</v>
      </c>
      <c r="E33" s="609" t="n">
        <v>0.344842931874477</v>
      </c>
      <c r="F33" s="600" t="n">
        <v>-91885.3805643633</v>
      </c>
      <c r="G33" s="0" t="n">
        <v>0.3735191601724</v>
      </c>
      <c r="H33" s="0" t="n">
        <v>-188321.114532806</v>
      </c>
      <c r="I33" s="610" t="n">
        <v>0.425250727121613</v>
      </c>
    </row>
  </sheetData>
  <mergeCells count="4">
    <mergeCell ref="A1:H1"/>
    <mergeCell ref="A3:H3"/>
    <mergeCell ref="A12:F12"/>
    <mergeCell ref="A18:H1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</TotalTime>
  <Application>LibreOffice/24.2.7.2$Linux_X86_64 LibreOffice_project/420$Build-2</Application>
  <AppVersion>15.0000</AppVersion>
  <Company>Banco monex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2006-12-07T16:12:18Z</dcterms:created>
  <dc:creator>Ronald Chester N.</dc:creator>
  <dc:description/>
  <dc:language>es-CL</dc:language>
  <cp:lastModifiedBy/>
  <cp:lastPrinted>2024-11-19T16:04:09Z</cp:lastPrinted>
  <dcterms:modified xsi:type="dcterms:W3CDTF">2026-05-14T11:03:00Z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