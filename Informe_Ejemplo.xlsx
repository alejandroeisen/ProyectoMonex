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mess\Docus\2026\"/>
    </mc:Choice>
  </mc:AlternateContent>
  <xr:revisionPtr revIDLastSave="0" documentId="13_ncr:1_{9C6B8356-734E-4287-A21C-62341ECD6501}" xr6:coauthVersionLast="47" xr6:coauthVersionMax="47" xr10:uidLastSave="{00000000-0000-0000-0000-000000000000}"/>
  <bookViews>
    <workbookView xWindow="-110" yWindow="-110" windowWidth="25820" windowHeight="15500" tabRatio="745" xr2:uid="{00000000-000D-0000-FFFF-FFFF00000000}"/>
  </bookViews>
  <sheets>
    <sheet name="ppal B" sheetId="1" r:id="rId1"/>
    <sheet name="NDF" sheetId="6" r:id="rId2"/>
    <sheet name="opete" sheetId="32" r:id="rId3"/>
    <sheet name="etf" sheetId="21" r:id="rId4"/>
    <sheet name="Hoja1" sheetId="11" r:id="rId5"/>
    <sheet name="UF" sheetId="46" r:id="rId6"/>
    <sheet name="t10y" sheetId="2" r:id="rId7"/>
    <sheet name="cartera" sheetId="55" r:id="rId8"/>
    <sheet name="Equity" sheetId="59" r:id="rId9"/>
    <sheet name="registro" sheetId="56" r:id="rId10"/>
    <sheet name="registro rf" sheetId="57" r:id="rId11"/>
    <sheet name="JEBPOS" sheetId="49" r:id="rId12"/>
    <sheet name="RIESGO" sheetId="58" r:id="rId13"/>
  </sheets>
  <definedNames>
    <definedName name="_xlnm._FilterDatabase" localSheetId="7" hidden="1">cartera!$A$3:$AJ$54</definedName>
    <definedName name="_xlnm._FilterDatabase" localSheetId="8" hidden="1">Equity!$M$8:$O$39</definedName>
    <definedName name="_xlnm._FilterDatabase" localSheetId="3" hidden="1">etf!$B$7:$M$48</definedName>
    <definedName name="_xlnm._FilterDatabase" localSheetId="1" hidden="1">NDF!$A$8:$N$17</definedName>
    <definedName name="_xlnm._FilterDatabase" localSheetId="2" hidden="1">opete!$A$7:$N$79</definedName>
    <definedName name="_xlnm._FilterDatabase" localSheetId="9" hidden="1">registro!$A$137:$M$161</definedName>
    <definedName name="_xlnm._FilterDatabase" localSheetId="6" hidden="1">t10y!$A$6:$J$6</definedName>
    <definedName name="_xlnm.Print_Area" localSheetId="3">etf!$A$1:$M$55</definedName>
    <definedName name="_xlnm.Print_Area" localSheetId="1">NDF!$A$35:$L$170</definedName>
    <definedName name="_xlnm.Print_Area" localSheetId="2">opete!$A$268:$N$367</definedName>
    <definedName name="_xlnm.Print_Area" localSheetId="0">'ppal B'!$A$1:$H$28</definedName>
    <definedName name="_xlnm.Print_Area" localSheetId="6">t10y!$A$1:$L$88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6" l="1"/>
  <c r="H4" i="56"/>
  <c r="H5" i="56"/>
  <c r="H6" i="56"/>
  <c r="H2" i="56"/>
  <c r="G3" i="56"/>
  <c r="G4" i="56"/>
  <c r="G5" i="56"/>
  <c r="G6" i="56"/>
  <c r="G2" i="56"/>
  <c r="I160" i="55"/>
  <c r="I163" i="55"/>
  <c r="I76" i="55"/>
  <c r="M76" i="55"/>
  <c r="I75" i="55"/>
  <c r="M75" i="55"/>
  <c r="I74" i="55"/>
  <c r="M74" i="55"/>
  <c r="W74" i="55"/>
  <c r="X74" i="55"/>
  <c r="Y74" i="55"/>
  <c r="J163" i="55" l="1"/>
  <c r="H163" i="55"/>
  <c r="H162" i="55" l="1"/>
  <c r="N10" i="1" l="1"/>
  <c r="M156" i="55" l="1"/>
  <c r="Y88" i="55" l="1"/>
  <c r="X88" i="55"/>
  <c r="W88" i="55"/>
  <c r="V88" i="55"/>
  <c r="Y86" i="55"/>
  <c r="X86" i="55"/>
  <c r="W86" i="55"/>
  <c r="V86" i="55"/>
  <c r="X85" i="55"/>
  <c r="W85" i="55"/>
  <c r="V85" i="55"/>
  <c r="Y84" i="55"/>
  <c r="W84" i="55"/>
  <c r="V84" i="55"/>
  <c r="X83" i="55"/>
  <c r="W83" i="55"/>
  <c r="V83" i="55"/>
  <c r="X82" i="55"/>
  <c r="W82" i="55"/>
  <c r="V82" i="55"/>
  <c r="X81" i="55"/>
  <c r="W81" i="55"/>
  <c r="V81" i="55"/>
  <c r="X80" i="55"/>
  <c r="W80" i="55"/>
  <c r="V80" i="55"/>
  <c r="Y79" i="55"/>
  <c r="W79" i="55"/>
  <c r="V79" i="55"/>
  <c r="Y78" i="55"/>
  <c r="W78" i="55"/>
  <c r="V78" i="55"/>
  <c r="Y77" i="55"/>
  <c r="W77" i="55"/>
  <c r="V77" i="55"/>
  <c r="W11" i="55"/>
  <c r="X11" i="55"/>
  <c r="Z11" i="55"/>
  <c r="AC11" i="55" s="1"/>
  <c r="AA11" i="55"/>
  <c r="AB11" i="55"/>
  <c r="AF11" i="55"/>
  <c r="S106" i="55"/>
  <c r="R74" i="55" l="1"/>
  <c r="AE11" i="55"/>
  <c r="AK11" i="55"/>
  <c r="K11" i="55"/>
  <c r="AD11" i="55"/>
  <c r="G160" i="55" l="1"/>
  <c r="AG4" i="59" l="1"/>
  <c r="AF4" i="59"/>
  <c r="AE4" i="59"/>
  <c r="AD4" i="59"/>
  <c r="AC4" i="59"/>
  <c r="AB4" i="59"/>
  <c r="AA4" i="59"/>
  <c r="Z4" i="59"/>
  <c r="Y4" i="59"/>
  <c r="X4" i="59"/>
  <c r="W4" i="59"/>
  <c r="V4" i="59"/>
  <c r="U4" i="59"/>
  <c r="T4" i="59"/>
  <c r="S4" i="59"/>
  <c r="R4" i="59"/>
  <c r="Q4" i="59"/>
  <c r="P4" i="59"/>
  <c r="O4" i="59"/>
  <c r="N4" i="59"/>
  <c r="M4" i="59"/>
  <c r="L4" i="59"/>
  <c r="K4" i="59"/>
  <c r="J4" i="59"/>
  <c r="I4" i="59"/>
  <c r="H4" i="59"/>
  <c r="G4" i="59"/>
  <c r="F4" i="59"/>
  <c r="E4" i="59"/>
  <c r="D4" i="59"/>
  <c r="C4" i="59"/>
  <c r="AZ150" i="55"/>
  <c r="AY150" i="55"/>
  <c r="AX150" i="55"/>
  <c r="AW150" i="55"/>
  <c r="AV150" i="55"/>
  <c r="AU150" i="55"/>
  <c r="AT150" i="55"/>
  <c r="AS150" i="55"/>
  <c r="AR150" i="55"/>
  <c r="AQ150" i="55"/>
  <c r="AP150" i="55"/>
  <c r="AO150" i="55"/>
  <c r="AN150" i="55"/>
  <c r="AM150" i="55"/>
  <c r="AL150" i="55"/>
  <c r="AK150" i="55"/>
  <c r="AJ150" i="55"/>
  <c r="AI150" i="55"/>
  <c r="AH150" i="55"/>
  <c r="AG150" i="55"/>
  <c r="AF150" i="55"/>
  <c r="AE150" i="55"/>
  <c r="AD150" i="55"/>
  <c r="AC150" i="55"/>
  <c r="AB150" i="55"/>
  <c r="AA150" i="55"/>
  <c r="Z150" i="55"/>
  <c r="Y150" i="55"/>
  <c r="X150" i="55"/>
  <c r="W150" i="55"/>
  <c r="V150" i="55"/>
  <c r="AY147" i="55"/>
  <c r="AX147" i="55"/>
  <c r="AW147" i="55"/>
  <c r="AV147" i="55"/>
  <c r="AU147" i="55"/>
  <c r="AT147" i="55"/>
  <c r="AS147" i="55"/>
  <c r="AR147" i="55"/>
  <c r="AQ147" i="55"/>
  <c r="AP147" i="55"/>
  <c r="AO147" i="55"/>
  <c r="AN147" i="55"/>
  <c r="AM147" i="55"/>
  <c r="AL147" i="55"/>
  <c r="AK147" i="55"/>
  <c r="AJ147" i="55"/>
  <c r="AI147" i="55"/>
  <c r="AH147" i="55"/>
  <c r="AG147" i="55"/>
  <c r="AF147" i="55"/>
  <c r="AE147" i="55"/>
  <c r="AD147" i="55"/>
  <c r="AC147" i="55"/>
  <c r="AB147" i="55"/>
  <c r="AA147" i="55"/>
  <c r="Z147" i="55"/>
  <c r="Y147" i="55"/>
  <c r="X147" i="55"/>
  <c r="W147" i="55"/>
  <c r="V147" i="55"/>
  <c r="AZ146" i="55"/>
  <c r="AX146" i="55"/>
  <c r="AW146" i="55"/>
  <c r="AV146" i="55"/>
  <c r="AU146" i="55"/>
  <c r="AT146" i="55"/>
  <c r="AS146" i="55"/>
  <c r="AR146" i="55"/>
  <c r="AQ146" i="55"/>
  <c r="AP146" i="55"/>
  <c r="AO146" i="55"/>
  <c r="AN146" i="55"/>
  <c r="AM146" i="55"/>
  <c r="AL146" i="55"/>
  <c r="AK146" i="55"/>
  <c r="AJ146" i="55"/>
  <c r="AI146" i="55"/>
  <c r="AH146" i="55"/>
  <c r="AG146" i="55"/>
  <c r="AF146" i="55"/>
  <c r="AE146" i="55"/>
  <c r="AD146" i="55"/>
  <c r="AC146" i="55"/>
  <c r="AB146" i="55"/>
  <c r="AA146" i="55"/>
  <c r="Z146" i="55"/>
  <c r="Y146" i="55"/>
  <c r="X146" i="55"/>
  <c r="W146" i="55"/>
  <c r="V146" i="55"/>
  <c r="AZ145" i="55"/>
  <c r="AY145" i="55"/>
  <c r="AW145" i="55"/>
  <c r="AV145" i="55"/>
  <c r="AU145" i="55"/>
  <c r="AT145" i="55"/>
  <c r="AS145" i="55"/>
  <c r="AR145" i="55"/>
  <c r="AQ145" i="55"/>
  <c r="AP145" i="55"/>
  <c r="AO145" i="55"/>
  <c r="AN145" i="55"/>
  <c r="AM145" i="55"/>
  <c r="AL145" i="55"/>
  <c r="AK145" i="55"/>
  <c r="AJ145" i="55"/>
  <c r="AI145" i="55"/>
  <c r="AH145" i="55"/>
  <c r="AG145" i="55"/>
  <c r="AF145" i="55"/>
  <c r="AE145" i="55"/>
  <c r="AD145" i="55"/>
  <c r="AC145" i="55"/>
  <c r="AB145" i="55"/>
  <c r="AA145" i="55"/>
  <c r="Z145" i="55"/>
  <c r="Y145" i="55"/>
  <c r="X145" i="55"/>
  <c r="W145" i="55"/>
  <c r="V145" i="55"/>
  <c r="AZ144" i="55"/>
  <c r="AY144" i="55"/>
  <c r="AX144" i="55"/>
  <c r="AV144" i="55"/>
  <c r="AU144" i="55"/>
  <c r="AT144" i="55"/>
  <c r="AS144" i="55"/>
  <c r="AR144" i="55"/>
  <c r="AQ144" i="55"/>
  <c r="AP144" i="55"/>
  <c r="AO144" i="55"/>
  <c r="AN144" i="55"/>
  <c r="AM144" i="55"/>
  <c r="AL144" i="55"/>
  <c r="AK144" i="55"/>
  <c r="AJ144" i="55"/>
  <c r="AI144" i="55"/>
  <c r="AH144" i="55"/>
  <c r="AG144" i="55"/>
  <c r="AF144" i="55"/>
  <c r="AE144" i="55"/>
  <c r="AD144" i="55"/>
  <c r="AC144" i="55"/>
  <c r="AB144" i="55"/>
  <c r="AA144" i="55"/>
  <c r="Z144" i="55"/>
  <c r="Y144" i="55"/>
  <c r="X144" i="55"/>
  <c r="W144" i="55"/>
  <c r="V144" i="55"/>
  <c r="AZ143" i="55"/>
  <c r="AY143" i="55"/>
  <c r="AX143" i="55"/>
  <c r="AW143" i="55"/>
  <c r="AU143" i="55"/>
  <c r="AT143" i="55"/>
  <c r="AS143" i="55"/>
  <c r="AR143" i="55"/>
  <c r="AQ143" i="55"/>
  <c r="AP143" i="55"/>
  <c r="AO143" i="55"/>
  <c r="AN143" i="55"/>
  <c r="AM143" i="55"/>
  <c r="AL143" i="55"/>
  <c r="AK143" i="55"/>
  <c r="AJ143" i="55"/>
  <c r="AI143" i="55"/>
  <c r="AH143" i="55"/>
  <c r="AG143" i="55"/>
  <c r="AF143" i="55"/>
  <c r="AE143" i="55"/>
  <c r="AD143" i="55"/>
  <c r="AC143" i="55"/>
  <c r="AB143" i="55"/>
  <c r="AA143" i="55"/>
  <c r="Z143" i="55"/>
  <c r="Y143" i="55"/>
  <c r="X143" i="55"/>
  <c r="W143" i="55"/>
  <c r="V143" i="55"/>
  <c r="AZ142" i="55"/>
  <c r="AY142" i="55"/>
  <c r="AX142" i="55"/>
  <c r="AW142" i="55"/>
  <c r="AV142" i="55"/>
  <c r="AT142" i="55"/>
  <c r="AS142" i="55"/>
  <c r="AR142" i="55"/>
  <c r="AQ142" i="55"/>
  <c r="AP142" i="55"/>
  <c r="AO142" i="55"/>
  <c r="AN142" i="55"/>
  <c r="AM142" i="55"/>
  <c r="AL142" i="55"/>
  <c r="AK142" i="55"/>
  <c r="AJ142" i="55"/>
  <c r="AI142" i="55"/>
  <c r="AH142" i="55"/>
  <c r="AG142" i="55"/>
  <c r="AF142" i="55"/>
  <c r="AE142" i="55"/>
  <c r="AD142" i="55"/>
  <c r="AC142" i="55"/>
  <c r="AB142" i="55"/>
  <c r="AA142" i="55"/>
  <c r="Z142" i="55"/>
  <c r="Y142" i="55"/>
  <c r="X142" i="55"/>
  <c r="W142" i="55"/>
  <c r="V142" i="55"/>
  <c r="AZ141" i="55"/>
  <c r="AY141" i="55"/>
  <c r="AX141" i="55"/>
  <c r="AW141" i="55"/>
  <c r="AV141" i="55"/>
  <c r="AU141" i="55"/>
  <c r="AS141" i="55"/>
  <c r="AR141" i="55"/>
  <c r="AQ141" i="55"/>
  <c r="AP141" i="55"/>
  <c r="AO141" i="55"/>
  <c r="AN141" i="55"/>
  <c r="AM141" i="55"/>
  <c r="AL141" i="55"/>
  <c r="AK141" i="55"/>
  <c r="AJ141" i="55"/>
  <c r="AI141" i="55"/>
  <c r="AH141" i="55"/>
  <c r="AG141" i="55"/>
  <c r="AF141" i="55"/>
  <c r="AE141" i="55"/>
  <c r="AD141" i="55"/>
  <c r="AC141" i="55"/>
  <c r="AB141" i="55"/>
  <c r="AA141" i="55"/>
  <c r="Z141" i="55"/>
  <c r="Y141" i="55"/>
  <c r="X141" i="55"/>
  <c r="W141" i="55"/>
  <c r="V141" i="55"/>
  <c r="AZ140" i="55"/>
  <c r="AY140" i="55"/>
  <c r="AX140" i="55"/>
  <c r="AW140" i="55"/>
  <c r="AV140" i="55"/>
  <c r="AU140" i="55"/>
  <c r="AT140" i="55"/>
  <c r="AR140" i="55"/>
  <c r="AQ140" i="55"/>
  <c r="AP140" i="55"/>
  <c r="AO140" i="55"/>
  <c r="AN140" i="55"/>
  <c r="AM140" i="55"/>
  <c r="AL140" i="55"/>
  <c r="AK140" i="55"/>
  <c r="AJ140" i="55"/>
  <c r="AI140" i="55"/>
  <c r="AH140" i="55"/>
  <c r="AG140" i="55"/>
  <c r="AF140" i="55"/>
  <c r="AE140" i="55"/>
  <c r="AD140" i="55"/>
  <c r="AC140" i="55"/>
  <c r="AB140" i="55"/>
  <c r="AA140" i="55"/>
  <c r="Z140" i="55"/>
  <c r="Y140" i="55"/>
  <c r="X140" i="55"/>
  <c r="W140" i="55"/>
  <c r="V140" i="55"/>
  <c r="AZ139" i="55"/>
  <c r="AY139" i="55"/>
  <c r="AX139" i="55"/>
  <c r="AW139" i="55"/>
  <c r="AV139" i="55"/>
  <c r="AU139" i="55"/>
  <c r="AT139" i="55"/>
  <c r="AS139" i="55"/>
  <c r="AQ139" i="55"/>
  <c r="AP139" i="55"/>
  <c r="AO139" i="55"/>
  <c r="AN139" i="55"/>
  <c r="AM139" i="55"/>
  <c r="AL139" i="55"/>
  <c r="AK139" i="55"/>
  <c r="AJ139" i="55"/>
  <c r="AI139" i="55"/>
  <c r="AH139" i="55"/>
  <c r="AG139" i="55"/>
  <c r="AF139" i="55"/>
  <c r="AE139" i="55"/>
  <c r="AD139" i="55"/>
  <c r="AC139" i="55"/>
  <c r="AB139" i="55"/>
  <c r="AA139" i="55"/>
  <c r="Z139" i="55"/>
  <c r="Y139" i="55"/>
  <c r="X139" i="55"/>
  <c r="W139" i="55"/>
  <c r="V139" i="55"/>
  <c r="AZ138" i="55"/>
  <c r="AY138" i="55"/>
  <c r="AX138" i="55"/>
  <c r="AW138" i="55"/>
  <c r="AV138" i="55"/>
  <c r="AU138" i="55"/>
  <c r="AT138" i="55"/>
  <c r="AS138" i="55"/>
  <c r="AQ138" i="55"/>
  <c r="AP138" i="55"/>
  <c r="AO138" i="55"/>
  <c r="AN138" i="55"/>
  <c r="AM138" i="55"/>
  <c r="AL138" i="55"/>
  <c r="AK138" i="55"/>
  <c r="AJ138" i="55"/>
  <c r="AI138" i="55"/>
  <c r="AH138" i="55"/>
  <c r="AG138" i="55"/>
  <c r="AF138" i="55"/>
  <c r="AE138" i="55"/>
  <c r="AD138" i="55"/>
  <c r="AC138" i="55"/>
  <c r="AB138" i="55"/>
  <c r="AA138" i="55"/>
  <c r="Z138" i="55"/>
  <c r="Y138" i="55"/>
  <c r="X138" i="55"/>
  <c r="W138" i="55"/>
  <c r="V138" i="55"/>
  <c r="AZ137" i="55"/>
  <c r="AY137" i="55"/>
  <c r="AX137" i="55"/>
  <c r="AW137" i="55"/>
  <c r="AV137" i="55"/>
  <c r="AU137" i="55"/>
  <c r="AT137" i="55"/>
  <c r="AS137" i="55"/>
  <c r="AR137" i="55"/>
  <c r="AP137" i="55"/>
  <c r="AO137" i="55"/>
  <c r="AN137" i="55"/>
  <c r="AM137" i="55"/>
  <c r="AL137" i="55"/>
  <c r="AK137" i="55"/>
  <c r="AJ137" i="55"/>
  <c r="AI137" i="55"/>
  <c r="AH137" i="55"/>
  <c r="AG137" i="55"/>
  <c r="AF137" i="55"/>
  <c r="AE137" i="55"/>
  <c r="AD137" i="55"/>
  <c r="AC137" i="55"/>
  <c r="AB137" i="55"/>
  <c r="AA137" i="55"/>
  <c r="Z137" i="55"/>
  <c r="Y137" i="55"/>
  <c r="X137" i="55"/>
  <c r="W137" i="55"/>
  <c r="V137" i="55"/>
  <c r="AZ136" i="55"/>
  <c r="AY136" i="55"/>
  <c r="AX136" i="55"/>
  <c r="AW136" i="55"/>
  <c r="AV136" i="55"/>
  <c r="AU136" i="55"/>
  <c r="AT136" i="55"/>
  <c r="AS136" i="55"/>
  <c r="AR136" i="55"/>
  <c r="AP136" i="55"/>
  <c r="AO136" i="55"/>
  <c r="AN136" i="55"/>
  <c r="AM136" i="55"/>
  <c r="AL136" i="55"/>
  <c r="AK136" i="55"/>
  <c r="AJ136" i="55"/>
  <c r="AI136" i="55"/>
  <c r="AH136" i="55"/>
  <c r="AG136" i="55"/>
  <c r="AF136" i="55"/>
  <c r="AE136" i="55"/>
  <c r="AD136" i="55"/>
  <c r="AC136" i="55"/>
  <c r="AB136" i="55"/>
  <c r="AA136" i="55"/>
  <c r="Z136" i="55"/>
  <c r="Y136" i="55"/>
  <c r="X136" i="55"/>
  <c r="W136" i="55"/>
  <c r="V136" i="55"/>
  <c r="AZ135" i="55"/>
  <c r="AY135" i="55"/>
  <c r="AX135" i="55"/>
  <c r="AW135" i="55"/>
  <c r="AV135" i="55"/>
  <c r="AU135" i="55"/>
  <c r="AT135" i="55"/>
  <c r="AS135" i="55"/>
  <c r="AR135" i="55"/>
  <c r="AP135" i="55"/>
  <c r="AO135" i="55"/>
  <c r="AN135" i="55"/>
  <c r="AM135" i="55"/>
  <c r="AL135" i="55"/>
  <c r="AK135" i="55"/>
  <c r="AJ135" i="55"/>
  <c r="AI135" i="55"/>
  <c r="AH135" i="55"/>
  <c r="AG135" i="55"/>
  <c r="AF135" i="55"/>
  <c r="AE135" i="55"/>
  <c r="AD135" i="55"/>
  <c r="AC135" i="55"/>
  <c r="AB135" i="55"/>
  <c r="AA135" i="55"/>
  <c r="Z135" i="55"/>
  <c r="Y135" i="55"/>
  <c r="X135" i="55"/>
  <c r="W135" i="55"/>
  <c r="V135" i="55"/>
  <c r="AZ134" i="55"/>
  <c r="AY134" i="55"/>
  <c r="AX134" i="55"/>
  <c r="AW134" i="55"/>
  <c r="AV134" i="55"/>
  <c r="AU134" i="55"/>
  <c r="AT134" i="55"/>
  <c r="AS134" i="55"/>
  <c r="AR134" i="55"/>
  <c r="AP134" i="55"/>
  <c r="AO134" i="55"/>
  <c r="AN134" i="55"/>
  <c r="AM134" i="55"/>
  <c r="AL134" i="55"/>
  <c r="AK134" i="55"/>
  <c r="AJ134" i="55"/>
  <c r="AI134" i="55"/>
  <c r="AH134" i="55"/>
  <c r="AG134" i="55"/>
  <c r="AF134" i="55"/>
  <c r="AE134" i="55"/>
  <c r="AD134" i="55"/>
  <c r="AC134" i="55"/>
  <c r="AB134" i="55"/>
  <c r="AA134" i="55"/>
  <c r="Z134" i="55"/>
  <c r="Y134" i="55"/>
  <c r="X134" i="55"/>
  <c r="W134" i="55"/>
  <c r="V134" i="55"/>
  <c r="AZ133" i="55"/>
  <c r="AY133" i="55"/>
  <c r="AX133" i="55"/>
  <c r="AW133" i="55"/>
  <c r="AV133" i="55"/>
  <c r="AU133" i="55"/>
  <c r="AT133" i="55"/>
  <c r="AS133" i="55"/>
  <c r="AR133" i="55"/>
  <c r="AQ133" i="55"/>
  <c r="AO133" i="55"/>
  <c r="AN133" i="55"/>
  <c r="AM133" i="55"/>
  <c r="AL133" i="55"/>
  <c r="AK133" i="55"/>
  <c r="AJ133" i="55"/>
  <c r="AI133" i="55"/>
  <c r="AH133" i="55"/>
  <c r="AG133" i="55"/>
  <c r="AF133" i="55"/>
  <c r="AE133" i="55"/>
  <c r="AD133" i="55"/>
  <c r="AC133" i="55"/>
  <c r="AB133" i="55"/>
  <c r="AA133" i="55"/>
  <c r="Z133" i="55"/>
  <c r="Y133" i="55"/>
  <c r="X133" i="55"/>
  <c r="W133" i="55"/>
  <c r="V133" i="55"/>
  <c r="AZ132" i="55"/>
  <c r="AY132" i="55"/>
  <c r="AX132" i="55"/>
  <c r="AW132" i="55"/>
  <c r="AV132" i="55"/>
  <c r="AU132" i="55"/>
  <c r="AT132" i="55"/>
  <c r="AS132" i="55"/>
  <c r="AR132" i="55"/>
  <c r="AQ132" i="55"/>
  <c r="AP132" i="55"/>
  <c r="AN132" i="55"/>
  <c r="AM132" i="55"/>
  <c r="AL132" i="55"/>
  <c r="AK132" i="55"/>
  <c r="AJ132" i="55"/>
  <c r="AI132" i="55"/>
  <c r="AH132" i="55"/>
  <c r="AG132" i="55"/>
  <c r="AF132" i="55"/>
  <c r="AE132" i="55"/>
  <c r="AD132" i="55"/>
  <c r="AC132" i="55"/>
  <c r="AB132" i="55"/>
  <c r="AA132" i="55"/>
  <c r="Z132" i="55"/>
  <c r="Y132" i="55"/>
  <c r="X132" i="55"/>
  <c r="W132" i="55"/>
  <c r="V132" i="55"/>
  <c r="AZ131" i="55"/>
  <c r="AY131" i="55"/>
  <c r="AX131" i="55"/>
  <c r="AW131" i="55"/>
  <c r="AV131" i="55"/>
  <c r="AU131" i="55"/>
  <c r="AT131" i="55"/>
  <c r="AS131" i="55"/>
  <c r="AR131" i="55"/>
  <c r="AQ131" i="55"/>
  <c r="AP131" i="55"/>
  <c r="AN131" i="55"/>
  <c r="AM131" i="55"/>
  <c r="AL131" i="55"/>
  <c r="AK131" i="55"/>
  <c r="AJ131" i="55"/>
  <c r="AI131" i="55"/>
  <c r="AH131" i="55"/>
  <c r="AG131" i="55"/>
  <c r="AF131" i="55"/>
  <c r="AE131" i="55"/>
  <c r="AD131" i="55"/>
  <c r="AC131" i="55"/>
  <c r="AB131" i="55"/>
  <c r="AA131" i="55"/>
  <c r="Z131" i="55"/>
  <c r="Y131" i="55"/>
  <c r="X131" i="55"/>
  <c r="W131" i="55"/>
  <c r="V131" i="55"/>
  <c r="AZ130" i="55"/>
  <c r="AY130" i="55"/>
  <c r="AX130" i="55"/>
  <c r="AW130" i="55"/>
  <c r="AV130" i="55"/>
  <c r="AU130" i="55"/>
  <c r="AT130" i="55"/>
  <c r="AS130" i="55"/>
  <c r="AR130" i="55"/>
  <c r="AQ130" i="55"/>
  <c r="AP130" i="55"/>
  <c r="AO130" i="55"/>
  <c r="AM130" i="55"/>
  <c r="AL130" i="55"/>
  <c r="AK130" i="55"/>
  <c r="AJ130" i="55"/>
  <c r="AI130" i="55"/>
  <c r="AH130" i="55"/>
  <c r="AG130" i="55"/>
  <c r="AF130" i="55"/>
  <c r="AE130" i="55"/>
  <c r="AD130" i="55"/>
  <c r="AC130" i="55"/>
  <c r="AB130" i="55"/>
  <c r="AA130" i="55"/>
  <c r="Z130" i="55"/>
  <c r="Y130" i="55"/>
  <c r="X130" i="55"/>
  <c r="W130" i="55"/>
  <c r="V130" i="55"/>
  <c r="AZ129" i="55"/>
  <c r="AY129" i="55"/>
  <c r="AX129" i="55"/>
  <c r="AW129" i="55"/>
  <c r="AV129" i="55"/>
  <c r="AU129" i="55"/>
  <c r="AT129" i="55"/>
  <c r="AS129" i="55"/>
  <c r="AR129" i="55"/>
  <c r="AQ129" i="55"/>
  <c r="AP129" i="55"/>
  <c r="AO129" i="55"/>
  <c r="AM129" i="55"/>
  <c r="AL129" i="55"/>
  <c r="AK129" i="55"/>
  <c r="AJ129" i="55"/>
  <c r="AI129" i="55"/>
  <c r="AH129" i="55"/>
  <c r="AG129" i="55"/>
  <c r="AF129" i="55"/>
  <c r="AE129" i="55"/>
  <c r="AD129" i="55"/>
  <c r="AC129" i="55"/>
  <c r="AB129" i="55"/>
  <c r="AA129" i="55"/>
  <c r="Z129" i="55"/>
  <c r="Y129" i="55"/>
  <c r="X129" i="55"/>
  <c r="W129" i="55"/>
  <c r="V129" i="55"/>
  <c r="AZ128" i="55"/>
  <c r="AY128" i="55"/>
  <c r="AX128" i="55"/>
  <c r="AW128" i="55"/>
  <c r="AV128" i="55"/>
  <c r="AU128" i="55"/>
  <c r="AT128" i="55"/>
  <c r="AS128" i="55"/>
  <c r="AR128" i="55"/>
  <c r="AQ128" i="55"/>
  <c r="AP128" i="55"/>
  <c r="AO128" i="55"/>
  <c r="AN128" i="55"/>
  <c r="AL128" i="55"/>
  <c r="AK128" i="55"/>
  <c r="AJ128" i="55"/>
  <c r="AI128" i="55"/>
  <c r="AH128" i="55"/>
  <c r="AG128" i="55"/>
  <c r="AF128" i="55"/>
  <c r="AE128" i="55"/>
  <c r="AD128" i="55"/>
  <c r="AC128" i="55"/>
  <c r="AB128" i="55"/>
  <c r="AA128" i="55"/>
  <c r="Z128" i="55"/>
  <c r="Y128" i="55"/>
  <c r="X128" i="55"/>
  <c r="W128" i="55"/>
  <c r="V128" i="55"/>
  <c r="AZ127" i="55"/>
  <c r="AY127" i="55"/>
  <c r="AX127" i="55"/>
  <c r="AW127" i="55"/>
  <c r="AV127" i="55"/>
  <c r="AU127" i="55"/>
  <c r="AT127" i="55"/>
  <c r="AS127" i="55"/>
  <c r="AR127" i="55"/>
  <c r="AQ127" i="55"/>
  <c r="AP127" i="55"/>
  <c r="AO127" i="55"/>
  <c r="AN127" i="55"/>
  <c r="AL127" i="55"/>
  <c r="AK127" i="55"/>
  <c r="AJ127" i="55"/>
  <c r="AI127" i="55"/>
  <c r="AH127" i="55"/>
  <c r="AG127" i="55"/>
  <c r="AF127" i="55"/>
  <c r="AE127" i="55"/>
  <c r="AD127" i="55"/>
  <c r="AC127" i="55"/>
  <c r="AB127" i="55"/>
  <c r="AA127" i="55"/>
  <c r="Z127" i="55"/>
  <c r="Y127" i="55"/>
  <c r="X127" i="55"/>
  <c r="W127" i="55"/>
  <c r="V127" i="55"/>
  <c r="AZ126" i="55"/>
  <c r="AY126" i="55"/>
  <c r="AX126" i="55"/>
  <c r="AW126" i="55"/>
  <c r="AV126" i="55"/>
  <c r="AU126" i="55"/>
  <c r="AT126" i="55"/>
  <c r="AS126" i="55"/>
  <c r="AR126" i="55"/>
  <c r="AQ126" i="55"/>
  <c r="AP126" i="55"/>
  <c r="AO126" i="55"/>
  <c r="AN126" i="55"/>
  <c r="AM126" i="55"/>
  <c r="AK126" i="55"/>
  <c r="AJ126" i="55"/>
  <c r="AI126" i="55"/>
  <c r="AH126" i="55"/>
  <c r="AG126" i="55"/>
  <c r="AF126" i="55"/>
  <c r="AE126" i="55"/>
  <c r="AD126" i="55"/>
  <c r="AC126" i="55"/>
  <c r="AB126" i="55"/>
  <c r="AA126" i="55"/>
  <c r="Z126" i="55"/>
  <c r="Y126" i="55"/>
  <c r="X126" i="55"/>
  <c r="W126" i="55"/>
  <c r="V126" i="55"/>
  <c r="AZ125" i="55"/>
  <c r="AY125" i="55"/>
  <c r="AX125" i="55"/>
  <c r="AW125" i="55"/>
  <c r="AV125" i="55"/>
  <c r="AU125" i="55"/>
  <c r="AT125" i="55"/>
  <c r="AS125" i="55"/>
  <c r="AR125" i="55"/>
  <c r="AQ125" i="55"/>
  <c r="AP125" i="55"/>
  <c r="AO125" i="55"/>
  <c r="AN125" i="55"/>
  <c r="AM125" i="55"/>
  <c r="AL125" i="55"/>
  <c r="AJ125" i="55"/>
  <c r="AI125" i="55"/>
  <c r="AH125" i="55"/>
  <c r="AG125" i="55"/>
  <c r="AF125" i="55"/>
  <c r="AE125" i="55"/>
  <c r="AD125" i="55"/>
  <c r="AC125" i="55"/>
  <c r="AB125" i="55"/>
  <c r="AA125" i="55"/>
  <c r="Z125" i="55"/>
  <c r="Y125" i="55"/>
  <c r="X125" i="55"/>
  <c r="W125" i="55"/>
  <c r="V125" i="55"/>
  <c r="AZ124" i="55"/>
  <c r="AY124" i="55"/>
  <c r="AX124" i="55"/>
  <c r="AW124" i="55"/>
  <c r="AV124" i="55"/>
  <c r="AU124" i="55"/>
  <c r="AT124" i="55"/>
  <c r="AS124" i="55"/>
  <c r="AR124" i="55"/>
  <c r="AQ124" i="55"/>
  <c r="AP124" i="55"/>
  <c r="AO124" i="55"/>
  <c r="AN124" i="55"/>
  <c r="AM124" i="55"/>
  <c r="AL124" i="55"/>
  <c r="AK124" i="55"/>
  <c r="AI124" i="55"/>
  <c r="AH124" i="55"/>
  <c r="AG124" i="55"/>
  <c r="AF124" i="55"/>
  <c r="AE124" i="55"/>
  <c r="AD124" i="55"/>
  <c r="AC124" i="55"/>
  <c r="AB124" i="55"/>
  <c r="AA124" i="55"/>
  <c r="Z124" i="55"/>
  <c r="Y124" i="55"/>
  <c r="X124" i="55"/>
  <c r="W124" i="55"/>
  <c r="V124" i="55"/>
  <c r="AZ123" i="55"/>
  <c r="AY123" i="55"/>
  <c r="AX123" i="55"/>
  <c r="AW123" i="55"/>
  <c r="AV123" i="55"/>
  <c r="AU123" i="55"/>
  <c r="AT123" i="55"/>
  <c r="AS123" i="55"/>
  <c r="AR123" i="55"/>
  <c r="AQ123" i="55"/>
  <c r="AP123" i="55"/>
  <c r="AO123" i="55"/>
  <c r="AN123" i="55"/>
  <c r="AM123" i="55"/>
  <c r="AL123" i="55"/>
  <c r="AK123" i="55"/>
  <c r="AI123" i="55"/>
  <c r="AH123" i="55"/>
  <c r="AG123" i="55"/>
  <c r="AF123" i="55"/>
  <c r="AE123" i="55"/>
  <c r="AD123" i="55"/>
  <c r="AC123" i="55"/>
  <c r="AB123" i="55"/>
  <c r="AA123" i="55"/>
  <c r="Z123" i="55"/>
  <c r="Y123" i="55"/>
  <c r="X123" i="55"/>
  <c r="W123" i="55"/>
  <c r="V123" i="55"/>
  <c r="AZ122" i="55"/>
  <c r="AY122" i="55"/>
  <c r="AX122" i="55"/>
  <c r="AW122" i="55"/>
  <c r="AV122" i="55"/>
  <c r="AU122" i="55"/>
  <c r="AT122" i="55"/>
  <c r="AS122" i="55"/>
  <c r="AR122" i="55"/>
  <c r="AQ122" i="55"/>
  <c r="AP122" i="55"/>
  <c r="AO122" i="55"/>
  <c r="AN122" i="55"/>
  <c r="AM122" i="55"/>
  <c r="AL122" i="55"/>
  <c r="AK122" i="55"/>
  <c r="AI122" i="55"/>
  <c r="AH122" i="55"/>
  <c r="AG122" i="55"/>
  <c r="AF122" i="55"/>
  <c r="AE122" i="55"/>
  <c r="AD122" i="55"/>
  <c r="AC122" i="55"/>
  <c r="AB122" i="55"/>
  <c r="AA122" i="55"/>
  <c r="Z122" i="55"/>
  <c r="Y122" i="55"/>
  <c r="X122" i="55"/>
  <c r="W122" i="55"/>
  <c r="V122" i="55"/>
  <c r="AZ121" i="55"/>
  <c r="AY121" i="55"/>
  <c r="AX121" i="55"/>
  <c r="AW121" i="55"/>
  <c r="AV121" i="55"/>
  <c r="AU121" i="55"/>
  <c r="AT121" i="55"/>
  <c r="AS121" i="55"/>
  <c r="AR121" i="55"/>
  <c r="AQ121" i="55"/>
  <c r="AP121" i="55"/>
  <c r="AO121" i="55"/>
  <c r="AN121" i="55"/>
  <c r="AM121" i="55"/>
  <c r="AL121" i="55"/>
  <c r="AK121" i="55"/>
  <c r="AJ121" i="55"/>
  <c r="AH121" i="55"/>
  <c r="AG121" i="55"/>
  <c r="AF121" i="55"/>
  <c r="AE121" i="55"/>
  <c r="AD121" i="55"/>
  <c r="AC121" i="55"/>
  <c r="AB121" i="55"/>
  <c r="AA121" i="55"/>
  <c r="Z121" i="55"/>
  <c r="Y121" i="55"/>
  <c r="X121" i="55"/>
  <c r="W121" i="55"/>
  <c r="V121" i="55"/>
  <c r="AZ120" i="55"/>
  <c r="AY120" i="55"/>
  <c r="AX120" i="55"/>
  <c r="AW120" i="55"/>
  <c r="AV120" i="55"/>
  <c r="AU120" i="55"/>
  <c r="AT120" i="55"/>
  <c r="AS120" i="55"/>
  <c r="AR120" i="55"/>
  <c r="AQ120" i="55"/>
  <c r="AP120" i="55"/>
  <c r="AO120" i="55"/>
  <c r="AN120" i="55"/>
  <c r="AM120" i="55"/>
  <c r="AL120" i="55"/>
  <c r="AK120" i="55"/>
  <c r="AJ120" i="55"/>
  <c r="AH120" i="55"/>
  <c r="AG120" i="55"/>
  <c r="AF120" i="55"/>
  <c r="AE120" i="55"/>
  <c r="AD120" i="55"/>
  <c r="AC120" i="55"/>
  <c r="AB120" i="55"/>
  <c r="AA120" i="55"/>
  <c r="Z120" i="55"/>
  <c r="Y120" i="55"/>
  <c r="X120" i="55"/>
  <c r="W120" i="55"/>
  <c r="V120" i="55"/>
  <c r="AZ119" i="55"/>
  <c r="AY119" i="55"/>
  <c r="AX119" i="55"/>
  <c r="AW119" i="55"/>
  <c r="AV119" i="55"/>
  <c r="AU119" i="55"/>
  <c r="AT119" i="55"/>
  <c r="AS119" i="55"/>
  <c r="AR119" i="55"/>
  <c r="AQ119" i="55"/>
  <c r="AP119" i="55"/>
  <c r="AO119" i="55"/>
  <c r="AN119" i="55"/>
  <c r="AM119" i="55"/>
  <c r="AL119" i="55"/>
  <c r="AK119" i="55"/>
  <c r="AJ119" i="55"/>
  <c r="AI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AZ118" i="55"/>
  <c r="AY118" i="55"/>
  <c r="AX118" i="55"/>
  <c r="AW118" i="55"/>
  <c r="AV118" i="55"/>
  <c r="AU118" i="55"/>
  <c r="AT118" i="55"/>
  <c r="AS118" i="55"/>
  <c r="AR118" i="55"/>
  <c r="AQ118" i="55"/>
  <c r="AP118" i="55"/>
  <c r="AO118" i="55"/>
  <c r="AN118" i="55"/>
  <c r="AM118" i="55"/>
  <c r="AL118" i="55"/>
  <c r="AK118" i="55"/>
  <c r="AJ118" i="55"/>
  <c r="AI118" i="55"/>
  <c r="AG118" i="55"/>
  <c r="AF118" i="55"/>
  <c r="AE118" i="55"/>
  <c r="AD118" i="55"/>
  <c r="AC118" i="55"/>
  <c r="AB118" i="55"/>
  <c r="AA118" i="55"/>
  <c r="Z118" i="55"/>
  <c r="Y118" i="55"/>
  <c r="X118" i="55"/>
  <c r="W118" i="55"/>
  <c r="V118" i="55"/>
  <c r="AZ117" i="55"/>
  <c r="AY117" i="55"/>
  <c r="AX117" i="55"/>
  <c r="AW117" i="55"/>
  <c r="AV117" i="55"/>
  <c r="AU117" i="55"/>
  <c r="AT117" i="55"/>
  <c r="AS117" i="55"/>
  <c r="AR117" i="55"/>
  <c r="AQ117" i="55"/>
  <c r="AP117" i="55"/>
  <c r="AO117" i="55"/>
  <c r="AN117" i="55"/>
  <c r="AM117" i="55"/>
  <c r="AL117" i="55"/>
  <c r="AK117" i="55"/>
  <c r="AJ117" i="55"/>
  <c r="AI117" i="55"/>
  <c r="AG117" i="55"/>
  <c r="AF117" i="55"/>
  <c r="AE117" i="55"/>
  <c r="AD117" i="55"/>
  <c r="AC117" i="55"/>
  <c r="AB117" i="55"/>
  <c r="AA117" i="55"/>
  <c r="Z117" i="55"/>
  <c r="Y117" i="55"/>
  <c r="X117" i="55"/>
  <c r="W117" i="55"/>
  <c r="V117" i="55"/>
  <c r="AZ116" i="55"/>
  <c r="AY116" i="55"/>
  <c r="AX116" i="55"/>
  <c r="AW116" i="55"/>
  <c r="AV116" i="55"/>
  <c r="AU116" i="55"/>
  <c r="AT116" i="55"/>
  <c r="AS116" i="55"/>
  <c r="AR116" i="55"/>
  <c r="AQ116" i="55"/>
  <c r="AP116" i="55"/>
  <c r="AO116" i="55"/>
  <c r="AN116" i="55"/>
  <c r="AM116" i="55"/>
  <c r="AL116" i="55"/>
  <c r="AK116" i="55"/>
  <c r="AJ116" i="55"/>
  <c r="AI116" i="55"/>
  <c r="AH116" i="55"/>
  <c r="AF116" i="55"/>
  <c r="AE116" i="55"/>
  <c r="AD116" i="55"/>
  <c r="AC116" i="55"/>
  <c r="AB116" i="55"/>
  <c r="AA116" i="55"/>
  <c r="Z116" i="55"/>
  <c r="Y116" i="55"/>
  <c r="X116" i="55"/>
  <c r="W116" i="55"/>
  <c r="V116" i="55"/>
  <c r="AZ115" i="55"/>
  <c r="AY115" i="55"/>
  <c r="AX115" i="55"/>
  <c r="AW115" i="55"/>
  <c r="AV115" i="55"/>
  <c r="AU115" i="55"/>
  <c r="AT115" i="55"/>
  <c r="AS115" i="55"/>
  <c r="AR115" i="55"/>
  <c r="AQ115" i="55"/>
  <c r="AP115" i="55"/>
  <c r="AO115" i="55"/>
  <c r="AN115" i="55"/>
  <c r="AM115" i="55"/>
  <c r="AL115" i="55"/>
  <c r="AK115" i="55"/>
  <c r="AJ115" i="55"/>
  <c r="AI115" i="55"/>
  <c r="AH115" i="55"/>
  <c r="AF115" i="55"/>
  <c r="AE115" i="55"/>
  <c r="AD115" i="55"/>
  <c r="AC115" i="55"/>
  <c r="AB115" i="55"/>
  <c r="AA115" i="55"/>
  <c r="Z115" i="55"/>
  <c r="Y115" i="55"/>
  <c r="X115" i="55"/>
  <c r="W115" i="55"/>
  <c r="V115" i="55"/>
  <c r="AZ114" i="55"/>
  <c r="AY114" i="55"/>
  <c r="AX114" i="55"/>
  <c r="AW114" i="55"/>
  <c r="AV114" i="55"/>
  <c r="AU114" i="55"/>
  <c r="AT114" i="55"/>
  <c r="AS114" i="55"/>
  <c r="AR114" i="55"/>
  <c r="AQ114" i="55"/>
  <c r="AP114" i="55"/>
  <c r="AO114" i="55"/>
  <c r="AN114" i="55"/>
  <c r="AM114" i="55"/>
  <c r="AL114" i="55"/>
  <c r="AK114" i="55"/>
  <c r="AJ114" i="55"/>
  <c r="AI114" i="55"/>
  <c r="AH114" i="55"/>
  <c r="AF114" i="55"/>
  <c r="AE114" i="55"/>
  <c r="AD114" i="55"/>
  <c r="AC114" i="55"/>
  <c r="AB114" i="55"/>
  <c r="AA114" i="55"/>
  <c r="Z114" i="55"/>
  <c r="Y114" i="55"/>
  <c r="X114" i="55"/>
  <c r="W114" i="55"/>
  <c r="V114" i="55"/>
  <c r="AZ113" i="55"/>
  <c r="AY113" i="55"/>
  <c r="AX113" i="55"/>
  <c r="AW113" i="55"/>
  <c r="AV113" i="55"/>
  <c r="AU113" i="55"/>
  <c r="AT113" i="55"/>
  <c r="AS113" i="55"/>
  <c r="AR113" i="55"/>
  <c r="AQ113" i="55"/>
  <c r="AP113" i="55"/>
  <c r="AO113" i="55"/>
  <c r="AN113" i="55"/>
  <c r="AM113" i="55"/>
  <c r="AL113" i="55"/>
  <c r="AK113" i="55"/>
  <c r="AJ113" i="55"/>
  <c r="AI113" i="55"/>
  <c r="AH113" i="55"/>
  <c r="AF113" i="55"/>
  <c r="AE113" i="55"/>
  <c r="AD113" i="55"/>
  <c r="AC113" i="55"/>
  <c r="AB113" i="55"/>
  <c r="AA113" i="55"/>
  <c r="Z113" i="55"/>
  <c r="Y113" i="55"/>
  <c r="X113" i="55"/>
  <c r="W113" i="55"/>
  <c r="V113" i="55"/>
  <c r="AZ112" i="55"/>
  <c r="AY112" i="55"/>
  <c r="AX112" i="55"/>
  <c r="AW112" i="55"/>
  <c r="AV112" i="55"/>
  <c r="AU112" i="55"/>
  <c r="AT112" i="55"/>
  <c r="AS112" i="55"/>
  <c r="AR112" i="55"/>
  <c r="AQ112" i="55"/>
  <c r="AP112" i="55"/>
  <c r="AO112" i="55"/>
  <c r="AN112" i="55"/>
  <c r="AM112" i="55"/>
  <c r="AL112" i="55"/>
  <c r="AK112" i="55"/>
  <c r="AJ112" i="55"/>
  <c r="AI112" i="55"/>
  <c r="AH112" i="55"/>
  <c r="AF112" i="55"/>
  <c r="AE112" i="55"/>
  <c r="AD112" i="55"/>
  <c r="AC112" i="55"/>
  <c r="AB112" i="55"/>
  <c r="AA112" i="55"/>
  <c r="Z112" i="55"/>
  <c r="Y112" i="55"/>
  <c r="X112" i="55"/>
  <c r="W112" i="55"/>
  <c r="V112" i="55"/>
  <c r="AZ111" i="55"/>
  <c r="AY111" i="55"/>
  <c r="AX111" i="55"/>
  <c r="AW111" i="55"/>
  <c r="AV111" i="55"/>
  <c r="AU111" i="55"/>
  <c r="AT111" i="55"/>
  <c r="AS111" i="55"/>
  <c r="AR111" i="55"/>
  <c r="AQ111" i="55"/>
  <c r="AP111" i="55"/>
  <c r="AO111" i="55"/>
  <c r="AN111" i="55"/>
  <c r="AM111" i="55"/>
  <c r="AL111" i="55"/>
  <c r="AK111" i="55"/>
  <c r="AJ111" i="55"/>
  <c r="AI111" i="55"/>
  <c r="AH111" i="55"/>
  <c r="AG111" i="55"/>
  <c r="AE111" i="55"/>
  <c r="AD111" i="55"/>
  <c r="AC111" i="55"/>
  <c r="AB111" i="55"/>
  <c r="AA111" i="55"/>
  <c r="Z111" i="55"/>
  <c r="Y111" i="55"/>
  <c r="X111" i="55"/>
  <c r="W111" i="55"/>
  <c r="V111" i="55"/>
  <c r="AZ110" i="55"/>
  <c r="AY110" i="55"/>
  <c r="AX110" i="55"/>
  <c r="AW110" i="55"/>
  <c r="AV110" i="55"/>
  <c r="AU110" i="55"/>
  <c r="AT110" i="55"/>
  <c r="AS110" i="55"/>
  <c r="AR110" i="55"/>
  <c r="AQ110" i="55"/>
  <c r="AP110" i="55"/>
  <c r="AO110" i="55"/>
  <c r="AN110" i="55"/>
  <c r="AM110" i="55"/>
  <c r="AL110" i="55"/>
  <c r="AK110" i="55"/>
  <c r="AJ110" i="55"/>
  <c r="AI110" i="55"/>
  <c r="AH110" i="55"/>
  <c r="AG110" i="55"/>
  <c r="AF110" i="55"/>
  <c r="AD110" i="55"/>
  <c r="AC110" i="55"/>
  <c r="AB110" i="55"/>
  <c r="AA110" i="55"/>
  <c r="Z110" i="55"/>
  <c r="Y110" i="55"/>
  <c r="X110" i="55"/>
  <c r="W110" i="55"/>
  <c r="V110" i="55"/>
  <c r="AZ109" i="55"/>
  <c r="AY109" i="55"/>
  <c r="AX109" i="55"/>
  <c r="AW109" i="55"/>
  <c r="AV109" i="55"/>
  <c r="AU109" i="55"/>
  <c r="AT109" i="55"/>
  <c r="AS109" i="55"/>
  <c r="AR109" i="55"/>
  <c r="AQ109" i="55"/>
  <c r="AP109" i="55"/>
  <c r="AO109" i="55"/>
  <c r="AN109" i="55"/>
  <c r="AM109" i="55"/>
  <c r="AL109" i="55"/>
  <c r="AK109" i="55"/>
  <c r="AJ109" i="55"/>
  <c r="AI109" i="55"/>
  <c r="AH109" i="55"/>
  <c r="AG109" i="55"/>
  <c r="AF109" i="55"/>
  <c r="AD109" i="55"/>
  <c r="AC109" i="55"/>
  <c r="AB109" i="55"/>
  <c r="AA109" i="55"/>
  <c r="Z109" i="55"/>
  <c r="Y109" i="55"/>
  <c r="X109" i="55"/>
  <c r="W109" i="55"/>
  <c r="V109" i="55"/>
  <c r="AZ108" i="55"/>
  <c r="AY108" i="55"/>
  <c r="AX108" i="55"/>
  <c r="AW108" i="55"/>
  <c r="AV108" i="55"/>
  <c r="AU108" i="55"/>
  <c r="AT108" i="55"/>
  <c r="AS108" i="55"/>
  <c r="AR108" i="55"/>
  <c r="AQ108" i="55"/>
  <c r="AP108" i="55"/>
  <c r="AO108" i="55"/>
  <c r="AN108" i="55"/>
  <c r="AM108" i="55"/>
  <c r="AL108" i="55"/>
  <c r="AK108" i="55"/>
  <c r="AJ108" i="55"/>
  <c r="AI108" i="55"/>
  <c r="AH108" i="55"/>
  <c r="AG108" i="55"/>
  <c r="AF108" i="55"/>
  <c r="AE108" i="55"/>
  <c r="AC108" i="55"/>
  <c r="AB108" i="55"/>
  <c r="AA108" i="55"/>
  <c r="Z108" i="55"/>
  <c r="Y108" i="55"/>
  <c r="X108" i="55"/>
  <c r="W108" i="55"/>
  <c r="V108" i="55"/>
  <c r="AZ107" i="55"/>
  <c r="AY107" i="55"/>
  <c r="AX107" i="55"/>
  <c r="AW107" i="55"/>
  <c r="AV107" i="55"/>
  <c r="AU107" i="55"/>
  <c r="AT107" i="55"/>
  <c r="AS107" i="55"/>
  <c r="AR107" i="55"/>
  <c r="AQ107" i="55"/>
  <c r="AP107" i="55"/>
  <c r="AO107" i="55"/>
  <c r="AN107" i="55"/>
  <c r="AM107" i="55"/>
  <c r="AL107" i="55"/>
  <c r="AK107" i="55"/>
  <c r="AJ107" i="55"/>
  <c r="AI107" i="55"/>
  <c r="AH107" i="55"/>
  <c r="AG107" i="55"/>
  <c r="AF107" i="55"/>
  <c r="AE107" i="55"/>
  <c r="AD107" i="55"/>
  <c r="AB107" i="55"/>
  <c r="AA107" i="55"/>
  <c r="Z107" i="55"/>
  <c r="Y107" i="55"/>
  <c r="X107" i="55"/>
  <c r="W107" i="55"/>
  <c r="V107" i="55"/>
  <c r="AZ106" i="55"/>
  <c r="AY106" i="55"/>
  <c r="AX106" i="55"/>
  <c r="AW106" i="55"/>
  <c r="AV106" i="55"/>
  <c r="AU106" i="55"/>
  <c r="AT106" i="55"/>
  <c r="AS106" i="55"/>
  <c r="AR106" i="55"/>
  <c r="AQ106" i="55"/>
  <c r="AP106" i="55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B106" i="55"/>
  <c r="AA106" i="55"/>
  <c r="Z106" i="55"/>
  <c r="Y106" i="55"/>
  <c r="X106" i="55"/>
  <c r="W106" i="55"/>
  <c r="V106" i="55"/>
  <c r="AZ105" i="55"/>
  <c r="AY105" i="55"/>
  <c r="AX105" i="55"/>
  <c r="AW105" i="55"/>
  <c r="AV105" i="55"/>
  <c r="AU105" i="55"/>
  <c r="AT105" i="55"/>
  <c r="AS105" i="55"/>
  <c r="AR105" i="55"/>
  <c r="AQ105" i="55"/>
  <c r="AP105" i="55"/>
  <c r="AO105" i="55"/>
  <c r="AN105" i="55"/>
  <c r="AM105" i="55"/>
  <c r="AL105" i="55"/>
  <c r="AK105" i="55"/>
  <c r="AJ105" i="55"/>
  <c r="AI105" i="55"/>
  <c r="AH105" i="55"/>
  <c r="AG105" i="55"/>
  <c r="AF105" i="55"/>
  <c r="AE105" i="55"/>
  <c r="AD105" i="55"/>
  <c r="AB105" i="55"/>
  <c r="AA105" i="55"/>
  <c r="Z105" i="55"/>
  <c r="Y105" i="55"/>
  <c r="X105" i="55"/>
  <c r="W105" i="55"/>
  <c r="V105" i="55"/>
  <c r="AZ104" i="55"/>
  <c r="AY104" i="55"/>
  <c r="AX104" i="55"/>
  <c r="AW104" i="55"/>
  <c r="AV104" i="55"/>
  <c r="AU104" i="55"/>
  <c r="AT104" i="55"/>
  <c r="AS104" i="55"/>
  <c r="AR104" i="55"/>
  <c r="AQ104" i="55"/>
  <c r="AP104" i="55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B104" i="55"/>
  <c r="AA104" i="55"/>
  <c r="Z104" i="55"/>
  <c r="Y104" i="55"/>
  <c r="X104" i="55"/>
  <c r="W104" i="55"/>
  <c r="V104" i="55"/>
  <c r="AZ103" i="55"/>
  <c r="AY103" i="55"/>
  <c r="AX103" i="55"/>
  <c r="AW103" i="55"/>
  <c r="AV103" i="55"/>
  <c r="AU103" i="55"/>
  <c r="AT103" i="55"/>
  <c r="AS103" i="55"/>
  <c r="AR103" i="55"/>
  <c r="AQ103" i="55"/>
  <c r="AP103" i="55"/>
  <c r="AO103" i="55"/>
  <c r="AN103" i="55"/>
  <c r="AM103" i="55"/>
  <c r="AL103" i="55"/>
  <c r="AK103" i="55"/>
  <c r="AJ103" i="55"/>
  <c r="AI103" i="55"/>
  <c r="AH103" i="55"/>
  <c r="AG103" i="55"/>
  <c r="AF103" i="55"/>
  <c r="AE103" i="55"/>
  <c r="AD103" i="55"/>
  <c r="AC103" i="55"/>
  <c r="AA103" i="55"/>
  <c r="Z103" i="55"/>
  <c r="Y103" i="55"/>
  <c r="X103" i="55"/>
  <c r="W103" i="55"/>
  <c r="V103" i="55"/>
  <c r="AZ102" i="55"/>
  <c r="AY102" i="55"/>
  <c r="AX102" i="55"/>
  <c r="AW102" i="55"/>
  <c r="AV102" i="55"/>
  <c r="AU102" i="55"/>
  <c r="AT102" i="55"/>
  <c r="AS102" i="55"/>
  <c r="AR102" i="55"/>
  <c r="AQ102" i="55"/>
  <c r="AP102" i="55"/>
  <c r="AO102" i="55"/>
  <c r="AN102" i="55"/>
  <c r="AM102" i="55"/>
  <c r="AL102" i="55"/>
  <c r="AK102" i="55"/>
  <c r="AJ102" i="55"/>
  <c r="AI102" i="55"/>
  <c r="AH102" i="55"/>
  <c r="AG102" i="55"/>
  <c r="AF102" i="55"/>
  <c r="AE102" i="55"/>
  <c r="AD102" i="55"/>
  <c r="AC102" i="55"/>
  <c r="AA102" i="55"/>
  <c r="Z102" i="55"/>
  <c r="Y102" i="55"/>
  <c r="X102" i="55"/>
  <c r="W102" i="55"/>
  <c r="V102" i="55"/>
  <c r="AZ101" i="55"/>
  <c r="AY101" i="55"/>
  <c r="AX101" i="55"/>
  <c r="AW101" i="55"/>
  <c r="AV101" i="55"/>
  <c r="AU101" i="55"/>
  <c r="AT101" i="55"/>
  <c r="AS101" i="55"/>
  <c r="AR101" i="55"/>
  <c r="AQ101" i="55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A101" i="55"/>
  <c r="Z101" i="55"/>
  <c r="Y101" i="55"/>
  <c r="X101" i="55"/>
  <c r="W101" i="55"/>
  <c r="V101" i="55"/>
  <c r="AZ100" i="55"/>
  <c r="AY100" i="55"/>
  <c r="AX100" i="55"/>
  <c r="AW100" i="55"/>
  <c r="AV100" i="55"/>
  <c r="AU100" i="55"/>
  <c r="AT100" i="55"/>
  <c r="AS100" i="55"/>
  <c r="AR100" i="55"/>
  <c r="AQ100" i="55"/>
  <c r="AP100" i="55"/>
  <c r="AO100" i="55"/>
  <c r="AN100" i="55"/>
  <c r="AM100" i="55"/>
  <c r="AL100" i="55"/>
  <c r="AK100" i="55"/>
  <c r="AJ100" i="55"/>
  <c r="AI100" i="55"/>
  <c r="AH100" i="55"/>
  <c r="AG100" i="55"/>
  <c r="AF100" i="55"/>
  <c r="AE100" i="55"/>
  <c r="AD100" i="55"/>
  <c r="AC100" i="55"/>
  <c r="AB100" i="55"/>
  <c r="Z100" i="55"/>
  <c r="Y100" i="55"/>
  <c r="X100" i="55"/>
  <c r="W100" i="55"/>
  <c r="V100" i="55"/>
  <c r="AZ99" i="55"/>
  <c r="AY99" i="55"/>
  <c r="AX99" i="55"/>
  <c r="AW99" i="55"/>
  <c r="AV99" i="55"/>
  <c r="AU99" i="55"/>
  <c r="AT99" i="55"/>
  <c r="AS99" i="55"/>
  <c r="AR99" i="55"/>
  <c r="AQ99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Y99" i="55"/>
  <c r="X99" i="55"/>
  <c r="W99" i="55"/>
  <c r="V99" i="55"/>
  <c r="AZ98" i="55"/>
  <c r="AY98" i="55"/>
  <c r="AX98" i="55"/>
  <c r="AW98" i="55"/>
  <c r="AV98" i="55"/>
  <c r="AU98" i="55"/>
  <c r="AT98" i="55"/>
  <c r="AS98" i="55"/>
  <c r="AR98" i="55"/>
  <c r="AQ98" i="55"/>
  <c r="AP98" i="55"/>
  <c r="AO98" i="55"/>
  <c r="AN98" i="55"/>
  <c r="AM98" i="55"/>
  <c r="AL98" i="55"/>
  <c r="AK98" i="55"/>
  <c r="AJ98" i="55"/>
  <c r="AI98" i="55"/>
  <c r="AH98" i="55"/>
  <c r="AG98" i="55"/>
  <c r="AF98" i="55"/>
  <c r="AE98" i="55"/>
  <c r="AD98" i="55"/>
  <c r="AC98" i="55"/>
  <c r="AB98" i="55"/>
  <c r="AA98" i="55"/>
  <c r="Z98" i="55"/>
  <c r="X98" i="55"/>
  <c r="W98" i="55"/>
  <c r="V98" i="55"/>
  <c r="AZ97" i="55"/>
  <c r="AY97" i="55"/>
  <c r="AX97" i="55"/>
  <c r="AW97" i="55"/>
  <c r="AV97" i="55"/>
  <c r="AU97" i="55"/>
  <c r="AT97" i="55"/>
  <c r="AS97" i="55"/>
  <c r="AR97" i="55"/>
  <c r="AQ97" i="55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W97" i="55"/>
  <c r="V97" i="55"/>
  <c r="AZ96" i="55"/>
  <c r="AY96" i="55"/>
  <c r="AX96" i="55"/>
  <c r="AW96" i="55"/>
  <c r="AV96" i="55"/>
  <c r="AU96" i="55"/>
  <c r="AT96" i="55"/>
  <c r="AS96" i="55"/>
  <c r="AR96" i="55"/>
  <c r="AQ96" i="55"/>
  <c r="AP96" i="55"/>
  <c r="AO96" i="55"/>
  <c r="AN96" i="55"/>
  <c r="AM96" i="55"/>
  <c r="AL96" i="55"/>
  <c r="AK96" i="55"/>
  <c r="AJ96" i="55"/>
  <c r="AI96" i="55"/>
  <c r="AH96" i="55"/>
  <c r="AG96" i="55"/>
  <c r="AF96" i="55"/>
  <c r="AE96" i="55"/>
  <c r="AD96" i="55"/>
  <c r="AC96" i="55"/>
  <c r="AB96" i="55"/>
  <c r="AA96" i="55"/>
  <c r="Z96" i="55"/>
  <c r="Y96" i="55"/>
  <c r="X96" i="55"/>
  <c r="V96" i="55"/>
  <c r="AZ95" i="55"/>
  <c r="AY95" i="55"/>
  <c r="AX95" i="55"/>
  <c r="AW95" i="55"/>
  <c r="AV95" i="55"/>
  <c r="AU95" i="55"/>
  <c r="AT95" i="55"/>
  <c r="AS95" i="55"/>
  <c r="AR95" i="55"/>
  <c r="AQ95" i="55"/>
  <c r="AP95" i="55"/>
  <c r="AO95" i="55"/>
  <c r="AN95" i="55"/>
  <c r="AM95" i="55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AZ94" i="55"/>
  <c r="AY94" i="55"/>
  <c r="AX94" i="55"/>
  <c r="AW94" i="55"/>
  <c r="AV94" i="55"/>
  <c r="AU94" i="55"/>
  <c r="AT94" i="55"/>
  <c r="AS94" i="55"/>
  <c r="AR94" i="55"/>
  <c r="AQ94" i="55"/>
  <c r="AP94" i="55"/>
  <c r="AO94" i="55"/>
  <c r="AN94" i="55"/>
  <c r="AM94" i="55"/>
  <c r="AL94" i="55"/>
  <c r="AK94" i="55"/>
  <c r="AJ94" i="55"/>
  <c r="AI94" i="55"/>
  <c r="AH94" i="55"/>
  <c r="AG94" i="55"/>
  <c r="AF94" i="55"/>
  <c r="AE94" i="55"/>
  <c r="AD94" i="55"/>
  <c r="AC94" i="55"/>
  <c r="AB94" i="55"/>
  <c r="AA94" i="55"/>
  <c r="Z94" i="55"/>
  <c r="Y94" i="55"/>
  <c r="X94" i="55"/>
  <c r="W94" i="55"/>
  <c r="I116" i="55" l="1"/>
  <c r="N116" i="55"/>
  <c r="I121" i="55" l="1"/>
  <c r="N121" i="55"/>
  <c r="I85" i="55"/>
  <c r="I84" i="55"/>
  <c r="G83" i="55" l="1"/>
  <c r="I83" i="55" s="1"/>
  <c r="I79" i="55"/>
  <c r="M79" i="55"/>
  <c r="C166" i="11" a="1"/>
  <c r="C166" i="11" l="1"/>
  <c r="I81" i="55"/>
  <c r="N63" i="32"/>
  <c r="K63" i="32"/>
  <c r="I82" i="55" l="1"/>
  <c r="I78" i="55"/>
  <c r="M78" i="55"/>
  <c r="I80" i="55" l="1"/>
  <c r="I77" i="55"/>
  <c r="M77" i="55"/>
  <c r="AE29" i="55" l="1"/>
  <c r="AE31" i="55" s="1"/>
  <c r="G140" i="55" l="1"/>
  <c r="I140" i="55" s="1"/>
  <c r="N140" i="55"/>
  <c r="M96" i="55" l="1"/>
  <c r="I130" i="55" l="1"/>
  <c r="N130" i="55"/>
  <c r="G180" i="11"/>
  <c r="H93" i="49" l="1"/>
  <c r="F93" i="49"/>
  <c r="I63" i="49"/>
  <c r="I62" i="49"/>
  <c r="I61" i="49"/>
  <c r="I60" i="49"/>
  <c r="F58" i="49"/>
  <c r="W56" i="49"/>
  <c r="AD56" i="49" s="1"/>
  <c r="AK56" i="49" s="1"/>
  <c r="V56" i="49"/>
  <c r="AC56" i="49" s="1"/>
  <c r="AJ56" i="49" s="1"/>
  <c r="U56" i="49"/>
  <c r="AB56" i="49" s="1"/>
  <c r="AI56" i="49" s="1"/>
  <c r="AP56" i="49" s="1"/>
  <c r="T56" i="49"/>
  <c r="AA56" i="49" s="1"/>
  <c r="AH56" i="49" s="1"/>
  <c r="AO56" i="49" s="1"/>
  <c r="S56" i="49"/>
  <c r="Z56" i="49" s="1"/>
  <c r="AG56" i="49" s="1"/>
  <c r="AN56" i="49" s="1"/>
  <c r="R56" i="49"/>
  <c r="Y56" i="49" s="1"/>
  <c r="AF56" i="49" s="1"/>
  <c r="AM56" i="49" s="1"/>
  <c r="M56" i="49"/>
  <c r="K56" i="49"/>
  <c r="J56" i="49"/>
  <c r="M54" i="49"/>
  <c r="J54" i="49"/>
  <c r="M53" i="49"/>
  <c r="J53" i="49"/>
  <c r="M52" i="49"/>
  <c r="J52" i="49"/>
  <c r="M51" i="49"/>
  <c r="J51" i="49"/>
  <c r="M50" i="49"/>
  <c r="J50" i="49"/>
  <c r="W49" i="49"/>
  <c r="AD49" i="49" s="1"/>
  <c r="AK49" i="49" s="1"/>
  <c r="V49" i="49"/>
  <c r="AC49" i="49" s="1"/>
  <c r="AJ49" i="49" s="1"/>
  <c r="U49" i="49"/>
  <c r="AB49" i="49" s="1"/>
  <c r="AI49" i="49" s="1"/>
  <c r="AP49" i="49" s="1"/>
  <c r="T49" i="49"/>
  <c r="AA49" i="49" s="1"/>
  <c r="AH49" i="49" s="1"/>
  <c r="AO49" i="49" s="1"/>
  <c r="S49" i="49"/>
  <c r="Z49" i="49" s="1"/>
  <c r="AG49" i="49" s="1"/>
  <c r="AN49" i="49" s="1"/>
  <c r="R49" i="49"/>
  <c r="Y49" i="49" s="1"/>
  <c r="AF49" i="49" s="1"/>
  <c r="AM49" i="49" s="1"/>
  <c r="M49" i="49"/>
  <c r="K49" i="49"/>
  <c r="J49" i="49"/>
  <c r="W48" i="49"/>
  <c r="AD48" i="49" s="1"/>
  <c r="AK48" i="49" s="1"/>
  <c r="V48" i="49"/>
  <c r="AC48" i="49" s="1"/>
  <c r="AJ48" i="49" s="1"/>
  <c r="U48" i="49"/>
  <c r="AB48" i="49" s="1"/>
  <c r="AI48" i="49" s="1"/>
  <c r="AP48" i="49" s="1"/>
  <c r="T48" i="49"/>
  <c r="AA48" i="49" s="1"/>
  <c r="AH48" i="49" s="1"/>
  <c r="AO48" i="49" s="1"/>
  <c r="S48" i="49"/>
  <c r="Z48" i="49" s="1"/>
  <c r="AG48" i="49" s="1"/>
  <c r="AN48" i="49" s="1"/>
  <c r="R48" i="49"/>
  <c r="Y48" i="49" s="1"/>
  <c r="AF48" i="49" s="1"/>
  <c r="AM48" i="49" s="1"/>
  <c r="M48" i="49"/>
  <c r="K48" i="49"/>
  <c r="J48" i="49"/>
  <c r="W47" i="49"/>
  <c r="AD47" i="49" s="1"/>
  <c r="AK47" i="49" s="1"/>
  <c r="V47" i="49"/>
  <c r="AC47" i="49" s="1"/>
  <c r="AJ47" i="49" s="1"/>
  <c r="U47" i="49"/>
  <c r="AB47" i="49" s="1"/>
  <c r="AI47" i="49" s="1"/>
  <c r="AP47" i="49" s="1"/>
  <c r="T47" i="49"/>
  <c r="AA47" i="49" s="1"/>
  <c r="AH47" i="49" s="1"/>
  <c r="AO47" i="49" s="1"/>
  <c r="S47" i="49"/>
  <c r="Z47" i="49" s="1"/>
  <c r="AG47" i="49" s="1"/>
  <c r="AN47" i="49" s="1"/>
  <c r="R47" i="49"/>
  <c r="Y47" i="49" s="1"/>
  <c r="AF47" i="49" s="1"/>
  <c r="AM47" i="49" s="1"/>
  <c r="M47" i="49"/>
  <c r="K47" i="49"/>
  <c r="J47" i="49"/>
  <c r="W46" i="49"/>
  <c r="AD46" i="49" s="1"/>
  <c r="AK46" i="49" s="1"/>
  <c r="V46" i="49"/>
  <c r="AC46" i="49" s="1"/>
  <c r="AJ46" i="49" s="1"/>
  <c r="U46" i="49"/>
  <c r="AB46" i="49" s="1"/>
  <c r="AI46" i="49" s="1"/>
  <c r="AP46" i="49" s="1"/>
  <c r="T46" i="49"/>
  <c r="AA46" i="49" s="1"/>
  <c r="AH46" i="49" s="1"/>
  <c r="AO46" i="49" s="1"/>
  <c r="S46" i="49"/>
  <c r="Z46" i="49" s="1"/>
  <c r="AG46" i="49" s="1"/>
  <c r="AN46" i="49" s="1"/>
  <c r="R46" i="49"/>
  <c r="Y46" i="49" s="1"/>
  <c r="AF46" i="49" s="1"/>
  <c r="AM46" i="49" s="1"/>
  <c r="M46" i="49"/>
  <c r="K46" i="49"/>
  <c r="J46" i="49"/>
  <c r="W45" i="49"/>
  <c r="AD45" i="49" s="1"/>
  <c r="AK45" i="49" s="1"/>
  <c r="V45" i="49"/>
  <c r="AC45" i="49" s="1"/>
  <c r="AJ45" i="49" s="1"/>
  <c r="U45" i="49"/>
  <c r="AB45" i="49" s="1"/>
  <c r="AI45" i="49" s="1"/>
  <c r="AP45" i="49" s="1"/>
  <c r="T45" i="49"/>
  <c r="AA45" i="49" s="1"/>
  <c r="AH45" i="49" s="1"/>
  <c r="AO45" i="49" s="1"/>
  <c r="S45" i="49"/>
  <c r="Z45" i="49" s="1"/>
  <c r="AG45" i="49" s="1"/>
  <c r="AN45" i="49" s="1"/>
  <c r="R45" i="49"/>
  <c r="Y45" i="49" s="1"/>
  <c r="AF45" i="49" s="1"/>
  <c r="AM45" i="49" s="1"/>
  <c r="M45" i="49"/>
  <c r="K45" i="49"/>
  <c r="J45" i="49"/>
  <c r="W44" i="49"/>
  <c r="AD44" i="49" s="1"/>
  <c r="AK44" i="49" s="1"/>
  <c r="V44" i="49"/>
  <c r="AC44" i="49" s="1"/>
  <c r="AJ44" i="49" s="1"/>
  <c r="U44" i="49"/>
  <c r="AB44" i="49" s="1"/>
  <c r="AI44" i="49" s="1"/>
  <c r="AP44" i="49" s="1"/>
  <c r="T44" i="49"/>
  <c r="AA44" i="49" s="1"/>
  <c r="AH44" i="49" s="1"/>
  <c r="AO44" i="49" s="1"/>
  <c r="S44" i="49"/>
  <c r="Z44" i="49" s="1"/>
  <c r="AG44" i="49" s="1"/>
  <c r="AN44" i="49" s="1"/>
  <c r="R44" i="49"/>
  <c r="Y44" i="49" s="1"/>
  <c r="AF44" i="49" s="1"/>
  <c r="AM44" i="49" s="1"/>
  <c r="M44" i="49"/>
  <c r="K44" i="49"/>
  <c r="J44" i="49"/>
  <c r="W43" i="49"/>
  <c r="AD43" i="49" s="1"/>
  <c r="AK43" i="49" s="1"/>
  <c r="V43" i="49"/>
  <c r="AC43" i="49" s="1"/>
  <c r="AJ43" i="49" s="1"/>
  <c r="U43" i="49"/>
  <c r="AB43" i="49" s="1"/>
  <c r="AI43" i="49" s="1"/>
  <c r="AP43" i="49" s="1"/>
  <c r="T43" i="49"/>
  <c r="AA43" i="49" s="1"/>
  <c r="AH43" i="49" s="1"/>
  <c r="AO43" i="49" s="1"/>
  <c r="S43" i="49"/>
  <c r="Z43" i="49" s="1"/>
  <c r="AG43" i="49" s="1"/>
  <c r="AN43" i="49" s="1"/>
  <c r="R43" i="49"/>
  <c r="Y43" i="49" s="1"/>
  <c r="AF43" i="49" s="1"/>
  <c r="AM43" i="49" s="1"/>
  <c r="M43" i="49"/>
  <c r="K43" i="49"/>
  <c r="J43" i="49"/>
  <c r="W42" i="49"/>
  <c r="AD42" i="49" s="1"/>
  <c r="AK42" i="49" s="1"/>
  <c r="V42" i="49"/>
  <c r="AC42" i="49" s="1"/>
  <c r="AJ42" i="49" s="1"/>
  <c r="U42" i="49"/>
  <c r="AB42" i="49" s="1"/>
  <c r="AI42" i="49" s="1"/>
  <c r="AP42" i="49" s="1"/>
  <c r="T42" i="49"/>
  <c r="AA42" i="49" s="1"/>
  <c r="AH42" i="49" s="1"/>
  <c r="AO42" i="49" s="1"/>
  <c r="S42" i="49"/>
  <c r="Z42" i="49" s="1"/>
  <c r="AG42" i="49" s="1"/>
  <c r="AN42" i="49" s="1"/>
  <c r="R42" i="49"/>
  <c r="Y42" i="49" s="1"/>
  <c r="AF42" i="49" s="1"/>
  <c r="AM42" i="49" s="1"/>
  <c r="M42" i="49"/>
  <c r="K42" i="49"/>
  <c r="J42" i="49"/>
  <c r="W41" i="49"/>
  <c r="AD41" i="49" s="1"/>
  <c r="AK41" i="49" s="1"/>
  <c r="V41" i="49"/>
  <c r="AC41" i="49" s="1"/>
  <c r="AJ41" i="49" s="1"/>
  <c r="U41" i="49"/>
  <c r="AB41" i="49" s="1"/>
  <c r="AI41" i="49" s="1"/>
  <c r="AP41" i="49" s="1"/>
  <c r="T41" i="49"/>
  <c r="AA41" i="49" s="1"/>
  <c r="AH41" i="49" s="1"/>
  <c r="AO41" i="49" s="1"/>
  <c r="S41" i="49"/>
  <c r="Z41" i="49" s="1"/>
  <c r="AG41" i="49" s="1"/>
  <c r="AN41" i="49" s="1"/>
  <c r="R41" i="49"/>
  <c r="Y41" i="49" s="1"/>
  <c r="AF41" i="49" s="1"/>
  <c r="AM41" i="49" s="1"/>
  <c r="M41" i="49"/>
  <c r="K41" i="49"/>
  <c r="J41" i="49"/>
  <c r="W40" i="49"/>
  <c r="AD40" i="49" s="1"/>
  <c r="AK40" i="49" s="1"/>
  <c r="V40" i="49"/>
  <c r="AC40" i="49" s="1"/>
  <c r="AJ40" i="49" s="1"/>
  <c r="U40" i="49"/>
  <c r="AB40" i="49" s="1"/>
  <c r="AI40" i="49" s="1"/>
  <c r="AP40" i="49" s="1"/>
  <c r="T40" i="49"/>
  <c r="AA40" i="49" s="1"/>
  <c r="AH40" i="49" s="1"/>
  <c r="AO40" i="49" s="1"/>
  <c r="S40" i="49"/>
  <c r="Z40" i="49" s="1"/>
  <c r="AG40" i="49" s="1"/>
  <c r="AN40" i="49" s="1"/>
  <c r="R40" i="49"/>
  <c r="Y40" i="49" s="1"/>
  <c r="AF40" i="49" s="1"/>
  <c r="AM40" i="49" s="1"/>
  <c r="M40" i="49"/>
  <c r="K40" i="49"/>
  <c r="J40" i="49"/>
  <c r="W39" i="49"/>
  <c r="AD39" i="49" s="1"/>
  <c r="AK39" i="49" s="1"/>
  <c r="V39" i="49"/>
  <c r="AC39" i="49" s="1"/>
  <c r="AJ39" i="49" s="1"/>
  <c r="U39" i="49"/>
  <c r="AB39" i="49" s="1"/>
  <c r="AI39" i="49" s="1"/>
  <c r="AP39" i="49" s="1"/>
  <c r="T39" i="49"/>
  <c r="AA39" i="49" s="1"/>
  <c r="AH39" i="49" s="1"/>
  <c r="AO39" i="49" s="1"/>
  <c r="S39" i="49"/>
  <c r="Z39" i="49" s="1"/>
  <c r="AG39" i="49" s="1"/>
  <c r="AN39" i="49" s="1"/>
  <c r="R39" i="49"/>
  <c r="Y39" i="49" s="1"/>
  <c r="AF39" i="49" s="1"/>
  <c r="AM39" i="49" s="1"/>
  <c r="M39" i="49"/>
  <c r="K39" i="49"/>
  <c r="J39" i="49"/>
  <c r="W38" i="49"/>
  <c r="AD38" i="49" s="1"/>
  <c r="AK38" i="49" s="1"/>
  <c r="V38" i="49"/>
  <c r="AC38" i="49" s="1"/>
  <c r="AJ38" i="49" s="1"/>
  <c r="U38" i="49"/>
  <c r="AB38" i="49" s="1"/>
  <c r="AI38" i="49" s="1"/>
  <c r="AP38" i="49" s="1"/>
  <c r="T38" i="49"/>
  <c r="AA38" i="49" s="1"/>
  <c r="AH38" i="49" s="1"/>
  <c r="AO38" i="49" s="1"/>
  <c r="S38" i="49"/>
  <c r="Z38" i="49" s="1"/>
  <c r="AG38" i="49" s="1"/>
  <c r="AN38" i="49" s="1"/>
  <c r="R38" i="49"/>
  <c r="Y38" i="49" s="1"/>
  <c r="AF38" i="49" s="1"/>
  <c r="AM38" i="49" s="1"/>
  <c r="M38" i="49"/>
  <c r="K38" i="49"/>
  <c r="J38" i="49"/>
  <c r="W37" i="49"/>
  <c r="AD37" i="49" s="1"/>
  <c r="AK37" i="49" s="1"/>
  <c r="V37" i="49"/>
  <c r="AC37" i="49" s="1"/>
  <c r="AJ37" i="49" s="1"/>
  <c r="U37" i="49"/>
  <c r="AB37" i="49" s="1"/>
  <c r="AI37" i="49" s="1"/>
  <c r="AP37" i="49" s="1"/>
  <c r="T37" i="49"/>
  <c r="AA37" i="49" s="1"/>
  <c r="AH37" i="49" s="1"/>
  <c r="AO37" i="49" s="1"/>
  <c r="S37" i="49"/>
  <c r="Z37" i="49" s="1"/>
  <c r="AG37" i="49" s="1"/>
  <c r="AN37" i="49" s="1"/>
  <c r="R37" i="49"/>
  <c r="Y37" i="49" s="1"/>
  <c r="AF37" i="49" s="1"/>
  <c r="AM37" i="49" s="1"/>
  <c r="M37" i="49"/>
  <c r="K37" i="49"/>
  <c r="J37" i="49"/>
  <c r="W36" i="49"/>
  <c r="AD36" i="49" s="1"/>
  <c r="AK36" i="49" s="1"/>
  <c r="V36" i="49"/>
  <c r="AC36" i="49" s="1"/>
  <c r="AJ36" i="49" s="1"/>
  <c r="U36" i="49"/>
  <c r="AB36" i="49" s="1"/>
  <c r="AI36" i="49" s="1"/>
  <c r="AP36" i="49" s="1"/>
  <c r="T36" i="49"/>
  <c r="AA36" i="49" s="1"/>
  <c r="AH36" i="49" s="1"/>
  <c r="AO36" i="49" s="1"/>
  <c r="S36" i="49"/>
  <c r="Z36" i="49" s="1"/>
  <c r="AG36" i="49" s="1"/>
  <c r="AN36" i="49" s="1"/>
  <c r="R36" i="49"/>
  <c r="Y36" i="49" s="1"/>
  <c r="AF36" i="49" s="1"/>
  <c r="AM36" i="49" s="1"/>
  <c r="M36" i="49"/>
  <c r="K36" i="49"/>
  <c r="J36" i="49"/>
  <c r="W35" i="49"/>
  <c r="AD35" i="49" s="1"/>
  <c r="AK35" i="49" s="1"/>
  <c r="V35" i="49"/>
  <c r="AC35" i="49" s="1"/>
  <c r="AJ35" i="49" s="1"/>
  <c r="U35" i="49"/>
  <c r="AB35" i="49" s="1"/>
  <c r="AI35" i="49" s="1"/>
  <c r="AP35" i="49" s="1"/>
  <c r="T35" i="49"/>
  <c r="AA35" i="49" s="1"/>
  <c r="AH35" i="49" s="1"/>
  <c r="AO35" i="49" s="1"/>
  <c r="S35" i="49"/>
  <c r="Z35" i="49" s="1"/>
  <c r="AG35" i="49" s="1"/>
  <c r="AN35" i="49" s="1"/>
  <c r="R35" i="49"/>
  <c r="Y35" i="49" s="1"/>
  <c r="AF35" i="49" s="1"/>
  <c r="AM35" i="49" s="1"/>
  <c r="M35" i="49"/>
  <c r="K35" i="49"/>
  <c r="J35" i="49"/>
  <c r="W34" i="49"/>
  <c r="AD34" i="49" s="1"/>
  <c r="AK34" i="49" s="1"/>
  <c r="V34" i="49"/>
  <c r="AC34" i="49" s="1"/>
  <c r="AJ34" i="49" s="1"/>
  <c r="U34" i="49"/>
  <c r="AB34" i="49" s="1"/>
  <c r="AI34" i="49" s="1"/>
  <c r="AP34" i="49" s="1"/>
  <c r="T34" i="49"/>
  <c r="AA34" i="49" s="1"/>
  <c r="AH34" i="49" s="1"/>
  <c r="AO34" i="49" s="1"/>
  <c r="S34" i="49"/>
  <c r="Z34" i="49" s="1"/>
  <c r="AG34" i="49" s="1"/>
  <c r="AN34" i="49" s="1"/>
  <c r="R34" i="49"/>
  <c r="Y34" i="49" s="1"/>
  <c r="AF34" i="49" s="1"/>
  <c r="AM34" i="49" s="1"/>
  <c r="M34" i="49"/>
  <c r="K34" i="49"/>
  <c r="J34" i="49"/>
  <c r="W33" i="49"/>
  <c r="AD33" i="49" s="1"/>
  <c r="AK33" i="49" s="1"/>
  <c r="V33" i="49"/>
  <c r="AC33" i="49" s="1"/>
  <c r="AJ33" i="49" s="1"/>
  <c r="U33" i="49"/>
  <c r="AB33" i="49" s="1"/>
  <c r="AI33" i="49" s="1"/>
  <c r="AP33" i="49" s="1"/>
  <c r="T33" i="49"/>
  <c r="AA33" i="49" s="1"/>
  <c r="AH33" i="49" s="1"/>
  <c r="AO33" i="49" s="1"/>
  <c r="S33" i="49"/>
  <c r="Z33" i="49" s="1"/>
  <c r="AG33" i="49" s="1"/>
  <c r="AN33" i="49" s="1"/>
  <c r="R33" i="49"/>
  <c r="Y33" i="49" s="1"/>
  <c r="AF33" i="49" s="1"/>
  <c r="AM33" i="49" s="1"/>
  <c r="M33" i="49"/>
  <c r="K33" i="49"/>
  <c r="J33" i="49"/>
  <c r="W32" i="49"/>
  <c r="AD32" i="49" s="1"/>
  <c r="AK32" i="49" s="1"/>
  <c r="V32" i="49"/>
  <c r="AC32" i="49" s="1"/>
  <c r="AJ32" i="49" s="1"/>
  <c r="U32" i="49"/>
  <c r="AB32" i="49" s="1"/>
  <c r="AI32" i="49" s="1"/>
  <c r="AP32" i="49" s="1"/>
  <c r="T32" i="49"/>
  <c r="AA32" i="49" s="1"/>
  <c r="AH32" i="49" s="1"/>
  <c r="AO32" i="49" s="1"/>
  <c r="S32" i="49"/>
  <c r="Z32" i="49" s="1"/>
  <c r="AG32" i="49" s="1"/>
  <c r="AN32" i="49" s="1"/>
  <c r="R32" i="49"/>
  <c r="Y32" i="49" s="1"/>
  <c r="AF32" i="49" s="1"/>
  <c r="AM32" i="49" s="1"/>
  <c r="M32" i="49"/>
  <c r="K32" i="49"/>
  <c r="J32" i="49"/>
  <c r="I27" i="49"/>
  <c r="I26" i="49"/>
  <c r="I25" i="49"/>
  <c r="I24" i="49"/>
  <c r="I23" i="49"/>
  <c r="J22" i="49"/>
  <c r="I22" i="49"/>
  <c r="AB40" i="57"/>
  <c r="AA40" i="57"/>
  <c r="J198" i="55" s="1"/>
  <c r="Z40" i="57"/>
  <c r="AF4" i="57"/>
  <c r="AF3" i="57"/>
  <c r="AF2" i="57"/>
  <c r="AF40" i="57" s="1"/>
  <c r="J225" i="56"/>
  <c r="J202" i="55" s="1"/>
  <c r="K194" i="56"/>
  <c r="J200" i="55" s="1"/>
  <c r="K132" i="56"/>
  <c r="K112" i="56"/>
  <c r="J201" i="55" s="1"/>
  <c r="K190" i="55"/>
  <c r="G190" i="55"/>
  <c r="F190" i="55"/>
  <c r="E190" i="55"/>
  <c r="G203" i="55" s="1"/>
  <c r="L189" i="55"/>
  <c r="J189" i="55"/>
  <c r="L188" i="55"/>
  <c r="J188" i="55"/>
  <c r="L187" i="55"/>
  <c r="J187" i="55"/>
  <c r="L186" i="55"/>
  <c r="J186" i="55"/>
  <c r="L185" i="55"/>
  <c r="J185" i="55"/>
  <c r="L184" i="55"/>
  <c r="J184" i="55"/>
  <c r="L183" i="55"/>
  <c r="J183" i="55"/>
  <c r="L182" i="55"/>
  <c r="J182" i="55"/>
  <c r="L181" i="55"/>
  <c r="J181" i="55"/>
  <c r="L180" i="55"/>
  <c r="J180" i="55"/>
  <c r="L179" i="55"/>
  <c r="J179" i="55"/>
  <c r="L178" i="55"/>
  <c r="J178" i="55"/>
  <c r="L177" i="55"/>
  <c r="J177" i="55"/>
  <c r="L176" i="55"/>
  <c r="J176" i="55"/>
  <c r="L175" i="55"/>
  <c r="J175" i="55"/>
  <c r="L174" i="55"/>
  <c r="J174" i="55"/>
  <c r="D166" i="55"/>
  <c r="H161" i="55"/>
  <c r="I161" i="55"/>
  <c r="I162" i="55" s="1"/>
  <c r="J162" i="55" s="1"/>
  <c r="H160" i="55"/>
  <c r="N147" i="55"/>
  <c r="I147" i="55"/>
  <c r="N146" i="55"/>
  <c r="I146" i="55"/>
  <c r="N145" i="55"/>
  <c r="I145" i="55"/>
  <c r="N144" i="55"/>
  <c r="I144" i="55"/>
  <c r="N143" i="55"/>
  <c r="I143" i="55"/>
  <c r="N142" i="55"/>
  <c r="I142" i="55"/>
  <c r="N141" i="55"/>
  <c r="I141" i="55"/>
  <c r="N139" i="55"/>
  <c r="I139" i="55"/>
  <c r="N138" i="55"/>
  <c r="I138" i="55"/>
  <c r="N137" i="55"/>
  <c r="I137" i="55"/>
  <c r="N136" i="55"/>
  <c r="I136" i="55"/>
  <c r="N135" i="55"/>
  <c r="I135" i="55"/>
  <c r="N134" i="55"/>
  <c r="I134" i="55"/>
  <c r="N133" i="55"/>
  <c r="I133" i="55"/>
  <c r="N132" i="55"/>
  <c r="I132" i="55"/>
  <c r="N131" i="55"/>
  <c r="I131" i="55"/>
  <c r="N129" i="55"/>
  <c r="I129" i="55"/>
  <c r="N128" i="55"/>
  <c r="I128" i="55"/>
  <c r="N127" i="55"/>
  <c r="I127" i="55"/>
  <c r="N126" i="55"/>
  <c r="I126" i="55"/>
  <c r="N125" i="55"/>
  <c r="I125" i="55"/>
  <c r="N124" i="55"/>
  <c r="I124" i="55"/>
  <c r="N123" i="55"/>
  <c r="I123" i="55"/>
  <c r="N122" i="55"/>
  <c r="I122" i="55"/>
  <c r="N120" i="55"/>
  <c r="I120" i="55"/>
  <c r="N119" i="55"/>
  <c r="I119" i="55"/>
  <c r="N118" i="55"/>
  <c r="I118" i="55"/>
  <c r="N117" i="55"/>
  <c r="I117" i="55"/>
  <c r="N115" i="55"/>
  <c r="I115" i="55"/>
  <c r="N114" i="55"/>
  <c r="I114" i="55"/>
  <c r="N113" i="55"/>
  <c r="I113" i="55"/>
  <c r="N112" i="55"/>
  <c r="I112" i="55"/>
  <c r="N111" i="55"/>
  <c r="I111" i="55"/>
  <c r="N110" i="55"/>
  <c r="I110" i="55"/>
  <c r="N109" i="55"/>
  <c r="I109" i="55"/>
  <c r="N108" i="55"/>
  <c r="I108" i="55"/>
  <c r="I107" i="55"/>
  <c r="N106" i="55"/>
  <c r="I106" i="55"/>
  <c r="N105" i="55"/>
  <c r="I105" i="55"/>
  <c r="N104" i="55"/>
  <c r="N103" i="55"/>
  <c r="I103" i="55"/>
  <c r="N102" i="55"/>
  <c r="I102" i="55"/>
  <c r="N101" i="55"/>
  <c r="I101" i="55"/>
  <c r="N100" i="55"/>
  <c r="N99" i="55"/>
  <c r="G99" i="55"/>
  <c r="I99" i="55" s="1"/>
  <c r="N98" i="55"/>
  <c r="I98" i="55"/>
  <c r="N97" i="55"/>
  <c r="I97" i="55"/>
  <c r="N96" i="55"/>
  <c r="L96" i="55"/>
  <c r="K96" i="55"/>
  <c r="J96" i="55"/>
  <c r="W96" i="55" s="1"/>
  <c r="W151" i="55" s="1"/>
  <c r="D5" i="59" s="1"/>
  <c r="N10" i="59" s="1"/>
  <c r="I96" i="55"/>
  <c r="N95" i="55"/>
  <c r="I95" i="55"/>
  <c r="N94" i="55"/>
  <c r="I94" i="55"/>
  <c r="F87" i="55"/>
  <c r="I87" i="55"/>
  <c r="M64" i="55"/>
  <c r="L64" i="55"/>
  <c r="J64" i="55"/>
  <c r="Q64" i="55" s="1"/>
  <c r="M63" i="55"/>
  <c r="L63" i="55"/>
  <c r="K63" i="55"/>
  <c r="K66" i="55" s="1"/>
  <c r="J63" i="55"/>
  <c r="Q63" i="55" s="1"/>
  <c r="M62" i="55"/>
  <c r="L62" i="55"/>
  <c r="J62" i="55"/>
  <c r="Q62" i="55" s="1"/>
  <c r="M61" i="55"/>
  <c r="L61" i="55"/>
  <c r="J61" i="55"/>
  <c r="Q61" i="55" s="1"/>
  <c r="AF56" i="55"/>
  <c r="D56" i="55"/>
  <c r="AK54" i="55"/>
  <c r="X54" i="55"/>
  <c r="W54" i="55"/>
  <c r="K54" i="55"/>
  <c r="Z53" i="55"/>
  <c r="AK53" i="55" s="1"/>
  <c r="X53" i="55"/>
  <c r="W53" i="55"/>
  <c r="AB53" i="55" s="1"/>
  <c r="K53" i="55"/>
  <c r="Z52" i="55"/>
  <c r="AK52" i="55" s="1"/>
  <c r="X52" i="55"/>
  <c r="W52" i="55"/>
  <c r="AA52" i="55" s="1"/>
  <c r="K52" i="55"/>
  <c r="Z51" i="55"/>
  <c r="AD51" i="55" s="1"/>
  <c r="X51" i="55"/>
  <c r="W51" i="55"/>
  <c r="AB51" i="55" s="1"/>
  <c r="K51" i="55"/>
  <c r="AK50" i="55"/>
  <c r="X50" i="55"/>
  <c r="W50" i="55"/>
  <c r="K50" i="55"/>
  <c r="Z49" i="55"/>
  <c r="AK49" i="55" s="1"/>
  <c r="X49" i="55"/>
  <c r="W49" i="55"/>
  <c r="AA49" i="55" s="1"/>
  <c r="K49" i="55"/>
  <c r="Z48" i="55"/>
  <c r="AD48" i="55" s="1"/>
  <c r="X48" i="55"/>
  <c r="W48" i="55"/>
  <c r="AB48" i="55" s="1"/>
  <c r="K48" i="55"/>
  <c r="Z47" i="55"/>
  <c r="AK47" i="55" s="1"/>
  <c r="X47" i="55"/>
  <c r="W47" i="55"/>
  <c r="AB47" i="55" s="1"/>
  <c r="K47" i="55"/>
  <c r="Z46" i="55"/>
  <c r="AD46" i="55" s="1"/>
  <c r="X46" i="55"/>
  <c r="W46" i="55"/>
  <c r="AB46" i="55" s="1"/>
  <c r="K46" i="55"/>
  <c r="Z45" i="55"/>
  <c r="AC45" i="55" s="1"/>
  <c r="X45" i="55"/>
  <c r="W45" i="55"/>
  <c r="AB45" i="55" s="1"/>
  <c r="K45" i="55"/>
  <c r="Z44" i="55"/>
  <c r="AD44" i="55" s="1"/>
  <c r="X44" i="55"/>
  <c r="W44" i="55"/>
  <c r="AB44" i="55" s="1"/>
  <c r="K44" i="55"/>
  <c r="AD43" i="55"/>
  <c r="X43" i="55"/>
  <c r="W43" i="55"/>
  <c r="K43" i="55"/>
  <c r="Z42" i="55"/>
  <c r="AK42" i="55" s="1"/>
  <c r="X42" i="55"/>
  <c r="W42" i="55"/>
  <c r="AA42" i="55" s="1"/>
  <c r="K42" i="55"/>
  <c r="Z41" i="55"/>
  <c r="AD41" i="55" s="1"/>
  <c r="X41" i="55"/>
  <c r="W41" i="55"/>
  <c r="AB41" i="55" s="1"/>
  <c r="K41" i="55"/>
  <c r="Z40" i="55"/>
  <c r="AC40" i="55" s="1"/>
  <c r="X40" i="55"/>
  <c r="W40" i="55"/>
  <c r="AA40" i="55" s="1"/>
  <c r="K40" i="55"/>
  <c r="Z39" i="55"/>
  <c r="AC39" i="55" s="1"/>
  <c r="X39" i="55"/>
  <c r="W39" i="55"/>
  <c r="AA39" i="55" s="1"/>
  <c r="K39" i="55"/>
  <c r="Z38" i="55"/>
  <c r="AC38" i="55" s="1"/>
  <c r="X38" i="55"/>
  <c r="W38" i="55"/>
  <c r="AB38" i="55" s="1"/>
  <c r="K38" i="55"/>
  <c r="Z37" i="55"/>
  <c r="AK37" i="55" s="1"/>
  <c r="X37" i="55"/>
  <c r="W37" i="55"/>
  <c r="AB37" i="55" s="1"/>
  <c r="K37" i="55"/>
  <c r="Z36" i="55"/>
  <c r="AK36" i="55" s="1"/>
  <c r="X36" i="55"/>
  <c r="W36" i="55"/>
  <c r="AA36" i="55" s="1"/>
  <c r="K36" i="55"/>
  <c r="Z35" i="55"/>
  <c r="AC35" i="55" s="1"/>
  <c r="X35" i="55"/>
  <c r="W35" i="55"/>
  <c r="AB35" i="55" s="1"/>
  <c r="K35" i="55"/>
  <c r="AF25" i="55"/>
  <c r="AB25" i="55"/>
  <c r="AA25" i="55"/>
  <c r="Z25" i="55"/>
  <c r="AK25" i="55" s="1"/>
  <c r="X25" i="55"/>
  <c r="W25" i="55"/>
  <c r="AF24" i="55"/>
  <c r="AB24" i="55"/>
  <c r="AA24" i="55"/>
  <c r="Z24" i="55"/>
  <c r="AK24" i="55" s="1"/>
  <c r="X24" i="55"/>
  <c r="W24" i="55"/>
  <c r="AF23" i="55"/>
  <c r="AB23" i="55"/>
  <c r="AA23" i="55"/>
  <c r="Z23" i="55"/>
  <c r="AD23" i="55" s="1"/>
  <c r="X23" i="55"/>
  <c r="W23" i="55"/>
  <c r="AF22" i="55"/>
  <c r="AB22" i="55"/>
  <c r="AA22" i="55"/>
  <c r="Z22" i="55"/>
  <c r="AK22" i="55" s="1"/>
  <c r="X22" i="55"/>
  <c r="W22" i="55"/>
  <c r="AF21" i="55"/>
  <c r="AB21" i="55"/>
  <c r="AA21" i="55"/>
  <c r="Z21" i="55"/>
  <c r="AK21" i="55" s="1"/>
  <c r="X21" i="55"/>
  <c r="W21" i="55"/>
  <c r="AF20" i="55"/>
  <c r="AB20" i="55"/>
  <c r="AA20" i="55"/>
  <c r="Z20" i="55"/>
  <c r="AD20" i="55" s="1"/>
  <c r="X20" i="55"/>
  <c r="W20" i="55"/>
  <c r="AF19" i="55"/>
  <c r="AB19" i="55"/>
  <c r="AA19" i="55"/>
  <c r="Z19" i="55"/>
  <c r="AK19" i="55" s="1"/>
  <c r="X19" i="55"/>
  <c r="W19" i="55"/>
  <c r="AF18" i="55"/>
  <c r="AB18" i="55"/>
  <c r="AA18" i="55"/>
  <c r="Z18" i="55"/>
  <c r="AC18" i="55" s="1"/>
  <c r="X18" i="55"/>
  <c r="W18" i="55"/>
  <c r="AF17" i="55"/>
  <c r="AB17" i="55"/>
  <c r="AA17" i="55"/>
  <c r="Z17" i="55"/>
  <c r="AC17" i="55" s="1"/>
  <c r="X17" i="55"/>
  <c r="W17" i="55"/>
  <c r="AF16" i="55"/>
  <c r="AB16" i="55"/>
  <c r="AA16" i="55"/>
  <c r="Z16" i="55"/>
  <c r="AK16" i="55" s="1"/>
  <c r="X16" i="55"/>
  <c r="W16" i="55"/>
  <c r="AF15" i="55"/>
  <c r="AB15" i="55"/>
  <c r="AA15" i="55"/>
  <c r="Z15" i="55"/>
  <c r="AK15" i="55" s="1"/>
  <c r="X15" i="55"/>
  <c r="W15" i="55"/>
  <c r="AF14" i="55"/>
  <c r="AB14" i="55"/>
  <c r="AA14" i="55"/>
  <c r="Z14" i="55"/>
  <c r="AK14" i="55" s="1"/>
  <c r="X14" i="55"/>
  <c r="W14" i="55"/>
  <c r="AF13" i="55"/>
  <c r="AB13" i="55"/>
  <c r="AA13" i="55"/>
  <c r="Z13" i="55"/>
  <c r="AK13" i="55" s="1"/>
  <c r="X13" i="55"/>
  <c r="W13" i="55"/>
  <c r="AF12" i="55"/>
  <c r="AB12" i="55"/>
  <c r="AA12" i="55"/>
  <c r="Z12" i="55"/>
  <c r="AC12" i="55" s="1"/>
  <c r="X12" i="55"/>
  <c r="W12" i="55"/>
  <c r="AF10" i="55"/>
  <c r="AB10" i="55"/>
  <c r="AA10" i="55"/>
  <c r="Z10" i="55"/>
  <c r="AK10" i="55" s="1"/>
  <c r="X10" i="55"/>
  <c r="W10" i="55"/>
  <c r="AF9" i="55"/>
  <c r="AB9" i="55"/>
  <c r="AA9" i="55"/>
  <c r="Z9" i="55"/>
  <c r="AD9" i="55" s="1"/>
  <c r="X9" i="55"/>
  <c r="W9" i="55"/>
  <c r="AF8" i="55"/>
  <c r="AB8" i="55"/>
  <c r="AA8" i="55"/>
  <c r="Z8" i="55"/>
  <c r="AC8" i="55" s="1"/>
  <c r="X8" i="55"/>
  <c r="W8" i="55"/>
  <c r="Z7" i="55"/>
  <c r="AC7" i="55" s="1"/>
  <c r="AF6" i="55"/>
  <c r="AB6" i="55"/>
  <c r="AA6" i="55"/>
  <c r="Z6" i="55"/>
  <c r="AK6" i="55" s="1"/>
  <c r="X6" i="55"/>
  <c r="W6" i="55"/>
  <c r="AF5" i="55"/>
  <c r="AB5" i="55"/>
  <c r="AA5" i="55"/>
  <c r="Z5" i="55"/>
  <c r="X5" i="55"/>
  <c r="W5" i="55"/>
  <c r="AF4" i="55"/>
  <c r="AB4" i="55"/>
  <c r="AA4" i="55"/>
  <c r="Z4" i="55"/>
  <c r="AK4" i="55" s="1"/>
  <c r="X4" i="55"/>
  <c r="W4" i="55"/>
  <c r="J87" i="2"/>
  <c r="D87" i="2"/>
  <c r="J7" i="2"/>
  <c r="J48" i="2" s="1"/>
  <c r="E18" i="1" s="1"/>
  <c r="H7" i="2"/>
  <c r="I45" i="46"/>
  <c r="I26" i="46"/>
  <c r="C26" i="46"/>
  <c r="J7" i="46"/>
  <c r="D185" i="11"/>
  <c r="G184" i="11"/>
  <c r="G183" i="11"/>
  <c r="G182" i="11"/>
  <c r="G181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K66" i="21"/>
  <c r="K65" i="21"/>
  <c r="K64" i="21"/>
  <c r="K63" i="21"/>
  <c r="K62" i="21"/>
  <c r="K61" i="21"/>
  <c r="K60" i="21"/>
  <c r="K59" i="21"/>
  <c r="K58" i="21"/>
  <c r="K57" i="21"/>
  <c r="K56" i="21"/>
  <c r="K55" i="21"/>
  <c r="K54" i="21"/>
  <c r="K53" i="21"/>
  <c r="K102" i="21" s="1"/>
  <c r="C7" i="1" s="1"/>
  <c r="M21" i="21"/>
  <c r="K21" i="21"/>
  <c r="M13" i="21"/>
  <c r="K13" i="21"/>
  <c r="M12" i="21"/>
  <c r="I12" i="21"/>
  <c r="K12" i="21" s="1"/>
  <c r="M10" i="21"/>
  <c r="K10" i="21"/>
  <c r="M9" i="21"/>
  <c r="L9" i="21"/>
  <c r="K9" i="21"/>
  <c r="M8" i="21"/>
  <c r="K8" i="21"/>
  <c r="N17" i="32"/>
  <c r="K17" i="32"/>
  <c r="J17" i="32"/>
  <c r="N16" i="32"/>
  <c r="K16" i="32"/>
  <c r="J16" i="32"/>
  <c r="F16" i="1"/>
  <c r="C10" i="1"/>
  <c r="D25" i="1"/>
  <c r="G22" i="1"/>
  <c r="E21" i="1"/>
  <c r="G18" i="1"/>
  <c r="C11" i="1"/>
  <c r="C8" i="1"/>
  <c r="J6" i="1"/>
  <c r="J5" i="1"/>
  <c r="J4" i="1"/>
  <c r="J3" i="1"/>
  <c r="L2" i="1"/>
  <c r="J2" i="1"/>
  <c r="D2" i="1"/>
  <c r="O1" i="1"/>
  <c r="L1" i="1"/>
  <c r="B10" i="11" a="1"/>
  <c r="C64" i="11" a="1"/>
  <c r="C88" i="11" a="1"/>
  <c r="C128" i="11" a="1"/>
  <c r="K41" i="11"/>
  <c r="C130" i="11" a="1"/>
  <c r="B173" i="11" a="1"/>
  <c r="B74" i="11" a="1"/>
  <c r="K85" i="11"/>
  <c r="B91" i="11" a="1"/>
  <c r="B175" i="11" a="1"/>
  <c r="C145" i="11" a="1"/>
  <c r="B114" i="11" a="1"/>
  <c r="K65" i="11"/>
  <c r="B34" i="11" a="1"/>
  <c r="B42" i="11" a="1"/>
  <c r="B140" i="11" a="1"/>
  <c r="C124" i="11" a="1"/>
  <c r="K104" i="11"/>
  <c r="C20" i="11" a="1"/>
  <c r="B142" i="11" a="1"/>
  <c r="B110" i="11" a="1"/>
  <c r="K120" i="11"/>
  <c r="C66" i="11" a="1"/>
  <c r="B143" i="11" a="1"/>
  <c r="K159" i="11"/>
  <c r="B65" i="11" a="1"/>
  <c r="K25" i="11"/>
  <c r="B83" i="11" a="1"/>
  <c r="C59" i="11" a="1"/>
  <c r="B68" i="11" a="1"/>
  <c r="K7" i="11"/>
  <c r="K166" i="11"/>
  <c r="B174" i="11" a="1"/>
  <c r="B53" i="11" a="1"/>
  <c r="C51" i="11" a="1"/>
  <c r="K95" i="11"/>
  <c r="C115" i="11" a="1"/>
  <c r="B19" i="11" a="1"/>
  <c r="B93" i="11" a="1"/>
  <c r="C148" i="11" a="1"/>
  <c r="K91" i="11"/>
  <c r="K156" i="11"/>
  <c r="B171" i="11" a="1"/>
  <c r="K67" i="11"/>
  <c r="K71" i="11"/>
  <c r="K167" i="11"/>
  <c r="C184" i="11" a="1"/>
  <c r="B20" i="11" a="1"/>
  <c r="K155" i="11"/>
  <c r="C11" i="11" a="1"/>
  <c r="B103" i="11" a="1"/>
  <c r="C87" i="11" a="1"/>
  <c r="C129" i="11" a="1"/>
  <c r="C170" i="11" a="1"/>
  <c r="B60" i="11" a="1"/>
  <c r="K181" i="11"/>
  <c r="C56" i="11" a="1"/>
  <c r="C111" i="11" a="1"/>
  <c r="K34" i="11"/>
  <c r="K61" i="11"/>
  <c r="C15" i="11" a="1"/>
  <c r="C91" i="11" a="1"/>
  <c r="B127" i="11" a="1"/>
  <c r="B122" i="11" a="1"/>
  <c r="K115" i="11"/>
  <c r="B152" i="11" a="1"/>
  <c r="B138" i="11" a="1"/>
  <c r="K44" i="11"/>
  <c r="K21" i="11"/>
  <c r="K136" i="11"/>
  <c r="B71" i="11" a="1"/>
  <c r="K14" i="11"/>
  <c r="B155" i="11" a="1"/>
  <c r="B133" i="11" a="1"/>
  <c r="C85" i="11" a="1"/>
  <c r="B119" i="11" a="1"/>
  <c r="B13" i="11" a="1"/>
  <c r="B177" i="11" a="1"/>
  <c r="C135" i="11" a="1"/>
  <c r="K182" i="11"/>
  <c r="K28" i="11"/>
  <c r="C30" i="11" a="1"/>
  <c r="B144" i="11" a="1"/>
  <c r="C45" i="11" a="1"/>
  <c r="K40" i="11"/>
  <c r="B85" i="11" a="1"/>
  <c r="K172" i="11"/>
  <c r="K17" i="11"/>
  <c r="C93" i="11" a="1"/>
  <c r="B7" i="11" a="1"/>
  <c r="C89" i="11" a="1"/>
  <c r="B121" i="11" a="1"/>
  <c r="C140" i="11" a="1"/>
  <c r="K116" i="11"/>
  <c r="B48" i="11" a="1"/>
  <c r="K23" i="11"/>
  <c r="B123" i="11" a="1"/>
  <c r="C139" i="11" a="1"/>
  <c r="K49" i="11"/>
  <c r="K105" i="11"/>
  <c r="K112" i="11"/>
  <c r="B163" i="11" a="1"/>
  <c r="K119" i="11"/>
  <c r="C105" i="11" a="1"/>
  <c r="B80" i="11" a="1"/>
  <c r="C33" i="11" a="1"/>
  <c r="C182" i="11" a="1"/>
  <c r="K66" i="11"/>
  <c r="K117" i="11"/>
  <c r="C28" i="11" a="1"/>
  <c r="K11" i="11"/>
  <c r="B66" i="11" a="1"/>
  <c r="B89" i="11" a="1"/>
  <c r="B166" i="11" a="1"/>
  <c r="C10" i="11" a="1"/>
  <c r="C112" i="11" a="1"/>
  <c r="B170" i="11" a="1"/>
  <c r="C14" i="11" a="1"/>
  <c r="C175" i="11" a="1"/>
  <c r="B99" i="11" a="1"/>
  <c r="B63" i="11" a="1"/>
  <c r="C46" i="11" a="1"/>
  <c r="B81" i="11" a="1"/>
  <c r="B31" i="11" a="1"/>
  <c r="C141" i="11" a="1"/>
  <c r="B150" i="11" a="1"/>
  <c r="K121" i="11"/>
  <c r="C54" i="11" a="1"/>
  <c r="C57" i="11" a="1"/>
  <c r="K149" i="11"/>
  <c r="B90" i="11" a="1"/>
  <c r="K141" i="11"/>
  <c r="C125" i="11" a="1"/>
  <c r="B179" i="11" a="1"/>
  <c r="B49" i="11" a="1"/>
  <c r="C143" i="11" a="1"/>
  <c r="C43" i="11" a="1"/>
  <c r="C41" i="11" a="1"/>
  <c r="B126" i="11" a="1"/>
  <c r="C58" i="11" a="1"/>
  <c r="B160" i="11" a="1"/>
  <c r="C95" i="11" a="1"/>
  <c r="K113" i="11"/>
  <c r="K82" i="11"/>
  <c r="C75" i="11" a="1"/>
  <c r="B157" i="11" a="1"/>
  <c r="K168" i="11"/>
  <c r="B16" i="11" a="1"/>
  <c r="K101" i="11"/>
  <c r="B14" i="11" a="1"/>
  <c r="K161" i="11"/>
  <c r="B182" i="11" a="1"/>
  <c r="B51" i="11" a="1"/>
  <c r="C96" i="11" a="1"/>
  <c r="K56" i="11"/>
  <c r="K20" i="11"/>
  <c r="K173" i="11"/>
  <c r="B108" i="11" a="1"/>
  <c r="B15" i="11" a="1"/>
  <c r="B162" i="11" a="1"/>
  <c r="B184" i="11" a="1"/>
  <c r="C76" i="11" a="1"/>
  <c r="K27" i="11"/>
  <c r="C162" i="11" a="1"/>
  <c r="C165" i="11" a="1"/>
  <c r="K30" i="11"/>
  <c r="K174" i="11"/>
  <c r="B135" i="11" a="1"/>
  <c r="K125" i="11"/>
  <c r="C177" i="11" a="1"/>
  <c r="B178" i="11" a="1"/>
  <c r="K154" i="11"/>
  <c r="C35" i="11" a="1"/>
  <c r="C114" i="11" a="1"/>
  <c r="C6" i="11" a="1"/>
  <c r="C50" i="11" a="1"/>
  <c r="K135" i="11"/>
  <c r="K69" i="11"/>
  <c r="B118" i="11" a="1"/>
  <c r="B148" i="11" a="1"/>
  <c r="C147" i="11" a="1"/>
  <c r="K35" i="11"/>
  <c r="K63" i="11"/>
  <c r="K111" i="11"/>
  <c r="B46" i="11" a="1"/>
  <c r="C77" i="11" a="1"/>
  <c r="C103" i="11" a="1"/>
  <c r="C61" i="11" a="1"/>
  <c r="C98" i="11" a="1"/>
  <c r="C146" i="11" a="1"/>
  <c r="C173" i="11" a="1"/>
  <c r="B82" i="11" a="1"/>
  <c r="C149" i="11" a="1"/>
  <c r="C116" i="11" a="1"/>
  <c r="B24" i="11" a="1"/>
  <c r="C21" i="11" a="1"/>
  <c r="K19" i="11"/>
  <c r="K13" i="11"/>
  <c r="B149" i="11" a="1"/>
  <c r="B88" i="11" a="1"/>
  <c r="B37" i="11" a="1"/>
  <c r="K6" i="11"/>
  <c r="K99" i="11"/>
  <c r="C63" i="11" a="1"/>
  <c r="K124" i="11"/>
  <c r="C73" i="11" a="1"/>
  <c r="K18" i="11"/>
  <c r="B113" i="11" a="1"/>
  <c r="B44" i="11" a="1"/>
  <c r="K45" i="11"/>
  <c r="K134" i="11"/>
  <c r="K180" i="11"/>
  <c r="K144" i="11"/>
  <c r="K37" i="11"/>
  <c r="B17" i="11" a="1"/>
  <c r="K12" i="11"/>
  <c r="K75" i="11"/>
  <c r="C80" i="11" a="1"/>
  <c r="C37" i="11" a="1"/>
  <c r="B33" i="11" a="1"/>
  <c r="K73" i="11"/>
  <c r="K90" i="11"/>
  <c r="C108" i="11" a="1"/>
  <c r="C40" i="11" a="1"/>
  <c r="B45" i="11" a="1"/>
  <c r="B30" i="11" a="1"/>
  <c r="C22" i="11" a="1"/>
  <c r="C26" i="11" a="1"/>
  <c r="C79" i="11" a="1"/>
  <c r="K92" i="11"/>
  <c r="K98" i="11"/>
  <c r="C181" i="11" a="1"/>
  <c r="B95" i="11" a="1"/>
  <c r="B102" i="11" a="1"/>
  <c r="K108" i="11"/>
  <c r="C72" i="11" a="1"/>
  <c r="B129" i="11" a="1"/>
  <c r="C60" i="11" a="1"/>
  <c r="B26" i="11" a="1"/>
  <c r="B139" i="11" a="1"/>
  <c r="B59" i="11" a="1"/>
  <c r="K177" i="11"/>
  <c r="B76" i="11" a="1"/>
  <c r="C44" i="11" a="1"/>
  <c r="B159" i="11" a="1"/>
  <c r="C152" i="11" a="1"/>
  <c r="B54" i="11" a="1"/>
  <c r="B69" i="11" a="1"/>
  <c r="B38" i="11" a="1"/>
  <c r="C97" i="11" a="1"/>
  <c r="B154" i="11" a="1"/>
  <c r="K165" i="11"/>
  <c r="B28" i="11" a="1"/>
  <c r="B164" i="11" a="1"/>
  <c r="K9" i="11"/>
  <c r="B23" i="11" a="1"/>
  <c r="K48" i="11"/>
  <c r="C13" i="11" a="1"/>
  <c r="B61" i="11" a="1"/>
  <c r="K53" i="11"/>
  <c r="K130" i="11"/>
  <c r="C83" i="11" a="1"/>
  <c r="K10" i="11"/>
  <c r="B52" i="11" a="1"/>
  <c r="B47" i="11" a="1"/>
  <c r="K128" i="11"/>
  <c r="C74" i="11" a="1"/>
  <c r="K88" i="11"/>
  <c r="K102" i="11"/>
  <c r="K178" i="11"/>
  <c r="K31" i="11"/>
  <c r="K74" i="11"/>
  <c r="B9" i="11" a="1"/>
  <c r="C163" i="11" a="1"/>
  <c r="K127" i="11"/>
  <c r="B75" i="11" a="1"/>
  <c r="K52" i="11"/>
  <c r="B141" i="11" a="1"/>
  <c r="C154" i="11" a="1"/>
  <c r="B29" i="11" a="1"/>
  <c r="C12" i="11" a="1"/>
  <c r="K24" i="11"/>
  <c r="K100" i="11"/>
  <c r="B116" i="11" a="1"/>
  <c r="C179" i="11" a="1"/>
  <c r="C16" i="11" a="1"/>
  <c r="C65" i="11" a="1"/>
  <c r="K96" i="11"/>
  <c r="C42" i="11" a="1"/>
  <c r="B101" i="11" a="1"/>
  <c r="C106" i="11" a="1"/>
  <c r="C29" i="11" a="1"/>
  <c r="K118" i="11"/>
  <c r="K103" i="11"/>
  <c r="K89" i="11"/>
  <c r="K160" i="11"/>
  <c r="B32" i="11" a="1"/>
  <c r="C171" i="11" a="1"/>
  <c r="C17" i="11" a="1"/>
  <c r="K153" i="11"/>
  <c r="K55" i="11"/>
  <c r="B128" i="11" a="1"/>
  <c r="C138" i="11" a="1"/>
  <c r="B56" i="11" a="1"/>
  <c r="C150" i="11" a="1"/>
  <c r="C48" i="11" a="1"/>
  <c r="C158" i="11" a="1"/>
  <c r="K110" i="11"/>
  <c r="K72" i="11"/>
  <c r="K170" i="11"/>
  <c r="C144" i="11" a="1"/>
  <c r="K59" i="11"/>
  <c r="C155" i="11" a="1"/>
  <c r="C81" i="11" a="1"/>
  <c r="C153" i="11" a="1"/>
  <c r="C55" i="11" a="1"/>
  <c r="K151" i="11"/>
  <c r="B84" i="11" a="1"/>
  <c r="K68" i="11"/>
  <c r="K145" i="11"/>
  <c r="K86" i="11"/>
  <c r="C160" i="11" a="1"/>
  <c r="K47" i="11"/>
  <c r="B167" i="11" a="1"/>
  <c r="K162" i="11"/>
  <c r="B107" i="11" a="1"/>
  <c r="B181" i="11" a="1"/>
  <c r="C102" i="11" a="1"/>
  <c r="K123" i="11"/>
  <c r="C34" i="11" a="1"/>
  <c r="B137" i="11" a="1"/>
  <c r="B165" i="11" a="1"/>
  <c r="C8" i="11" a="1"/>
  <c r="K79" i="11"/>
  <c r="C126" i="11" a="1"/>
  <c r="B78" i="11" a="1"/>
  <c r="C90" i="11" a="1"/>
  <c r="K15" i="11"/>
  <c r="B125" i="11" a="1"/>
  <c r="K50" i="11"/>
  <c r="K60" i="11"/>
  <c r="K109" i="11"/>
  <c r="C110" i="11" a="1"/>
  <c r="C119" i="11" a="1"/>
  <c r="C7" i="11" a="1"/>
  <c r="K94" i="11"/>
  <c r="C25" i="11" a="1"/>
  <c r="B161" i="11" a="1"/>
  <c r="B40" i="11" a="1"/>
  <c r="C167" i="11" a="1"/>
  <c r="B158" i="11" a="1"/>
  <c r="B67" i="11" a="1"/>
  <c r="C180" i="11" a="1"/>
  <c r="K78" i="11"/>
  <c r="K80" i="11"/>
  <c r="K38" i="11"/>
  <c r="B132" i="11" a="1"/>
  <c r="K93" i="11"/>
  <c r="C23" i="11" a="1"/>
  <c r="B153" i="11" a="1"/>
  <c r="B104" i="11" a="1"/>
  <c r="C118" i="11" a="1"/>
  <c r="K175" i="11"/>
  <c r="K148" i="11"/>
  <c r="C47" i="11" a="1"/>
  <c r="K76" i="11"/>
  <c r="K106" i="11"/>
  <c r="K107" i="11"/>
  <c r="C101" i="11" a="1"/>
  <c r="K87" i="11"/>
  <c r="B72" i="11" a="1"/>
  <c r="C109" i="11" a="1"/>
  <c r="B41" i="11" a="1"/>
  <c r="K64" i="11"/>
  <c r="B105" i="11" a="1"/>
  <c r="B100" i="11" a="1"/>
  <c r="C176" i="11" a="1"/>
  <c r="K16" i="11"/>
  <c r="B109" i="11" a="1"/>
  <c r="C27" i="11" a="1"/>
  <c r="K36" i="11"/>
  <c r="B43" i="11" a="1"/>
  <c r="C9" i="11" a="1"/>
  <c r="K158" i="11"/>
  <c r="C19" i="11" a="1"/>
  <c r="C18" i="11" a="1"/>
  <c r="B176" i="11" a="1"/>
  <c r="B64" i="11" a="1"/>
  <c r="K184" i="11"/>
  <c r="B50" i="11" a="1"/>
  <c r="K152" i="11"/>
  <c r="B98" i="11" a="1"/>
  <c r="B146" i="11" a="1"/>
  <c r="B168" i="11" a="1"/>
  <c r="B77" i="11" a="1"/>
  <c r="B120" i="11" a="1"/>
  <c r="K131" i="11"/>
  <c r="B25" i="11" a="1"/>
  <c r="B6" i="11" a="1"/>
  <c r="K58" i="11"/>
  <c r="C123" i="11" a="1"/>
  <c r="B62" i="11" a="1"/>
  <c r="C104" i="11" a="1"/>
  <c r="K132" i="11"/>
  <c r="K39" i="11"/>
  <c r="B117" i="11" a="1"/>
  <c r="C164" i="11" a="1"/>
  <c r="K33" i="11"/>
  <c r="K29" i="11"/>
  <c r="C157" i="11" a="1"/>
  <c r="K157" i="11"/>
  <c r="K138" i="11"/>
  <c r="C86" i="11" a="1"/>
  <c r="C142" i="11" a="1"/>
  <c r="C94" i="11" a="1"/>
  <c r="C68" i="11" a="1"/>
  <c r="K32" i="11"/>
  <c r="B87" i="11" a="1"/>
  <c r="C82" i="11" a="1"/>
  <c r="B96" i="11" a="1"/>
  <c r="C156" i="11" a="1"/>
  <c r="C131" i="11" a="1"/>
  <c r="C70" i="11" a="1"/>
  <c r="B27" i="11" a="1"/>
  <c r="K114" i="11"/>
  <c r="C24" i="11" a="1"/>
  <c r="K142" i="11"/>
  <c r="B183" i="11" a="1"/>
  <c r="K147" i="11"/>
  <c r="K84" i="11"/>
  <c r="C113" i="11" a="1"/>
  <c r="B130" i="11" a="1"/>
  <c r="C36" i="11" a="1"/>
  <c r="B8" i="11" a="1"/>
  <c r="C31" i="11" a="1"/>
  <c r="B124" i="11" a="1"/>
  <c r="B172" i="11" a="1"/>
  <c r="B151" i="11" a="1"/>
  <c r="K77" i="11"/>
  <c r="K62" i="11"/>
  <c r="C117" i="11" a="1"/>
  <c r="B18" i="11" a="1"/>
  <c r="K143" i="11"/>
  <c r="K122" i="11"/>
  <c r="C174" i="11" a="1"/>
  <c r="C67" i="11" a="1"/>
  <c r="C99" i="11" a="1"/>
  <c r="C62" i="11" a="1"/>
  <c r="K129" i="11"/>
  <c r="K164" i="11"/>
  <c r="C137" i="11" a="1"/>
  <c r="K140" i="11"/>
  <c r="B70" i="11" a="1"/>
  <c r="B35" i="11" a="1"/>
  <c r="B21" i="11" a="1"/>
  <c r="K183" i="11"/>
  <c r="B39" i="11" a="1"/>
  <c r="B11" i="11" a="1"/>
  <c r="B106" i="11" a="1"/>
  <c r="K26" i="11"/>
  <c r="B156" i="11" a="1"/>
  <c r="K43" i="11"/>
  <c r="B131" i="11" a="1"/>
  <c r="K179" i="11"/>
  <c r="K176" i="11"/>
  <c r="C132" i="11" a="1"/>
  <c r="B145" i="11" a="1"/>
  <c r="K42" i="11"/>
  <c r="B94" i="11" a="1"/>
  <c r="C120" i="11" a="1"/>
  <c r="C52" i="11" a="1"/>
  <c r="K81" i="11"/>
  <c r="B86" i="11" a="1"/>
  <c r="B12" i="11" a="1"/>
  <c r="K97" i="11"/>
  <c r="C183" i="11" a="1"/>
  <c r="C168" i="11" a="1"/>
  <c r="K137" i="11"/>
  <c r="K150" i="11"/>
  <c r="C151" i="11" a="1"/>
  <c r="C53" i="11" a="1"/>
  <c r="B136" i="11" a="1"/>
  <c r="B112" i="11" a="1"/>
  <c r="C107" i="11" a="1"/>
  <c r="K22" i="11"/>
  <c r="C32" i="11" a="1"/>
  <c r="C136" i="11" a="1"/>
  <c r="K57" i="11"/>
  <c r="K70" i="11"/>
  <c r="C38" i="11" a="1"/>
  <c r="C92" i="11" a="1"/>
  <c r="K139" i="11"/>
  <c r="C100" i="11" a="1"/>
  <c r="B22" i="11" a="1"/>
  <c r="B57" i="11" a="1"/>
  <c r="B73" i="11" a="1"/>
  <c r="C161" i="11" a="1"/>
  <c r="C71" i="11" a="1"/>
  <c r="C121" i="11" a="1"/>
  <c r="B180" i="11" a="1"/>
  <c r="B92" i="11" a="1"/>
  <c r="B79" i="11" a="1"/>
  <c r="C134" i="11" a="1"/>
  <c r="K146" i="11"/>
  <c r="B55" i="11" a="1"/>
  <c r="K133" i="11"/>
  <c r="C127" i="11" a="1"/>
  <c r="K171" i="11"/>
  <c r="K54" i="11"/>
  <c r="C172" i="11" a="1"/>
  <c r="C69" i="11" a="1"/>
  <c r="K163" i="11"/>
  <c r="K8" i="11"/>
  <c r="K169" i="11"/>
  <c r="B36" i="11" a="1"/>
  <c r="B115" i="11" a="1"/>
  <c r="K126" i="11"/>
  <c r="C39" i="11" a="1"/>
  <c r="C49" i="11" a="1"/>
  <c r="K46" i="11"/>
  <c r="K83" i="11"/>
  <c r="K51" i="11"/>
  <c r="B147" i="11" a="1"/>
  <c r="B111" i="11" a="1"/>
  <c r="B58" i="11" a="1"/>
  <c r="C159" i="11" a="1"/>
  <c r="B97" i="11" a="1"/>
  <c r="C84" i="11" a="1"/>
  <c r="C78" i="11" a="1"/>
  <c r="C122" i="11" a="1"/>
  <c r="C133" i="11" a="1"/>
  <c r="C178" i="11" a="1"/>
  <c r="B134" i="11" a="1"/>
  <c r="F95" i="49" l="1"/>
  <c r="M178" i="55"/>
  <c r="M180" i="55"/>
  <c r="M177" i="55"/>
  <c r="M189" i="55"/>
  <c r="I107" i="32"/>
  <c r="J205" i="55"/>
  <c r="M179" i="55"/>
  <c r="J161" i="55"/>
  <c r="M185" i="55"/>
  <c r="AE36" i="55"/>
  <c r="AE20" i="55"/>
  <c r="M176" i="55"/>
  <c r="AE39" i="55"/>
  <c r="M188" i="55"/>
  <c r="M175" i="55"/>
  <c r="K203" i="55"/>
  <c r="L203" i="55" s="1"/>
  <c r="AA7" i="55"/>
  <c r="AA27" i="55" s="1"/>
  <c r="K22" i="55"/>
  <c r="AB7" i="55"/>
  <c r="AF7" i="55"/>
  <c r="K7" i="55" s="1"/>
  <c r="AE49" i="55"/>
  <c r="M66" i="55"/>
  <c r="AE40" i="55"/>
  <c r="M174" i="55"/>
  <c r="M186" i="55"/>
  <c r="M187" i="55"/>
  <c r="K8" i="55"/>
  <c r="L66" i="55"/>
  <c r="I199" i="55" s="1"/>
  <c r="K199" i="55" s="1"/>
  <c r="H166" i="55"/>
  <c r="W7" i="55"/>
  <c r="D27" i="55"/>
  <c r="AE52" i="55"/>
  <c r="X7" i="55"/>
  <c r="K24" i="55"/>
  <c r="AE43" i="55"/>
  <c r="AE13" i="55"/>
  <c r="K10" i="55"/>
  <c r="AE50" i="55"/>
  <c r="AE10" i="55"/>
  <c r="AE24" i="55"/>
  <c r="K17" i="55"/>
  <c r="AA38" i="55"/>
  <c r="AE38" i="55" s="1"/>
  <c r="K13" i="55"/>
  <c r="AD7" i="55"/>
  <c r="AE4" i="55"/>
  <c r="AE18" i="55"/>
  <c r="AD45" i="55"/>
  <c r="K19" i="55"/>
  <c r="AE16" i="55"/>
  <c r="K23" i="55"/>
  <c r="K15" i="55"/>
  <c r="AK7" i="55"/>
  <c r="AK18" i="55"/>
  <c r="AE15" i="55"/>
  <c r="AK45" i="55"/>
  <c r="AE9" i="55"/>
  <c r="K6" i="55"/>
  <c r="K16" i="55"/>
  <c r="AD40" i="55"/>
  <c r="AE21" i="55"/>
  <c r="K21" i="55"/>
  <c r="K4" i="55"/>
  <c r="AD18" i="55"/>
  <c r="K18" i="55"/>
  <c r="AD50" i="55"/>
  <c r="AK40" i="55"/>
  <c r="AE12" i="55"/>
  <c r="K25" i="55"/>
  <c r="Z27" i="55"/>
  <c r="AE8" i="55"/>
  <c r="K12" i="55"/>
  <c r="AE22" i="55"/>
  <c r="AN9" i="55"/>
  <c r="AC16" i="55"/>
  <c r="AD16" i="55"/>
  <c r="AE19" i="55"/>
  <c r="AB40" i="55"/>
  <c r="AK35" i="55"/>
  <c r="AE25" i="55"/>
  <c r="AE6" i="55"/>
  <c r="AC9" i="55"/>
  <c r="K9" i="55"/>
  <c r="AK9" i="55"/>
  <c r="AK20" i="55"/>
  <c r="K20" i="55"/>
  <c r="K14" i="55"/>
  <c r="AE14" i="55"/>
  <c r="AE17" i="55"/>
  <c r="L368" i="32"/>
  <c r="AA48" i="55"/>
  <c r="AE48" i="55" s="1"/>
  <c r="AK5" i="55"/>
  <c r="AB36" i="55"/>
  <c r="AC21" i="55"/>
  <c r="AC36" i="55"/>
  <c r="AA41" i="55"/>
  <c r="AE41" i="55" s="1"/>
  <c r="AK48" i="55"/>
  <c r="AK23" i="55"/>
  <c r="N107" i="55"/>
  <c r="N150" i="55" s="1"/>
  <c r="AB39" i="55"/>
  <c r="AD8" i="55"/>
  <c r="AC15" i="55"/>
  <c r="AD15" i="55"/>
  <c r="AD39" i="55"/>
  <c r="AC49" i="55"/>
  <c r="AC4" i="55"/>
  <c r="AC13" i="55"/>
  <c r="AK17" i="55"/>
  <c r="AC24" i="55"/>
  <c r="AA37" i="55"/>
  <c r="AE37" i="55" s="1"/>
  <c r="AK44" i="55"/>
  <c r="AD49" i="55"/>
  <c r="Z56" i="55"/>
  <c r="AD4" i="55"/>
  <c r="AK8" i="55"/>
  <c r="AD13" i="55"/>
  <c r="AD24" i="55"/>
  <c r="AK39" i="55"/>
  <c r="AA47" i="55"/>
  <c r="AE47" i="55" s="1"/>
  <c r="M181" i="55"/>
  <c r="AD12" i="55"/>
  <c r="AK38" i="55"/>
  <c r="AA46" i="55"/>
  <c r="AE46" i="55" s="1"/>
  <c r="AD21" i="55"/>
  <c r="AC46" i="55"/>
  <c r="AC19" i="55"/>
  <c r="AC10" i="55"/>
  <c r="AD17" i="55"/>
  <c r="AK51" i="55"/>
  <c r="AC22" i="55"/>
  <c r="AD37" i="55"/>
  <c r="AB42" i="55"/>
  <c r="AC47" i="55"/>
  <c r="AB52" i="55"/>
  <c r="I100" i="55"/>
  <c r="J160" i="55"/>
  <c r="M182" i="55"/>
  <c r="AK43" i="55"/>
  <c r="AC53" i="55"/>
  <c r="AK12" i="55"/>
  <c r="AK46" i="55"/>
  <c r="AB49" i="55"/>
  <c r="AC37" i="55"/>
  <c r="AD22" i="55"/>
  <c r="AD47" i="55"/>
  <c r="AC52" i="55"/>
  <c r="AC5" i="55"/>
  <c r="AC43" i="55"/>
  <c r="AD5" i="55"/>
  <c r="AE5" i="55"/>
  <c r="AC23" i="55"/>
  <c r="AA51" i="55"/>
  <c r="AE51" i="55" s="1"/>
  <c r="AC41" i="55"/>
  <c r="AC51" i="55"/>
  <c r="AD10" i="55"/>
  <c r="AK41" i="55"/>
  <c r="AC44" i="55"/>
  <c r="J66" i="55"/>
  <c r="G199" i="55" s="1"/>
  <c r="AC6" i="55"/>
  <c r="AD6" i="55"/>
  <c r="K5" i="55"/>
  <c r="AC20" i="55"/>
  <c r="AA35" i="55"/>
  <c r="AA45" i="55"/>
  <c r="AE45" i="55" s="1"/>
  <c r="AD52" i="55"/>
  <c r="M183" i="55"/>
  <c r="AC25" i="55"/>
  <c r="AD14" i="55"/>
  <c r="AD25" i="55"/>
  <c r="AA53" i="55"/>
  <c r="AE53" i="55" s="1"/>
  <c r="I104" i="55"/>
  <c r="AD38" i="55"/>
  <c r="AC48" i="55"/>
  <c r="AD53" i="55"/>
  <c r="AD36" i="55"/>
  <c r="AD19" i="55"/>
  <c r="AA44" i="55"/>
  <c r="AE44" i="55" s="1"/>
  <c r="AC14" i="55"/>
  <c r="M184" i="55"/>
  <c r="B41" i="11"/>
  <c r="B43" i="11"/>
  <c r="C16" i="11"/>
  <c r="B57" i="11"/>
  <c r="C23" i="11"/>
  <c r="B29" i="11"/>
  <c r="C7" i="11"/>
  <c r="B37" i="11"/>
  <c r="C25" i="11"/>
  <c r="B31" i="11"/>
  <c r="B9" i="11"/>
  <c r="B27" i="11"/>
  <c r="B39" i="11"/>
  <c r="C45" i="11"/>
  <c r="C27" i="11"/>
  <c r="B33" i="11"/>
  <c r="C105" i="11"/>
  <c r="C9" i="11"/>
  <c r="B11" i="11"/>
  <c r="C18" i="11"/>
  <c r="C29" i="11"/>
  <c r="C31" i="11"/>
  <c r="B35" i="11"/>
  <c r="C41" i="11"/>
  <c r="C50" i="11"/>
  <c r="C57" i="11"/>
  <c r="C89" i="11"/>
  <c r="C167" i="11"/>
  <c r="C11" i="11"/>
  <c r="B13" i="11"/>
  <c r="C33" i="11"/>
  <c r="C37" i="11"/>
  <c r="B69" i="11"/>
  <c r="C78" i="11"/>
  <c r="C20" i="11"/>
  <c r="B53" i="11"/>
  <c r="B112" i="11"/>
  <c r="C6" i="11"/>
  <c r="C13" i="11"/>
  <c r="B15" i="11"/>
  <c r="C22" i="11"/>
  <c r="C15" i="11"/>
  <c r="B17" i="11"/>
  <c r="C46" i="11"/>
  <c r="C53" i="11"/>
  <c r="B61" i="11"/>
  <c r="B96" i="11"/>
  <c r="C113" i="11"/>
  <c r="C8" i="11"/>
  <c r="C26" i="11"/>
  <c r="C42" i="11"/>
  <c r="B73" i="11"/>
  <c r="C10" i="11"/>
  <c r="C17" i="11"/>
  <c r="B19" i="11"/>
  <c r="C30" i="11"/>
  <c r="C38" i="11"/>
  <c r="B49" i="11"/>
  <c r="C61" i="11"/>
  <c r="C97" i="11"/>
  <c r="C19" i="11"/>
  <c r="B21" i="11"/>
  <c r="C34" i="11"/>
  <c r="B120" i="11"/>
  <c r="C12" i="11"/>
  <c r="C49" i="11"/>
  <c r="C54" i="11"/>
  <c r="B80" i="11"/>
  <c r="B128" i="11"/>
  <c r="B7" i="11"/>
  <c r="C14" i="11"/>
  <c r="C21" i="11"/>
  <c r="B23" i="11"/>
  <c r="B25" i="11"/>
  <c r="B45" i="11"/>
  <c r="B65" i="11"/>
  <c r="B77" i="11"/>
  <c r="B84" i="11"/>
  <c r="B88" i="11"/>
  <c r="B104" i="11"/>
  <c r="C136" i="11"/>
  <c r="B92" i="11"/>
  <c r="B100" i="11"/>
  <c r="B108" i="11"/>
  <c r="B116" i="11"/>
  <c r="B124" i="11"/>
  <c r="B132" i="11"/>
  <c r="C143" i="11"/>
  <c r="C151" i="11"/>
  <c r="C165" i="11"/>
  <c r="C58" i="11"/>
  <c r="C62" i="11"/>
  <c r="C66" i="11"/>
  <c r="C70" i="11"/>
  <c r="C74" i="11"/>
  <c r="C81" i="11"/>
  <c r="C84" i="11"/>
  <c r="B89" i="11"/>
  <c r="C92" i="11"/>
  <c r="B97" i="11"/>
  <c r="C100" i="11"/>
  <c r="B105" i="11"/>
  <c r="C108" i="11"/>
  <c r="B113" i="11"/>
  <c r="C116" i="11"/>
  <c r="B121" i="11"/>
  <c r="C124" i="11"/>
  <c r="B129" i="11"/>
  <c r="C132" i="11"/>
  <c r="C137" i="11"/>
  <c r="C139" i="11"/>
  <c r="B141" i="11"/>
  <c r="C173" i="11"/>
  <c r="C177" i="11"/>
  <c r="B86" i="11"/>
  <c r="B94" i="11"/>
  <c r="B102" i="11"/>
  <c r="B110" i="11"/>
  <c r="B118" i="11"/>
  <c r="B126" i="11"/>
  <c r="B134" i="11"/>
  <c r="B158" i="11"/>
  <c r="C121" i="11"/>
  <c r="C129" i="11"/>
  <c r="C141" i="11"/>
  <c r="C146" i="11"/>
  <c r="B149" i="11"/>
  <c r="B166" i="11"/>
  <c r="C65" i="11"/>
  <c r="C69" i="11"/>
  <c r="C73" i="11"/>
  <c r="C77" i="11"/>
  <c r="B83" i="11"/>
  <c r="C86" i="11"/>
  <c r="B91" i="11"/>
  <c r="C94" i="11"/>
  <c r="B99" i="11"/>
  <c r="C102" i="11"/>
  <c r="B107" i="11"/>
  <c r="C110" i="11"/>
  <c r="B115" i="11"/>
  <c r="C118" i="11"/>
  <c r="B123" i="11"/>
  <c r="C126" i="11"/>
  <c r="B131" i="11"/>
  <c r="C134" i="11"/>
  <c r="B174" i="11"/>
  <c r="B8" i="11"/>
  <c r="B12" i="11"/>
  <c r="B16" i="11"/>
  <c r="B20" i="11"/>
  <c r="B24" i="11"/>
  <c r="B28" i="11"/>
  <c r="B32" i="11"/>
  <c r="B36" i="11"/>
  <c r="B40" i="11"/>
  <c r="B44" i="11"/>
  <c r="B48" i="11"/>
  <c r="B52" i="11"/>
  <c r="B56" i="11"/>
  <c r="B60" i="11"/>
  <c r="B64" i="11"/>
  <c r="B68" i="11"/>
  <c r="B72" i="11"/>
  <c r="B76" i="11"/>
  <c r="C80" i="11"/>
  <c r="C83" i="11"/>
  <c r="C91" i="11"/>
  <c r="C99" i="11"/>
  <c r="C107" i="11"/>
  <c r="C115" i="11"/>
  <c r="C123" i="11"/>
  <c r="C131" i="11"/>
  <c r="B136" i="11"/>
  <c r="B138" i="11"/>
  <c r="C159" i="11"/>
  <c r="C179" i="11"/>
  <c r="C24" i="11"/>
  <c r="C28" i="11"/>
  <c r="C32" i="11"/>
  <c r="C36" i="11"/>
  <c r="C40" i="11"/>
  <c r="C44" i="11"/>
  <c r="C48" i="11"/>
  <c r="C52" i="11"/>
  <c r="C56" i="11"/>
  <c r="C60" i="11"/>
  <c r="C64" i="11"/>
  <c r="C68" i="11"/>
  <c r="C72" i="11"/>
  <c r="D72" i="11" s="1"/>
  <c r="C76" i="11"/>
  <c r="B79" i="11"/>
  <c r="B82" i="11"/>
  <c r="B85" i="11"/>
  <c r="C88" i="11"/>
  <c r="B93" i="11"/>
  <c r="C96" i="11"/>
  <c r="B101" i="11"/>
  <c r="C104" i="11"/>
  <c r="B109" i="11"/>
  <c r="C112" i="11"/>
  <c r="B117" i="11"/>
  <c r="C120" i="11"/>
  <c r="B125" i="11"/>
  <c r="C128" i="11"/>
  <c r="B133" i="11"/>
  <c r="C138" i="11"/>
  <c r="C142" i="11"/>
  <c r="C147" i="11"/>
  <c r="B47" i="11"/>
  <c r="B51" i="11"/>
  <c r="B55" i="11"/>
  <c r="B59" i="11"/>
  <c r="B63" i="11"/>
  <c r="B67" i="11"/>
  <c r="B71" i="11"/>
  <c r="B75" i="11"/>
  <c r="C79" i="11"/>
  <c r="B90" i="11"/>
  <c r="B98" i="11"/>
  <c r="B106" i="11"/>
  <c r="B114" i="11"/>
  <c r="B122" i="11"/>
  <c r="B130" i="11"/>
  <c r="C140" i="11"/>
  <c r="C150" i="11"/>
  <c r="B153" i="11"/>
  <c r="B156" i="11"/>
  <c r="C82" i="11"/>
  <c r="C85" i="11"/>
  <c r="C93" i="11"/>
  <c r="C101" i="11"/>
  <c r="C109" i="11"/>
  <c r="C117" i="11"/>
  <c r="C125" i="11"/>
  <c r="C133" i="11"/>
  <c r="B145" i="11"/>
  <c r="B164" i="11"/>
  <c r="C35" i="11"/>
  <c r="C39" i="11"/>
  <c r="C43" i="11"/>
  <c r="C47" i="11"/>
  <c r="C51" i="11"/>
  <c r="C55" i="11"/>
  <c r="C59" i="11"/>
  <c r="C63" i="11"/>
  <c r="C67" i="11"/>
  <c r="C71" i="11"/>
  <c r="C75" i="11"/>
  <c r="B78" i="11"/>
  <c r="B87" i="11"/>
  <c r="C90" i="11"/>
  <c r="B95" i="11"/>
  <c r="C98" i="11"/>
  <c r="B103" i="11"/>
  <c r="C106" i="11"/>
  <c r="B111" i="11"/>
  <c r="C114" i="11"/>
  <c r="B119" i="11"/>
  <c r="C122" i="11"/>
  <c r="B127" i="11"/>
  <c r="C130" i="11"/>
  <c r="C135" i="11"/>
  <c r="C153" i="11"/>
  <c r="B172" i="11"/>
  <c r="B6" i="11"/>
  <c r="B10" i="11"/>
  <c r="B14" i="11"/>
  <c r="B18" i="11"/>
  <c r="B22" i="11"/>
  <c r="B26" i="11"/>
  <c r="B30" i="11"/>
  <c r="B34" i="11"/>
  <c r="B38" i="11"/>
  <c r="B42" i="11"/>
  <c r="B46" i="11"/>
  <c r="B50" i="11"/>
  <c r="B54" i="11"/>
  <c r="B58" i="11"/>
  <c r="B62" i="11"/>
  <c r="B66" i="11"/>
  <c r="B70" i="11"/>
  <c r="B74" i="11"/>
  <c r="B81" i="11"/>
  <c r="C87" i="11"/>
  <c r="C95" i="11"/>
  <c r="C103" i="11"/>
  <c r="C111" i="11"/>
  <c r="C119" i="11"/>
  <c r="C127" i="11"/>
  <c r="B137" i="11"/>
  <c r="C145" i="11"/>
  <c r="C157" i="11"/>
  <c r="C156" i="11"/>
  <c r="B161" i="11"/>
  <c r="C164" i="11"/>
  <c r="C172" i="11"/>
  <c r="B180" i="11"/>
  <c r="C180" i="11"/>
  <c r="C183" i="11"/>
  <c r="C149" i="11"/>
  <c r="C161" i="11"/>
  <c r="B140" i="11"/>
  <c r="B144" i="11"/>
  <c r="B148" i="11"/>
  <c r="B152" i="11"/>
  <c r="B155" i="11"/>
  <c r="C158" i="11"/>
  <c r="B163" i="11"/>
  <c r="B171" i="11"/>
  <c r="C174" i="11"/>
  <c r="C178" i="11"/>
  <c r="C152" i="11"/>
  <c r="C155" i="11"/>
  <c r="C163" i="11"/>
  <c r="C171" i="11"/>
  <c r="B176" i="11"/>
  <c r="C144" i="11"/>
  <c r="C148" i="11"/>
  <c r="B160" i="11"/>
  <c r="B168" i="11"/>
  <c r="C176" i="11"/>
  <c r="B184" i="11"/>
  <c r="D184" i="11" s="1"/>
  <c r="B135" i="11"/>
  <c r="B139" i="11"/>
  <c r="B143" i="11"/>
  <c r="B147" i="11"/>
  <c r="B151" i="11"/>
  <c r="B157" i="11"/>
  <c r="C160" i="11"/>
  <c r="B165" i="11"/>
  <c r="C168" i="11"/>
  <c r="B173" i="11"/>
  <c r="C184" i="11"/>
  <c r="B154" i="11"/>
  <c r="B162" i="11"/>
  <c r="B170" i="11"/>
  <c r="B142" i="11"/>
  <c r="B146" i="11"/>
  <c r="B150" i="11"/>
  <c r="C154" i="11"/>
  <c r="B159" i="11"/>
  <c r="C162" i="11"/>
  <c r="B167" i="11"/>
  <c r="C170" i="11"/>
  <c r="C175" i="11"/>
  <c r="B178" i="11"/>
  <c r="B182" i="11"/>
  <c r="C182" i="11"/>
  <c r="B177" i="11"/>
  <c r="B181" i="11"/>
  <c r="C181" i="11"/>
  <c r="B175" i="11"/>
  <c r="B179" i="11"/>
  <c r="B183" i="11"/>
  <c r="N371" i="32"/>
  <c r="F33" i="1" s="1"/>
  <c r="L63" i="49"/>
  <c r="L61" i="49"/>
  <c r="L62" i="49"/>
  <c r="AN10" i="55" l="1"/>
  <c r="AN11" i="55"/>
  <c r="AN7" i="55"/>
  <c r="AN8" i="55"/>
  <c r="J166" i="55"/>
  <c r="J226" i="56" s="1"/>
  <c r="J228" i="56" s="1"/>
  <c r="H116" i="55"/>
  <c r="E202" i="55"/>
  <c r="G202" i="55"/>
  <c r="L199" i="55"/>
  <c r="G198" i="55"/>
  <c r="AE7" i="55"/>
  <c r="AF27" i="55"/>
  <c r="AF28" i="55" s="1"/>
  <c r="H198" i="55" s="1"/>
  <c r="I150" i="55"/>
  <c r="F198" i="55"/>
  <c r="AC56" i="55"/>
  <c r="AB56" i="55"/>
  <c r="AB27" i="55"/>
  <c r="AE35" i="55"/>
  <c r="AA56" i="55"/>
  <c r="I198" i="55" s="1"/>
  <c r="AD27" i="55"/>
  <c r="AC30" i="55" s="1"/>
  <c r="AC27" i="55"/>
  <c r="AC29" i="55" s="1"/>
  <c r="K29" i="1"/>
  <c r="D17" i="11"/>
  <c r="D142" i="11"/>
  <c r="D106" i="11"/>
  <c r="D12" i="11"/>
  <c r="D38" i="11"/>
  <c r="D124" i="11"/>
  <c r="D30" i="11"/>
  <c r="D154" i="11"/>
  <c r="D25" i="11"/>
  <c r="D139" i="11"/>
  <c r="D78" i="11"/>
  <c r="D146" i="11"/>
  <c r="D143" i="11"/>
  <c r="D179" i="11"/>
  <c r="D94" i="11"/>
  <c r="D55" i="11"/>
  <c r="D48" i="11"/>
  <c r="D168" i="11"/>
  <c r="D129" i="11"/>
  <c r="D89" i="11"/>
  <c r="D167" i="11"/>
  <c r="D42" i="11"/>
  <c r="D115" i="11"/>
  <c r="D152" i="11"/>
  <c r="D51" i="11"/>
  <c r="D21" i="11"/>
  <c r="D169" i="11"/>
  <c r="D34" i="11"/>
  <c r="D50" i="11"/>
  <c r="D161" i="11"/>
  <c r="D138" i="11"/>
  <c r="D88" i="11"/>
  <c r="D178" i="11"/>
  <c r="D101" i="11"/>
  <c r="D105" i="11"/>
  <c r="D13" i="11"/>
  <c r="D6" i="11"/>
  <c r="D16" i="11"/>
  <c r="D159" i="11"/>
  <c r="D145" i="11"/>
  <c r="D151" i="11"/>
  <c r="D22" i="11"/>
  <c r="D46" i="11"/>
  <c r="D71" i="11"/>
  <c r="D147" i="11"/>
  <c r="D11" i="11"/>
  <c r="D173" i="11"/>
  <c r="D156" i="11"/>
  <c r="D155" i="11"/>
  <c r="D59" i="11"/>
  <c r="D102" i="11"/>
  <c r="D157" i="11"/>
  <c r="D109" i="11"/>
  <c r="D104" i="11"/>
  <c r="D93" i="11"/>
  <c r="D54" i="11"/>
  <c r="D133" i="11"/>
  <c r="D158" i="11"/>
  <c r="D43" i="11"/>
  <c r="D171" i="11"/>
  <c r="D172" i="11"/>
  <c r="D95" i="11"/>
  <c r="D75" i="11"/>
  <c r="D44" i="11"/>
  <c r="D131" i="11"/>
  <c r="D83" i="11"/>
  <c r="D116" i="11"/>
  <c r="D23" i="11"/>
  <c r="D112" i="11"/>
  <c r="D39" i="11"/>
  <c r="D41" i="11"/>
  <c r="D108" i="11"/>
  <c r="D53" i="11"/>
  <c r="D27" i="11"/>
  <c r="D125" i="11"/>
  <c r="D160" i="11"/>
  <c r="D163" i="11"/>
  <c r="D87" i="11"/>
  <c r="D67" i="11"/>
  <c r="D123" i="11"/>
  <c r="D118" i="11"/>
  <c r="D100" i="11"/>
  <c r="D96" i="11"/>
  <c r="D9" i="11"/>
  <c r="D165" i="11"/>
  <c r="D164" i="11"/>
  <c r="D63" i="11"/>
  <c r="D117" i="11"/>
  <c r="D110" i="11"/>
  <c r="D121" i="11"/>
  <c r="D92" i="11"/>
  <c r="D7" i="11"/>
  <c r="D49" i="11"/>
  <c r="D85" i="11"/>
  <c r="D82" i="11"/>
  <c r="D126" i="11"/>
  <c r="D153" i="11"/>
  <c r="D36" i="11"/>
  <c r="D35" i="11"/>
  <c r="D183" i="11"/>
  <c r="D32" i="11"/>
  <c r="D61" i="11"/>
  <c r="D31" i="11"/>
  <c r="D76" i="11"/>
  <c r="D128" i="11"/>
  <c r="D176" i="11"/>
  <c r="D81" i="11"/>
  <c r="D130" i="11"/>
  <c r="D166" i="11"/>
  <c r="D113" i="11"/>
  <c r="D80" i="11"/>
  <c r="D20" i="11"/>
  <c r="D19" i="11"/>
  <c r="D134" i="11"/>
  <c r="D79" i="11"/>
  <c r="D40" i="11"/>
  <c r="D180" i="11"/>
  <c r="D127" i="11"/>
  <c r="D28" i="11"/>
  <c r="D69" i="11"/>
  <c r="D175" i="11"/>
  <c r="D24" i="11"/>
  <c r="D37" i="11"/>
  <c r="D150" i="11"/>
  <c r="D148" i="11"/>
  <c r="D74" i="11"/>
  <c r="D26" i="11"/>
  <c r="D119" i="11"/>
  <c r="D122" i="11"/>
  <c r="D68" i="11"/>
  <c r="D107" i="11"/>
  <c r="D149" i="11"/>
  <c r="D86" i="11"/>
  <c r="D181" i="11"/>
  <c r="D144" i="11"/>
  <c r="D70" i="11"/>
  <c r="D114" i="11"/>
  <c r="D47" i="11"/>
  <c r="D136" i="11"/>
  <c r="D64" i="11"/>
  <c r="D84" i="11"/>
  <c r="D29" i="11"/>
  <c r="D177" i="11"/>
  <c r="D140" i="11"/>
  <c r="D66" i="11"/>
  <c r="D18" i="11"/>
  <c r="D111" i="11"/>
  <c r="D60" i="11"/>
  <c r="D99" i="11"/>
  <c r="D77" i="11"/>
  <c r="D170" i="11"/>
  <c r="D62" i="11"/>
  <c r="D14" i="11"/>
  <c r="D98" i="11"/>
  <c r="D56" i="11"/>
  <c r="D8" i="11"/>
  <c r="D141" i="11"/>
  <c r="D97" i="11"/>
  <c r="D65" i="11"/>
  <c r="D120" i="11"/>
  <c r="D73" i="11"/>
  <c r="D15" i="11"/>
  <c r="D33" i="11"/>
  <c r="D57" i="11"/>
  <c r="D182" i="11"/>
  <c r="D162" i="11"/>
  <c r="D135" i="11"/>
  <c r="D137" i="11"/>
  <c r="D58" i="11"/>
  <c r="D10" i="11"/>
  <c r="D103" i="11"/>
  <c r="D90" i="11"/>
  <c r="D52" i="11"/>
  <c r="D174" i="11"/>
  <c r="D91" i="11"/>
  <c r="D132" i="11"/>
  <c r="D45" i="11"/>
  <c r="H76" i="55" l="1"/>
  <c r="H75" i="55"/>
  <c r="F2" i="1"/>
  <c r="I202" i="55"/>
  <c r="K202" i="55" s="1"/>
  <c r="H108" i="55"/>
  <c r="J116" i="55"/>
  <c r="K116" i="55"/>
  <c r="L116" i="55"/>
  <c r="M116" i="55"/>
  <c r="H85" i="55"/>
  <c r="H121" i="55"/>
  <c r="I98" i="11"/>
  <c r="I91" i="11"/>
  <c r="I136" i="11"/>
  <c r="I110" i="11"/>
  <c r="I135" i="11"/>
  <c r="I143" i="11"/>
  <c r="I88" i="11"/>
  <c r="I131" i="11"/>
  <c r="I95" i="11"/>
  <c r="I153" i="11"/>
  <c r="I137" i="11"/>
  <c r="I113" i="11"/>
  <c r="I96" i="11"/>
  <c r="I105" i="11"/>
  <c r="I92" i="11"/>
  <c r="I168" i="11"/>
  <c r="I84" i="11"/>
  <c r="I145" i="11"/>
  <c r="I69" i="11"/>
  <c r="I140" i="11"/>
  <c r="I24" i="11"/>
  <c r="I37" i="11"/>
  <c r="I93" i="11"/>
  <c r="I102" i="11"/>
  <c r="I139" i="11"/>
  <c r="I148" i="11"/>
  <c r="I176" i="11"/>
  <c r="I100" i="11"/>
  <c r="I72" i="11"/>
  <c r="I63" i="11"/>
  <c r="I112" i="11"/>
  <c r="I119" i="11"/>
  <c r="I150" i="11"/>
  <c r="I59" i="11"/>
  <c r="I173" i="11"/>
  <c r="I86" i="11"/>
  <c r="I117" i="11"/>
  <c r="I58" i="11"/>
  <c r="I147" i="11"/>
  <c r="I42" i="11"/>
  <c r="I166" i="11"/>
  <c r="I146" i="11"/>
  <c r="I9" i="11"/>
  <c r="I57" i="11"/>
  <c r="I36" i="11"/>
  <c r="I18" i="11"/>
  <c r="I175" i="11"/>
  <c r="I26" i="11"/>
  <c r="I104" i="11"/>
  <c r="I34" i="11"/>
  <c r="I22" i="11"/>
  <c r="I125" i="11"/>
  <c r="I87" i="11"/>
  <c r="I53" i="11"/>
  <c r="I97" i="11"/>
  <c r="I90" i="11"/>
  <c r="I21" i="11"/>
  <c r="I25" i="11"/>
  <c r="I85" i="11"/>
  <c r="I144" i="11"/>
  <c r="I138" i="11"/>
  <c r="I120" i="11"/>
  <c r="I106" i="11"/>
  <c r="I118" i="11"/>
  <c r="I66" i="11"/>
  <c r="I29" i="11"/>
  <c r="I60" i="11"/>
  <c r="I56" i="11"/>
  <c r="I109" i="11"/>
  <c r="I45" i="11"/>
  <c r="I158" i="11"/>
  <c r="I116" i="11"/>
  <c r="I51" i="11"/>
  <c r="I167" i="11"/>
  <c r="I71" i="11"/>
  <c r="I33" i="11"/>
  <c r="I127" i="11"/>
  <c r="I157" i="11"/>
  <c r="I121" i="11"/>
  <c r="I54" i="11"/>
  <c r="I61" i="11"/>
  <c r="I48" i="11"/>
  <c r="I32" i="11"/>
  <c r="I165" i="11"/>
  <c r="H97" i="55"/>
  <c r="I108" i="11"/>
  <c r="I99" i="11"/>
  <c r="I182" i="11"/>
  <c r="I111" i="11"/>
  <c r="I101" i="11"/>
  <c r="I169" i="11"/>
  <c r="I149" i="11"/>
  <c r="I79" i="11"/>
  <c r="I31" i="11"/>
  <c r="I70" i="11"/>
  <c r="I170" i="11"/>
  <c r="I107" i="11"/>
  <c r="I184" i="11"/>
  <c r="I132" i="11"/>
  <c r="I49" i="11"/>
  <c r="I50" i="11"/>
  <c r="I89" i="11"/>
  <c r="I172" i="11"/>
  <c r="I65" i="11"/>
  <c r="I19" i="11"/>
  <c r="I163" i="11"/>
  <c r="I94" i="11"/>
  <c r="I23" i="11"/>
  <c r="I161" i="11"/>
  <c r="I114" i="11"/>
  <c r="I123" i="11"/>
  <c r="I160" i="11"/>
  <c r="I164" i="11"/>
  <c r="I183" i="11"/>
  <c r="I174" i="11"/>
  <c r="I171" i="11"/>
  <c r="L20" i="21"/>
  <c r="I124" i="11"/>
  <c r="I103" i="11"/>
  <c r="I129" i="11"/>
  <c r="I39" i="11"/>
  <c r="I62" i="11"/>
  <c r="H138" i="55"/>
  <c r="I130" i="11"/>
  <c r="I159" i="11"/>
  <c r="I141" i="11"/>
  <c r="I142" i="11"/>
  <c r="I115" i="11"/>
  <c r="I28" i="11"/>
  <c r="I8" i="11"/>
  <c r="I152" i="11"/>
  <c r="I55" i="11"/>
  <c r="I44" i="11"/>
  <c r="I162" i="11"/>
  <c r="I20" i="11"/>
  <c r="I27" i="11"/>
  <c r="I47" i="11"/>
  <c r="I43" i="11"/>
  <c r="I74" i="11"/>
  <c r="I177" i="11"/>
  <c r="I41" i="11"/>
  <c r="I128" i="11"/>
  <c r="I126" i="11"/>
  <c r="I30" i="11"/>
  <c r="I17" i="11"/>
  <c r="I64" i="11"/>
  <c r="H142" i="55"/>
  <c r="I38" i="11"/>
  <c r="I67" i="11"/>
  <c r="I155" i="11"/>
  <c r="I76" i="11"/>
  <c r="I151" i="11"/>
  <c r="I122" i="11"/>
  <c r="I7" i="11"/>
  <c r="I52" i="11"/>
  <c r="I16" i="11"/>
  <c r="K198" i="55"/>
  <c r="L198" i="55" s="1"/>
  <c r="I134" i="11"/>
  <c r="I81" i="11"/>
  <c r="I6" i="11"/>
  <c r="I10" i="11"/>
  <c r="H129" i="55"/>
  <c r="M129" i="55" s="1"/>
  <c r="I40" i="11"/>
  <c r="H130" i="55"/>
  <c r="M130" i="55" s="1"/>
  <c r="H145" i="55"/>
  <c r="AD56" i="55"/>
  <c r="K25" i="1"/>
  <c r="K76" i="55" l="1"/>
  <c r="L76" i="55" s="1"/>
  <c r="J76" i="55"/>
  <c r="J75" i="55"/>
  <c r="K75" i="55"/>
  <c r="L75" i="55" s="1"/>
  <c r="J74" i="55"/>
  <c r="V74" i="55" s="1"/>
  <c r="K74" i="55"/>
  <c r="L74" i="55" s="1"/>
  <c r="I13" i="11"/>
  <c r="I181" i="11"/>
  <c r="I178" i="11"/>
  <c r="I154" i="11"/>
  <c r="M155" i="55"/>
  <c r="O155" i="55" s="1"/>
  <c r="I133" i="11"/>
  <c r="K30" i="21"/>
  <c r="I179" i="11"/>
  <c r="I180" i="11"/>
  <c r="I12" i="11"/>
  <c r="I75" i="11"/>
  <c r="P116" i="55"/>
  <c r="AG116" i="55"/>
  <c r="I11" i="11"/>
  <c r="J85" i="55"/>
  <c r="Y85" i="55" s="1"/>
  <c r="K85" i="55"/>
  <c r="L85" i="55" s="1"/>
  <c r="K121" i="55"/>
  <c r="M121" i="55"/>
  <c r="J121" i="55"/>
  <c r="L121" i="55"/>
  <c r="H79" i="55"/>
  <c r="K79" i="55" s="1"/>
  <c r="L79" i="55" s="1"/>
  <c r="H84" i="55"/>
  <c r="I77" i="11"/>
  <c r="I80" i="11"/>
  <c r="H77" i="55"/>
  <c r="H78" i="55"/>
  <c r="E87" i="55" s="1"/>
  <c r="H83" i="55"/>
  <c r="H82" i="55"/>
  <c r="E88" i="55" s="1"/>
  <c r="H81" i="55"/>
  <c r="K81" i="55" s="1"/>
  <c r="L81" i="55" s="1"/>
  <c r="H80" i="55"/>
  <c r="K80" i="55" s="1"/>
  <c r="L80" i="55" s="1"/>
  <c r="I83" i="11"/>
  <c r="I78" i="11"/>
  <c r="H126" i="55"/>
  <c r="L126" i="55" s="1"/>
  <c r="H125" i="55"/>
  <c r="M125" i="55" s="1"/>
  <c r="H147" i="55"/>
  <c r="M147" i="55" s="1"/>
  <c r="H144" i="55"/>
  <c r="M144" i="55" s="1"/>
  <c r="L11" i="21"/>
  <c r="M37" i="21"/>
  <c r="H143" i="55"/>
  <c r="M143" i="55" s="1"/>
  <c r="H141" i="55"/>
  <c r="M141" i="55" s="1"/>
  <c r="H135" i="55"/>
  <c r="M135" i="55" s="1"/>
  <c r="L26" i="21"/>
  <c r="I82" i="11"/>
  <c r="H99" i="55"/>
  <c r="L99" i="55" s="1"/>
  <c r="L34" i="21"/>
  <c r="L14" i="1"/>
  <c r="H146" i="55"/>
  <c r="K146" i="55" s="1"/>
  <c r="H103" i="55"/>
  <c r="M103" i="55" s="1"/>
  <c r="L5" i="1"/>
  <c r="H106" i="55"/>
  <c r="J106" i="55" s="1"/>
  <c r="I46" i="11"/>
  <c r="H113" i="55"/>
  <c r="M113" i="55" s="1"/>
  <c r="H98" i="55"/>
  <c r="M98" i="55" s="1"/>
  <c r="H132" i="55"/>
  <c r="M132" i="55" s="1"/>
  <c r="I73" i="11"/>
  <c r="H95" i="55"/>
  <c r="J95" i="55" s="1"/>
  <c r="M108" i="55"/>
  <c r="M25" i="21"/>
  <c r="K22" i="21"/>
  <c r="H119" i="55"/>
  <c r="J119" i="55" s="1"/>
  <c r="I35" i="11"/>
  <c r="K100" i="55"/>
  <c r="H127" i="55"/>
  <c r="L127" i="55" s="1"/>
  <c r="H133" i="55"/>
  <c r="K133" i="55" s="1"/>
  <c r="I68" i="11"/>
  <c r="K15" i="21"/>
  <c r="L33" i="21"/>
  <c r="I156" i="11"/>
  <c r="I15" i="11"/>
  <c r="I14" i="11"/>
  <c r="J129" i="55"/>
  <c r="K129" i="55"/>
  <c r="L129" i="55"/>
  <c r="M140" i="55"/>
  <c r="J140" i="55"/>
  <c r="K140" i="55"/>
  <c r="L140" i="55"/>
  <c r="H112" i="55"/>
  <c r="J112" i="55" s="1"/>
  <c r="H114" i="55"/>
  <c r="J114" i="55" s="1"/>
  <c r="H136" i="55"/>
  <c r="L136" i="55" s="1"/>
  <c r="H137" i="55"/>
  <c r="J137" i="55" s="1"/>
  <c r="H134" i="55"/>
  <c r="J134" i="55" s="1"/>
  <c r="L24" i="21"/>
  <c r="L145" i="55"/>
  <c r="K145" i="55"/>
  <c r="J145" i="55"/>
  <c r="M145" i="55"/>
  <c r="H139" i="55"/>
  <c r="J139" i="55" s="1"/>
  <c r="L97" i="55"/>
  <c r="K97" i="55"/>
  <c r="M97" i="55"/>
  <c r="J97" i="55"/>
  <c r="X97" i="55" s="1"/>
  <c r="X151" i="55" s="1"/>
  <c r="E5" i="59" s="1"/>
  <c r="N11" i="59" s="1"/>
  <c r="H115" i="55"/>
  <c r="K115" i="55" s="1"/>
  <c r="L27" i="21"/>
  <c r="K28" i="21"/>
  <c r="H102" i="55"/>
  <c r="J102" i="55" s="1"/>
  <c r="H128" i="55"/>
  <c r="L128" i="55" s="1"/>
  <c r="H124" i="55"/>
  <c r="J124" i="55" s="1"/>
  <c r="K23" i="21"/>
  <c r="H3" i="1"/>
  <c r="L39" i="21"/>
  <c r="H101" i="55"/>
  <c r="M101" i="55" s="1"/>
  <c r="M154" i="55"/>
  <c r="O154" i="55" s="1"/>
  <c r="M17" i="21"/>
  <c r="H105" i="55"/>
  <c r="J105" i="55" s="1"/>
  <c r="M42" i="21"/>
  <c r="L9" i="1"/>
  <c r="K31" i="21"/>
  <c r="M153" i="55"/>
  <c r="O153" i="55" s="1"/>
  <c r="H107" i="55"/>
  <c r="K107" i="55" s="1"/>
  <c r="K41" i="21"/>
  <c r="H104" i="55"/>
  <c r="J104" i="55" s="1"/>
  <c r="M19" i="21"/>
  <c r="M40" i="21"/>
  <c r="H123" i="55"/>
  <c r="L123" i="55" s="1"/>
  <c r="M152" i="55"/>
  <c r="O152" i="55" s="1"/>
  <c r="K29" i="21"/>
  <c r="M38" i="21"/>
  <c r="K18" i="21"/>
  <c r="M117" i="55"/>
  <c r="H118" i="55"/>
  <c r="H122" i="55"/>
  <c r="J122" i="55" s="1"/>
  <c r="H131" i="55"/>
  <c r="M131" i="55" s="1"/>
  <c r="K94" i="55"/>
  <c r="M138" i="55"/>
  <c r="K138" i="55"/>
  <c r="L138" i="55"/>
  <c r="J138" i="55"/>
  <c r="L16" i="21"/>
  <c r="L10" i="1"/>
  <c r="H2" i="1"/>
  <c r="H120" i="55"/>
  <c r="L120" i="55" s="1"/>
  <c r="H109" i="55"/>
  <c r="J1" i="1"/>
  <c r="M142" i="55"/>
  <c r="L142" i="55"/>
  <c r="J142" i="55"/>
  <c r="K142" i="55"/>
  <c r="F1" i="1"/>
  <c r="L6" i="1"/>
  <c r="L12" i="1"/>
  <c r="K20" i="21"/>
  <c r="H111" i="55"/>
  <c r="M111" i="55" s="1"/>
  <c r="M35" i="21"/>
  <c r="L11" i="1"/>
  <c r="M20" i="21"/>
  <c r="L13" i="1"/>
  <c r="H1" i="1"/>
  <c r="L8" i="1"/>
  <c r="K130" i="55"/>
  <c r="L130" i="55"/>
  <c r="J130" i="55"/>
  <c r="V87" i="55" l="1"/>
  <c r="V89" i="55" s="1"/>
  <c r="J77" i="55"/>
  <c r="X77" i="55" s="1"/>
  <c r="W87" i="55"/>
  <c r="W89" i="55" s="1"/>
  <c r="AX145" i="55"/>
  <c r="AX151" i="55" s="1"/>
  <c r="AE5" i="59" s="1"/>
  <c r="N37" i="59" s="1"/>
  <c r="P145" i="55"/>
  <c r="L30" i="21"/>
  <c r="M30" i="21"/>
  <c r="P140" i="55"/>
  <c r="AS140" i="55"/>
  <c r="AS151" i="55" s="1"/>
  <c r="Z5" i="59" s="1"/>
  <c r="N32" i="59" s="1"/>
  <c r="P114" i="55"/>
  <c r="AG114" i="55"/>
  <c r="P112" i="55"/>
  <c r="AG112" i="55"/>
  <c r="P134" i="55"/>
  <c r="AQ134" i="55"/>
  <c r="P137" i="55"/>
  <c r="AQ137" i="55"/>
  <c r="P129" i="55"/>
  <c r="AN129" i="55"/>
  <c r="P130" i="55"/>
  <c r="AN130" i="55"/>
  <c r="P119" i="55"/>
  <c r="AH119" i="55"/>
  <c r="P139" i="55"/>
  <c r="AR139" i="55"/>
  <c r="P138" i="55"/>
  <c r="AR138" i="55"/>
  <c r="P102" i="55"/>
  <c r="AB102" i="55"/>
  <c r="P142" i="55"/>
  <c r="AU142" i="55"/>
  <c r="AU151" i="55" s="1"/>
  <c r="AB5" i="59" s="1"/>
  <c r="N34" i="59" s="1"/>
  <c r="P121" i="55"/>
  <c r="AI121" i="55"/>
  <c r="P95" i="55"/>
  <c r="V95" i="55"/>
  <c r="P105" i="55"/>
  <c r="AC105" i="55"/>
  <c r="P106" i="55"/>
  <c r="AC106" i="55"/>
  <c r="P104" i="55"/>
  <c r="AC104" i="55"/>
  <c r="P124" i="55"/>
  <c r="AJ124" i="55"/>
  <c r="P122" i="55"/>
  <c r="AJ122" i="55"/>
  <c r="J79" i="55"/>
  <c r="X79" i="55" s="1"/>
  <c r="K84" i="55"/>
  <c r="L84" i="55" s="1"/>
  <c r="J84" i="55"/>
  <c r="X84" i="55" s="1"/>
  <c r="K77" i="55"/>
  <c r="L77" i="55" s="1"/>
  <c r="J83" i="55"/>
  <c r="Y83" i="55" s="1"/>
  <c r="K83" i="55"/>
  <c r="L83" i="55" s="1"/>
  <c r="I89" i="55"/>
  <c r="E155" i="55"/>
  <c r="J81" i="55"/>
  <c r="Y81" i="55" s="1"/>
  <c r="J80" i="55"/>
  <c r="Y80" i="55" s="1"/>
  <c r="J144" i="55"/>
  <c r="L125" i="55"/>
  <c r="K125" i="55"/>
  <c r="K126" i="55"/>
  <c r="M126" i="55"/>
  <c r="J82" i="55"/>
  <c r="Y82" i="55" s="1"/>
  <c r="K82" i="55"/>
  <c r="L82" i="55" s="1"/>
  <c r="J126" i="55"/>
  <c r="J78" i="55"/>
  <c r="X78" i="55" s="1"/>
  <c r="K78" i="55"/>
  <c r="L78" i="55" s="1"/>
  <c r="J125" i="55"/>
  <c r="M11" i="21"/>
  <c r="K11" i="21"/>
  <c r="L147" i="55"/>
  <c r="J147" i="55"/>
  <c r="K147" i="55"/>
  <c r="K141" i="55"/>
  <c r="K99" i="55"/>
  <c r="M26" i="21"/>
  <c r="K143" i="55"/>
  <c r="J143" i="55"/>
  <c r="L143" i="55"/>
  <c r="K144" i="55"/>
  <c r="L144" i="55"/>
  <c r="K135" i="55"/>
  <c r="L135" i="55"/>
  <c r="J141" i="55"/>
  <c r="L141" i="55"/>
  <c r="K37" i="21"/>
  <c r="L37" i="21"/>
  <c r="K103" i="55"/>
  <c r="M146" i="55"/>
  <c r="L146" i="55"/>
  <c r="L103" i="55"/>
  <c r="J103" i="55"/>
  <c r="J135" i="55"/>
  <c r="M99" i="55"/>
  <c r="K26" i="21"/>
  <c r="J99" i="55"/>
  <c r="Z99" i="55" s="1"/>
  <c r="Z151" i="55" s="1"/>
  <c r="G5" i="59" s="1"/>
  <c r="N13" i="59" s="1"/>
  <c r="J146" i="55"/>
  <c r="L98" i="55"/>
  <c r="M34" i="21"/>
  <c r="K34" i="21"/>
  <c r="K108" i="55"/>
  <c r="K98" i="55"/>
  <c r="J98" i="55"/>
  <c r="Y98" i="55" s="1"/>
  <c r="Y151" i="55" s="1"/>
  <c r="F5" i="59" s="1"/>
  <c r="N12" i="59" s="1"/>
  <c r="K113" i="55"/>
  <c r="J113" i="55"/>
  <c r="L113" i="55"/>
  <c r="L106" i="55"/>
  <c r="M106" i="55"/>
  <c r="K106" i="55"/>
  <c r="L25" i="21"/>
  <c r="K25" i="21"/>
  <c r="K132" i="55"/>
  <c r="M22" i="21"/>
  <c r="L22" i="21"/>
  <c r="L132" i="55"/>
  <c r="J132" i="55"/>
  <c r="L119" i="55"/>
  <c r="M119" i="55"/>
  <c r="M133" i="55"/>
  <c r="M95" i="55"/>
  <c r="L95" i="55"/>
  <c r="L133" i="55"/>
  <c r="K95" i="55"/>
  <c r="J133" i="55"/>
  <c r="J100" i="55"/>
  <c r="M100" i="55"/>
  <c r="L100" i="55"/>
  <c r="K119" i="55"/>
  <c r="L108" i="55"/>
  <c r="J108" i="55"/>
  <c r="L15" i="21"/>
  <c r="M15" i="21"/>
  <c r="M127" i="55"/>
  <c r="K127" i="55"/>
  <c r="J127" i="55"/>
  <c r="K33" i="21"/>
  <c r="M33" i="21"/>
  <c r="K112" i="55"/>
  <c r="L112" i="55"/>
  <c r="L114" i="55"/>
  <c r="M112" i="55"/>
  <c r="M114" i="55"/>
  <c r="K114" i="55"/>
  <c r="M134" i="55"/>
  <c r="K136" i="55"/>
  <c r="M136" i="55"/>
  <c r="L134" i="55"/>
  <c r="M137" i="55"/>
  <c r="L137" i="55"/>
  <c r="K137" i="55"/>
  <c r="J136" i="55"/>
  <c r="K134" i="55"/>
  <c r="K24" i="21"/>
  <c r="M24" i="21"/>
  <c r="J101" i="55"/>
  <c r="L139" i="55"/>
  <c r="M139" i="55"/>
  <c r="L101" i="55"/>
  <c r="K139" i="55"/>
  <c r="K102" i="55"/>
  <c r="L102" i="55"/>
  <c r="J115" i="55"/>
  <c r="L115" i="55"/>
  <c r="M115" i="55"/>
  <c r="K27" i="21"/>
  <c r="K101" i="55"/>
  <c r="L23" i="21"/>
  <c r="M28" i="21"/>
  <c r="L28" i="21"/>
  <c r="M102" i="55"/>
  <c r="M27" i="21"/>
  <c r="K128" i="55"/>
  <c r="J128" i="55"/>
  <c r="L124" i="55"/>
  <c r="M124" i="55"/>
  <c r="M128" i="55"/>
  <c r="K124" i="55"/>
  <c r="L107" i="55"/>
  <c r="J107" i="55"/>
  <c r="L17" i="21"/>
  <c r="M23" i="21"/>
  <c r="K17" i="21"/>
  <c r="K123" i="55"/>
  <c r="J123" i="55"/>
  <c r="K117" i="55"/>
  <c r="M39" i="21"/>
  <c r="K39" i="21"/>
  <c r="M31" i="21"/>
  <c r="K122" i="55"/>
  <c r="L31" i="21"/>
  <c r="M107" i="55"/>
  <c r="M122" i="55"/>
  <c r="L122" i="55"/>
  <c r="L38" i="21"/>
  <c r="M29" i="21"/>
  <c r="K38" i="21"/>
  <c r="L29" i="21"/>
  <c r="K40" i="21"/>
  <c r="M105" i="55"/>
  <c r="L40" i="21"/>
  <c r="L105" i="55"/>
  <c r="L41" i="21"/>
  <c r="J117" i="55"/>
  <c r="K42" i="21"/>
  <c r="L117" i="55"/>
  <c r="K105" i="55"/>
  <c r="M18" i="21"/>
  <c r="L18" i="21"/>
  <c r="M123" i="55"/>
  <c r="M104" i="55"/>
  <c r="L42" i="21"/>
  <c r="L19" i="21"/>
  <c r="K19" i="21"/>
  <c r="K104" i="55"/>
  <c r="L104" i="55"/>
  <c r="M41" i="21"/>
  <c r="M16" i="21"/>
  <c r="J111" i="55"/>
  <c r="L94" i="55"/>
  <c r="K32" i="21"/>
  <c r="M32" i="21"/>
  <c r="L32" i="21"/>
  <c r="M118" i="55"/>
  <c r="L118" i="55"/>
  <c r="K118" i="55"/>
  <c r="J118" i="55"/>
  <c r="L131" i="55"/>
  <c r="M94" i="55"/>
  <c r="K131" i="55"/>
  <c r="J94" i="55"/>
  <c r="V94" i="55" s="1"/>
  <c r="J131" i="55"/>
  <c r="K120" i="55"/>
  <c r="J120" i="55"/>
  <c r="M109" i="55"/>
  <c r="L109" i="55"/>
  <c r="H110" i="55"/>
  <c r="K109" i="55"/>
  <c r="J109" i="55"/>
  <c r="K16" i="21"/>
  <c r="K14" i="21"/>
  <c r="M14" i="21"/>
  <c r="L14" i="21"/>
  <c r="M120" i="55"/>
  <c r="K35" i="21"/>
  <c r="L111" i="55"/>
  <c r="L35" i="21"/>
  <c r="K111" i="55"/>
  <c r="K36" i="21"/>
  <c r="M36" i="21"/>
  <c r="L36" i="21"/>
  <c r="H32" i="49"/>
  <c r="Y87" i="55" l="1"/>
  <c r="Y89" i="55" s="1"/>
  <c r="X87" i="55"/>
  <c r="AZ147" i="55"/>
  <c r="AZ151" i="55" s="1"/>
  <c r="AG5" i="59" s="1"/>
  <c r="N39" i="59" s="1"/>
  <c r="P147" i="55"/>
  <c r="AV143" i="55"/>
  <c r="AV151" i="55" s="1"/>
  <c r="AC5" i="59" s="1"/>
  <c r="N35" i="59" s="1"/>
  <c r="P143" i="55"/>
  <c r="AW144" i="55"/>
  <c r="AW151" i="55" s="1"/>
  <c r="AD5" i="59" s="1"/>
  <c r="N36" i="59" s="1"/>
  <c r="P144" i="55"/>
  <c r="AY146" i="55"/>
  <c r="AY151" i="55" s="1"/>
  <c r="AF5" i="59" s="1"/>
  <c r="N38" i="59" s="1"/>
  <c r="P146" i="55"/>
  <c r="P125" i="55"/>
  <c r="AK125" i="55"/>
  <c r="AK151" i="55" s="1"/>
  <c r="R5" i="59" s="1"/>
  <c r="N24" i="59" s="1"/>
  <c r="P113" i="55"/>
  <c r="AG113" i="55"/>
  <c r="P115" i="55"/>
  <c r="AG115" i="55"/>
  <c r="P126" i="55"/>
  <c r="AL126" i="55"/>
  <c r="AL151" i="55" s="1"/>
  <c r="S5" i="59" s="1"/>
  <c r="N25" i="59" s="1"/>
  <c r="P141" i="55"/>
  <c r="AT141" i="55"/>
  <c r="AT151" i="55" s="1"/>
  <c r="AA5" i="59" s="1"/>
  <c r="N33" i="59" s="1"/>
  <c r="AR151" i="55"/>
  <c r="Y5" i="59" s="1"/>
  <c r="N31" i="59" s="1"/>
  <c r="P133" i="55"/>
  <c r="AP133" i="55"/>
  <c r="AP151" i="55" s="1"/>
  <c r="W5" i="59" s="1"/>
  <c r="N29" i="59" s="1"/>
  <c r="P100" i="55"/>
  <c r="AA100" i="55"/>
  <c r="AA151" i="55" s="1"/>
  <c r="H5" i="59" s="1"/>
  <c r="N14" i="59" s="1"/>
  <c r="P135" i="55"/>
  <c r="AQ135" i="55"/>
  <c r="P136" i="55"/>
  <c r="AQ136" i="55"/>
  <c r="AN151" i="55"/>
  <c r="U5" i="59" s="1"/>
  <c r="N27" i="59" s="1"/>
  <c r="P117" i="55"/>
  <c r="AH117" i="55"/>
  <c r="P118" i="55"/>
  <c r="AH118" i="55"/>
  <c r="V151" i="55"/>
  <c r="C5" i="59" s="1"/>
  <c r="N9" i="59" s="1"/>
  <c r="P101" i="55"/>
  <c r="AB101" i="55"/>
  <c r="P103" i="55"/>
  <c r="AB103" i="55"/>
  <c r="P132" i="55"/>
  <c r="AO132" i="55"/>
  <c r="P131" i="55"/>
  <c r="AO131" i="55"/>
  <c r="P111" i="55"/>
  <c r="AF111" i="55"/>
  <c r="AF151" i="55" s="1"/>
  <c r="M5" i="59" s="1"/>
  <c r="N19" i="59" s="1"/>
  <c r="P120" i="55"/>
  <c r="AI120" i="55"/>
  <c r="AI151" i="55" s="1"/>
  <c r="P5" i="59" s="1"/>
  <c r="N22" i="59" s="1"/>
  <c r="P127" i="55"/>
  <c r="AM127" i="55"/>
  <c r="P128" i="55"/>
  <c r="AM128" i="55"/>
  <c r="P107" i="55"/>
  <c r="AC107" i="55"/>
  <c r="AC151" i="55" s="1"/>
  <c r="J5" i="59" s="1"/>
  <c r="N16" i="59" s="1"/>
  <c r="P109" i="55"/>
  <c r="AE109" i="55"/>
  <c r="P108" i="55"/>
  <c r="AD108" i="55"/>
  <c r="AD151" i="55" s="1"/>
  <c r="K5" i="59" s="1"/>
  <c r="N17" i="59" s="1"/>
  <c r="P123" i="55"/>
  <c r="AJ123" i="55"/>
  <c r="AJ151" i="55" s="1"/>
  <c r="Q5" i="59" s="1"/>
  <c r="N23" i="59" s="1"/>
  <c r="F17" i="1"/>
  <c r="C6" i="1"/>
  <c r="C25" i="1" s="1"/>
  <c r="C28" i="1" s="1"/>
  <c r="C33" i="1" s="1"/>
  <c r="C15" i="58" s="1"/>
  <c r="D15" i="58" s="1"/>
  <c r="E15" i="58" s="1"/>
  <c r="J63" i="32"/>
  <c r="J87" i="55"/>
  <c r="V90" i="55" s="1"/>
  <c r="Q143" i="55"/>
  <c r="L371" i="32"/>
  <c r="K24" i="1"/>
  <c r="K18" i="1"/>
  <c r="K28" i="1"/>
  <c r="K44" i="21"/>
  <c r="E19" i="1" s="1"/>
  <c r="M110" i="55"/>
  <c r="K110" i="55"/>
  <c r="K150" i="55" s="1"/>
  <c r="L110" i="55"/>
  <c r="L150" i="55" s="1"/>
  <c r="J110" i="55"/>
  <c r="AE110" i="55" s="1"/>
  <c r="K87" i="55"/>
  <c r="K195" i="56" s="1"/>
  <c r="M44" i="21"/>
  <c r="M48" i="21" s="1"/>
  <c r="H33" i="49"/>
  <c r="I32" i="49"/>
  <c r="X89" i="55" l="1"/>
  <c r="X90" i="55" s="1"/>
  <c r="I373" i="32"/>
  <c r="E17" i="1"/>
  <c r="W90" i="55"/>
  <c r="Y90" i="55"/>
  <c r="G200" i="55"/>
  <c r="S104" i="55"/>
  <c r="S107" i="55"/>
  <c r="AG151" i="55"/>
  <c r="N5" i="59" s="1"/>
  <c r="N20" i="59" s="1"/>
  <c r="AQ151" i="55"/>
  <c r="X5" i="59" s="1"/>
  <c r="N30" i="59" s="1"/>
  <c r="AO151" i="55"/>
  <c r="V5" i="59" s="1"/>
  <c r="N28" i="59" s="1"/>
  <c r="AH151" i="55"/>
  <c r="O5" i="59" s="1"/>
  <c r="N21" i="59" s="1"/>
  <c r="AM151" i="55"/>
  <c r="T5" i="59" s="1"/>
  <c r="N26" i="59" s="1"/>
  <c r="AE151" i="55"/>
  <c r="L5" i="59" s="1"/>
  <c r="N18" i="59" s="1"/>
  <c r="AB151" i="55"/>
  <c r="I5" i="59" s="1"/>
  <c r="N15" i="59" s="1"/>
  <c r="K197" i="56"/>
  <c r="I200" i="55"/>
  <c r="K200" i="55" s="1"/>
  <c r="M150" i="55"/>
  <c r="K113" i="56"/>
  <c r="M371" i="32"/>
  <c r="I374" i="32"/>
  <c r="K21" i="1"/>
  <c r="K27" i="1"/>
  <c r="K19" i="1"/>
  <c r="P110" i="55"/>
  <c r="S105" i="55" s="1"/>
  <c r="J150" i="55"/>
  <c r="I201" i="55"/>
  <c r="K201" i="55" s="1"/>
  <c r="K17" i="1"/>
  <c r="F19" i="1"/>
  <c r="K31" i="1"/>
  <c r="I371" i="32"/>
  <c r="L372" i="32" s="1"/>
  <c r="I33" i="49"/>
  <c r="H34" i="49"/>
  <c r="E16" i="1" l="1"/>
  <c r="L200" i="55"/>
  <c r="N42" i="59"/>
  <c r="G201" i="55"/>
  <c r="G205" i="55" s="1"/>
  <c r="K205" i="55"/>
  <c r="I205" i="55"/>
  <c r="D53" i="1"/>
  <c r="K20" i="1"/>
  <c r="K115" i="56"/>
  <c r="E22" i="1"/>
  <c r="G32" i="1" s="1"/>
  <c r="H35" i="49"/>
  <c r="I34" i="49"/>
  <c r="O9" i="59" l="1"/>
  <c r="O36" i="59"/>
  <c r="O11" i="59"/>
  <c r="O35" i="59"/>
  <c r="O24" i="59"/>
  <c r="O10" i="59"/>
  <c r="O39" i="59"/>
  <c r="O20" i="59"/>
  <c r="O32" i="59"/>
  <c r="O33" i="59"/>
  <c r="O25" i="59"/>
  <c r="O37" i="59"/>
  <c r="O13" i="59"/>
  <c r="O12" i="59"/>
  <c r="O34" i="59"/>
  <c r="O38" i="59"/>
  <c r="O14" i="59"/>
  <c r="O23" i="59"/>
  <c r="O22" i="59"/>
  <c r="O29" i="59"/>
  <c r="O17" i="59"/>
  <c r="O19" i="59"/>
  <c r="O31" i="59"/>
  <c r="O27" i="59"/>
  <c r="O16" i="59"/>
  <c r="O26" i="59"/>
  <c r="O18" i="59"/>
  <c r="O15" i="59"/>
  <c r="O30" i="59"/>
  <c r="O28" i="59"/>
  <c r="O21" i="59"/>
  <c r="L201" i="55"/>
  <c r="E24" i="1"/>
  <c r="E33" i="1"/>
  <c r="C39" i="1" s="1"/>
  <c r="C49" i="1" s="1"/>
  <c r="C53" i="1" s="1"/>
  <c r="C54" i="1" s="1"/>
  <c r="F21" i="1"/>
  <c r="F23" i="1" s="1"/>
  <c r="H36" i="49"/>
  <c r="I35" i="49"/>
  <c r="I8" i="1" l="1"/>
  <c r="D56" i="1"/>
  <c r="E39" i="1"/>
  <c r="H37" i="49"/>
  <c r="I36" i="49"/>
  <c r="I37" i="49" l="1"/>
  <c r="H38" i="49"/>
  <c r="I38" i="49" l="1"/>
  <c r="H39" i="49"/>
  <c r="H40" i="49" l="1"/>
  <c r="I39" i="49"/>
  <c r="H41" i="49" l="1"/>
  <c r="I40" i="49"/>
  <c r="I41" i="49" l="1"/>
  <c r="H42" i="49"/>
  <c r="H43" i="49" l="1"/>
  <c r="I42" i="49"/>
  <c r="H44" i="49" l="1"/>
  <c r="I43" i="49"/>
  <c r="H45" i="49" l="1"/>
  <c r="I44" i="49"/>
  <c r="I45" i="49" l="1"/>
  <c r="H46" i="49"/>
  <c r="H47" i="49" l="1"/>
  <c r="I46" i="49"/>
  <c r="H48" i="49" l="1"/>
  <c r="I47" i="49"/>
  <c r="G24" i="1" l="1"/>
  <c r="B5" i="58" s="1"/>
  <c r="I48" i="49"/>
  <c r="H49" i="49"/>
  <c r="B9" i="58" l="1"/>
  <c r="C14" i="58"/>
  <c r="D14" i="58" s="1"/>
  <c r="E14" i="58" s="1"/>
  <c r="C6" i="58"/>
  <c r="C7" i="58" s="1"/>
  <c r="E6" i="58"/>
  <c r="E7" i="58" s="1"/>
  <c r="D6" i="58"/>
  <c r="D7" i="58" s="1"/>
  <c r="I49" i="49"/>
  <c r="H50" i="49"/>
  <c r="C10" i="58" l="1"/>
  <c r="E10" i="58"/>
  <c r="D10" i="58"/>
  <c r="H51" i="49"/>
  <c r="I50" i="49"/>
  <c r="K50" i="49" s="1"/>
  <c r="D13" i="58" l="1"/>
  <c r="D17" i="58"/>
  <c r="D11" i="58"/>
  <c r="E13" i="58"/>
  <c r="E11" i="58"/>
  <c r="E17" i="58"/>
  <c r="C17" i="58"/>
  <c r="C11" i="58"/>
  <c r="C13" i="58"/>
  <c r="I51" i="49"/>
  <c r="K51" i="49" s="1"/>
  <c r="F59" i="49" s="1"/>
  <c r="F61" i="49" s="1"/>
  <c r="H52" i="49"/>
  <c r="H53" i="49" l="1"/>
  <c r="I52" i="49"/>
  <c r="K52" i="49" s="1"/>
  <c r="I53" i="49" l="1"/>
  <c r="K53" i="49" s="1"/>
  <c r="H54" i="49"/>
  <c r="H56" i="49" l="1"/>
  <c r="I56" i="49" s="1"/>
  <c r="H55" i="49"/>
  <c r="I54" i="49"/>
  <c r="K54" i="49" l="1"/>
  <c r="I58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Modelo</author>
  </authors>
  <commentList>
    <comment ref="B19" authorId="0" shapeId="0" xr:uid="{7FACF002-D2D4-4240-AC77-DDAA320083D9}">
      <text>
        <r>
          <rPr>
            <sz val="11"/>
            <color theme="1"/>
            <rFont val="Calibri"/>
            <family val="2"/>
            <scheme val="minor"/>
          </rPr>
          <t>Escribe: Vol +5, Vol +10 o Vol +20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<sst xmlns="http://schemas.openxmlformats.org/spreadsheetml/2006/main" count="3672" uniqueCount="807">
  <si>
    <t>DIAS</t>
  </si>
  <si>
    <t>DB</t>
  </si>
  <si>
    <t>EURUSD</t>
  </si>
  <si>
    <t>Europa</t>
  </si>
  <si>
    <t>USDMXN</t>
  </si>
  <si>
    <t>EXPIRACIÖN</t>
  </si>
  <si>
    <t>VTA CALL</t>
  </si>
  <si>
    <t>VTA PUT</t>
  </si>
  <si>
    <t>$$BRLUSD</t>
  </si>
  <si>
    <t>Oro</t>
  </si>
  <si>
    <t>Resultados Realizados</t>
  </si>
  <si>
    <t>Comisión</t>
  </si>
  <si>
    <t>MTM USD</t>
  </si>
  <si>
    <t>MTM  t10y</t>
  </si>
  <si>
    <t>Total USD (neto com)</t>
  </si>
  <si>
    <t>FUTUROS T10Y</t>
  </si>
  <si>
    <t>Estado</t>
  </si>
  <si>
    <t>Pos</t>
  </si>
  <si>
    <t>Monto</t>
  </si>
  <si>
    <t>Precio Inicial</t>
  </si>
  <si>
    <t>vto</t>
  </si>
  <si>
    <t>Precio Cierre</t>
  </si>
  <si>
    <t>MTM</t>
  </si>
  <si>
    <t>Resultado USD</t>
  </si>
  <si>
    <t>ETF</t>
  </si>
  <si>
    <t>ticker</t>
  </si>
  <si>
    <t>País</t>
  </si>
  <si>
    <t>Rent</t>
  </si>
  <si>
    <t>FXI</t>
  </si>
  <si>
    <t>China</t>
  </si>
  <si>
    <t>USO</t>
  </si>
  <si>
    <t>EWZ</t>
  </si>
  <si>
    <t>Call</t>
  </si>
  <si>
    <t>Put</t>
  </si>
  <si>
    <t>Garantía</t>
  </si>
  <si>
    <t>Contraparte</t>
  </si>
  <si>
    <t>SB</t>
  </si>
  <si>
    <t>Sudafrica</t>
  </si>
  <si>
    <t xml:space="preserve"> </t>
  </si>
  <si>
    <t>MONEDAS</t>
  </si>
  <si>
    <t>EWW</t>
  </si>
  <si>
    <t>México</t>
  </si>
  <si>
    <t>TRADING</t>
  </si>
  <si>
    <t>P&amp;L NDF</t>
  </si>
  <si>
    <t>USD TOTAL</t>
  </si>
  <si>
    <t>Retorno Mes</t>
  </si>
  <si>
    <t>E</t>
  </si>
  <si>
    <t>Fecha</t>
  </si>
  <si>
    <t>Trading</t>
  </si>
  <si>
    <t>EEM</t>
  </si>
  <si>
    <t>REALIZADO</t>
  </si>
  <si>
    <t>REALIZADAS</t>
  </si>
  <si>
    <t>GLD</t>
  </si>
  <si>
    <t>Brazil</t>
  </si>
  <si>
    <t>$$USDJPY</t>
  </si>
  <si>
    <t>Plazo</t>
  </si>
  <si>
    <t>Utilidad USD</t>
  </si>
  <si>
    <t>MTM total</t>
  </si>
  <si>
    <t>ILF</t>
  </si>
  <si>
    <t>CHILE</t>
  </si>
  <si>
    <t>Fix</t>
  </si>
  <si>
    <t>Settelment</t>
  </si>
  <si>
    <t>SCHWAB</t>
  </si>
  <si>
    <t>USA</t>
  </si>
  <si>
    <t>Instumento</t>
  </si>
  <si>
    <t>SPY</t>
  </si>
  <si>
    <t>SAXO</t>
  </si>
  <si>
    <t>t/c usd/clp</t>
  </si>
  <si>
    <t>Risk</t>
  </si>
  <si>
    <t>P&amp;L t10y</t>
  </si>
  <si>
    <t>Primas Op clp/usd</t>
  </si>
  <si>
    <t>Total P&amp;L Hedge Fund</t>
  </si>
  <si>
    <t>Gastos Adm USD</t>
  </si>
  <si>
    <t>Fondos Util</t>
  </si>
  <si>
    <t>Retorno Año (base 360)</t>
  </si>
  <si>
    <t>Cash</t>
  </si>
  <si>
    <t>Brasil</t>
  </si>
  <si>
    <t>VP</t>
  </si>
  <si>
    <t>TOTAL ETF</t>
  </si>
  <si>
    <t>Total Resultado USD</t>
  </si>
  <si>
    <t>DBA</t>
  </si>
  <si>
    <t>Rt</t>
  </si>
  <si>
    <t>CALL</t>
  </si>
  <si>
    <t>PUT</t>
  </si>
  <si>
    <t>Promedio P&amp;L Mes</t>
  </si>
  <si>
    <t>MTM  NDF fx</t>
  </si>
  <si>
    <t>USDBRL</t>
  </si>
  <si>
    <t>USDZAR</t>
  </si>
  <si>
    <t xml:space="preserve">MTM  ETF </t>
  </si>
  <si>
    <t>ECH</t>
  </si>
  <si>
    <t>STRIKE</t>
  </si>
  <si>
    <t>Exposición</t>
  </si>
  <si>
    <t>EUROPA</t>
  </si>
  <si>
    <t>$$EURUSD</t>
  </si>
  <si>
    <t>t/c usd/eur</t>
  </si>
  <si>
    <t>Sudáfrica</t>
  </si>
  <si>
    <t>$$ZARUSD</t>
  </si>
  <si>
    <t>$$MXNUSD</t>
  </si>
  <si>
    <t>t/c usd/zar</t>
  </si>
  <si>
    <t>t/c usd/brl</t>
  </si>
  <si>
    <t>Hedge EUR</t>
  </si>
  <si>
    <t>Hedge ZAR</t>
  </si>
  <si>
    <t>Hedge SPY</t>
  </si>
  <si>
    <t>AUDUSD</t>
  </si>
  <si>
    <t>Australia</t>
  </si>
  <si>
    <t>$$audUSD</t>
  </si>
  <si>
    <t>USDCLP</t>
  </si>
  <si>
    <t>Rent Spy</t>
  </si>
  <si>
    <t>UBS</t>
  </si>
  <si>
    <t>MTM  NDF clp</t>
  </si>
  <si>
    <t>Hedge FXI</t>
  </si>
  <si>
    <t>Pos USD Tot</t>
  </si>
  <si>
    <t>$$MEXUSD</t>
  </si>
  <si>
    <t>MX</t>
  </si>
  <si>
    <t>Fecha Aper</t>
  </si>
  <si>
    <t>Fecha Cierre</t>
  </si>
  <si>
    <t>op</t>
  </si>
  <si>
    <t>POS TOT</t>
  </si>
  <si>
    <t>Betas</t>
  </si>
  <si>
    <t>Hedge aud/USD</t>
  </si>
  <si>
    <t>Hedge aud/JPY</t>
  </si>
  <si>
    <t>Hedge BRL</t>
  </si>
  <si>
    <t>Hedge MXN</t>
  </si>
  <si>
    <t>HEDGE</t>
  </si>
  <si>
    <t>Fix/Exp</t>
  </si>
  <si>
    <t>Stress</t>
  </si>
  <si>
    <t>Mexico</t>
  </si>
  <si>
    <t>GBPUSD</t>
  </si>
  <si>
    <t>OPCIONES</t>
  </si>
  <si>
    <t>OP</t>
  </si>
  <si>
    <t>Hedge ETF</t>
  </si>
  <si>
    <t>Pos.Neta USD clp</t>
  </si>
  <si>
    <t>Pos.Neta USD TOTAL</t>
  </si>
  <si>
    <t>POS USD</t>
  </si>
  <si>
    <t>$$USDCLP</t>
  </si>
  <si>
    <t>Hedge GLD</t>
  </si>
  <si>
    <t>Hedge USO</t>
  </si>
  <si>
    <t>Hedge AUDEUR</t>
  </si>
  <si>
    <t>FECHA</t>
  </si>
  <si>
    <t>Settlement</t>
  </si>
  <si>
    <t>Val Date/Settlement</t>
  </si>
  <si>
    <t>Fix 12:30</t>
  </si>
  <si>
    <t>MTM Op ETF-CDF-NDF-CLP</t>
  </si>
  <si>
    <t>P&amp;L Opciones ETF-CDF-NDF-CLP</t>
  </si>
  <si>
    <t>USDJPY</t>
  </si>
  <si>
    <t>NOCIONAL</t>
  </si>
  <si>
    <t>RIESGO</t>
  </si>
  <si>
    <t>XAUUSD</t>
  </si>
  <si>
    <t>Gold</t>
  </si>
  <si>
    <t>EPU</t>
  </si>
  <si>
    <t>P&amp;L ETF</t>
  </si>
  <si>
    <t>VNM</t>
  </si>
  <si>
    <t>Agriculture</t>
  </si>
  <si>
    <t>Año</t>
  </si>
  <si>
    <t>CLP-UF</t>
  </si>
  <si>
    <t>MTM Cierre</t>
  </si>
  <si>
    <t>Plazo Prom</t>
  </si>
  <si>
    <t>put etf</t>
  </si>
  <si>
    <t>call etf</t>
  </si>
  <si>
    <t>Total USD</t>
  </si>
  <si>
    <t>AAPL</t>
  </si>
  <si>
    <t>GOOG</t>
  </si>
  <si>
    <t>Google</t>
  </si>
  <si>
    <t>Hedge GOOG</t>
  </si>
  <si>
    <t>SAXO-KIF</t>
  </si>
  <si>
    <t>UBS-KIF</t>
  </si>
  <si>
    <t>UBS-MON</t>
  </si>
  <si>
    <t>SAXO-MON</t>
  </si>
  <si>
    <t>DB-KIF</t>
  </si>
  <si>
    <t>Chile-Mon</t>
  </si>
  <si>
    <t>Total</t>
  </si>
  <si>
    <t>%</t>
  </si>
  <si>
    <t>CLP=</t>
  </si>
  <si>
    <t>BRL=</t>
  </si>
  <si>
    <t>EUR=</t>
  </si>
  <si>
    <t>aud=</t>
  </si>
  <si>
    <t>xau=</t>
  </si>
  <si>
    <t>AAPL.O</t>
  </si>
  <si>
    <t>MXN=</t>
  </si>
  <si>
    <t>ZAR=</t>
  </si>
  <si>
    <t>JPY=</t>
  </si>
  <si>
    <t>GOOG.O</t>
  </si>
  <si>
    <t>mid</t>
  </si>
  <si>
    <t>PRIMAS</t>
  </si>
  <si>
    <t>DB-MON</t>
  </si>
  <si>
    <t>Exp/Fix</t>
  </si>
  <si>
    <t>ALV</t>
  </si>
  <si>
    <t>AMZN</t>
  </si>
  <si>
    <t>AMZN.O</t>
  </si>
  <si>
    <t>Amazon</t>
  </si>
  <si>
    <t>BABA.K</t>
  </si>
  <si>
    <t>BABA</t>
  </si>
  <si>
    <t>Alibaba</t>
  </si>
  <si>
    <t>Deursche Bank</t>
  </si>
  <si>
    <t>LIT</t>
  </si>
  <si>
    <t>Lithium ETF</t>
  </si>
  <si>
    <t>MSFT</t>
  </si>
  <si>
    <t>Microsoft</t>
  </si>
  <si>
    <t>MSFT.O</t>
  </si>
  <si>
    <t>XLF</t>
  </si>
  <si>
    <t>ETF Finance</t>
  </si>
  <si>
    <t>ytm merc</t>
  </si>
  <si>
    <t>ytm inicial</t>
  </si>
  <si>
    <t>MS</t>
  </si>
  <si>
    <t>Apple</t>
  </si>
  <si>
    <t>BYND.O</t>
  </si>
  <si>
    <t>ISRG.O</t>
  </si>
  <si>
    <t>ILMN.O</t>
  </si>
  <si>
    <t>UBER.K</t>
  </si>
  <si>
    <t>SPOT.K</t>
  </si>
  <si>
    <t xml:space="preserve">NOW </t>
  </si>
  <si>
    <t xml:space="preserve">OKTA.O </t>
  </si>
  <si>
    <t>DXCM.O</t>
  </si>
  <si>
    <t xml:space="preserve">VEEV.K </t>
  </si>
  <si>
    <t>WDAY.O</t>
  </si>
  <si>
    <t>TWLO.K</t>
  </si>
  <si>
    <t>TTD.O</t>
  </si>
  <si>
    <t xml:space="preserve">MELI.O </t>
  </si>
  <si>
    <t>ROKU.O</t>
  </si>
  <si>
    <t xml:space="preserve">GH.O </t>
  </si>
  <si>
    <t>SNAP.K</t>
  </si>
  <si>
    <t xml:space="preserve">Z.O </t>
  </si>
  <si>
    <t>CHWY.K</t>
  </si>
  <si>
    <t>TEAM.O</t>
  </si>
  <si>
    <t>ZM.O</t>
  </si>
  <si>
    <t>W</t>
  </si>
  <si>
    <t>CVNA.K</t>
  </si>
  <si>
    <t>ALNY.O</t>
  </si>
  <si>
    <t>MRNA.O</t>
  </si>
  <si>
    <t>CRISPR THERAPEUTICS AG</t>
  </si>
  <si>
    <t>CRSP.O</t>
  </si>
  <si>
    <t>PYPL.O</t>
  </si>
  <si>
    <t>TSLA.O</t>
  </si>
  <si>
    <t>MTLS.O</t>
  </si>
  <si>
    <t>AVAV.O</t>
  </si>
  <si>
    <t>JD.O</t>
  </si>
  <si>
    <t>ARCT.O</t>
  </si>
  <si>
    <t>CGEN.O</t>
  </si>
  <si>
    <t>TWST.O</t>
  </si>
  <si>
    <t>TREE.O</t>
  </si>
  <si>
    <t>SEDG.O</t>
  </si>
  <si>
    <t>SPNS.O</t>
  </si>
  <si>
    <t>CAMT.O</t>
  </si>
  <si>
    <t>PINS.K</t>
  </si>
  <si>
    <t>FVRR.K</t>
  </si>
  <si>
    <t>HP</t>
  </si>
  <si>
    <t>ADSK.O</t>
  </si>
  <si>
    <t>AUDC.O</t>
  </si>
  <si>
    <t>CDNA.O</t>
  </si>
  <si>
    <t>EDIT.O</t>
  </si>
  <si>
    <t>IOVA.O</t>
  </si>
  <si>
    <t>NTLA.O</t>
  </si>
  <si>
    <t>NVMI.O</t>
  </si>
  <si>
    <t>PDD.O</t>
  </si>
  <si>
    <t>PTC.O</t>
  </si>
  <si>
    <t>SSYS.O</t>
  </si>
  <si>
    <t>TER.O</t>
  </si>
  <si>
    <t>TRMB.O</t>
  </si>
  <si>
    <t>WIX.O</t>
  </si>
  <si>
    <t>ABT</t>
  </si>
  <si>
    <t>AMN</t>
  </si>
  <si>
    <t>BLK</t>
  </si>
  <si>
    <t>BSX</t>
  </si>
  <si>
    <t>BX</t>
  </si>
  <si>
    <t>MRK</t>
  </si>
  <si>
    <t>TMO</t>
  </si>
  <si>
    <t>UNH</t>
  </si>
  <si>
    <t>CHRS.O</t>
  </si>
  <si>
    <t>TSLA</t>
  </si>
  <si>
    <t>Tesla</t>
  </si>
  <si>
    <t>ARKK.K</t>
  </si>
  <si>
    <t>ARKG.K</t>
  </si>
  <si>
    <t>DIS</t>
  </si>
  <si>
    <t>MDB</t>
  </si>
  <si>
    <t>CRSP</t>
  </si>
  <si>
    <t>NVDA</t>
  </si>
  <si>
    <t>EA.O</t>
  </si>
  <si>
    <t>NVDA.O</t>
  </si>
  <si>
    <t>TTWO.O</t>
  </si>
  <si>
    <t>MDB.O</t>
  </si>
  <si>
    <t>TICKER</t>
  </si>
  <si>
    <t>XLP</t>
  </si>
  <si>
    <t>EWY</t>
  </si>
  <si>
    <t>EWT</t>
  </si>
  <si>
    <t>CRM</t>
  </si>
  <si>
    <t>EWM</t>
  </si>
  <si>
    <t>EWS</t>
  </si>
  <si>
    <t>THD</t>
  </si>
  <si>
    <t>VTRS.O</t>
  </si>
  <si>
    <t>EIDO.K</t>
  </si>
  <si>
    <t>TDOC.P</t>
  </si>
  <si>
    <t>ARKQ.K</t>
  </si>
  <si>
    <t>ARKF.K</t>
  </si>
  <si>
    <t>ARKW.K</t>
  </si>
  <si>
    <t>PBW</t>
  </si>
  <si>
    <t>TAN</t>
  </si>
  <si>
    <t>Exp Date</t>
  </si>
  <si>
    <t>BUG.O</t>
  </si>
  <si>
    <t>XT.O</t>
  </si>
  <si>
    <t>TLRY.O</t>
  </si>
  <si>
    <t>FIN</t>
  </si>
  <si>
    <t>CSCO.O</t>
  </si>
  <si>
    <t>Fecha cierre</t>
  </si>
  <si>
    <t>QQQ.O</t>
  </si>
  <si>
    <t>QQQ</t>
  </si>
  <si>
    <t>NASDAQ</t>
  </si>
  <si>
    <t>Monto UF</t>
  </si>
  <si>
    <t>Tasa Spot</t>
  </si>
  <si>
    <t>Días</t>
  </si>
  <si>
    <t>SLV</t>
  </si>
  <si>
    <t>PLTM.K</t>
  </si>
  <si>
    <t>CPER.K</t>
  </si>
  <si>
    <t>MTM Comm</t>
  </si>
  <si>
    <t>Hedge CRSP</t>
  </si>
  <si>
    <t>CARTERA DELTA EQUITY</t>
  </si>
  <si>
    <t>P&amp;L Comm</t>
  </si>
  <si>
    <t>DIA</t>
  </si>
  <si>
    <t>JPM</t>
  </si>
  <si>
    <t>C</t>
  </si>
  <si>
    <t>AXP</t>
  </si>
  <si>
    <t>BAC</t>
  </si>
  <si>
    <t>CITIGROUP</t>
  </si>
  <si>
    <t>DOW JONES</t>
  </si>
  <si>
    <t>RBLX.P</t>
  </si>
  <si>
    <t>fecha</t>
  </si>
  <si>
    <t>PAVE.K</t>
  </si>
  <si>
    <t>BETA</t>
  </si>
  <si>
    <t>Precio Final</t>
  </si>
  <si>
    <t>VNQ</t>
  </si>
  <si>
    <t>Bid</t>
  </si>
  <si>
    <t>Ask</t>
  </si>
  <si>
    <t>result</t>
  </si>
  <si>
    <t>CS-K</t>
  </si>
  <si>
    <t>Nvidia</t>
  </si>
  <si>
    <t>Dif Inicial</t>
  </si>
  <si>
    <t>fecha cierre</t>
  </si>
  <si>
    <t>HSBC</t>
  </si>
  <si>
    <t>UBS-H</t>
  </si>
  <si>
    <t>CS-M</t>
  </si>
  <si>
    <t>MS-K</t>
  </si>
  <si>
    <t>PRECIO ACTUAL</t>
  </si>
  <si>
    <t>PRECIO COMPRA</t>
  </si>
  <si>
    <t>CANTIDAD</t>
  </si>
  <si>
    <t>ISIN</t>
  </si>
  <si>
    <t>NOMBRE</t>
  </si>
  <si>
    <t>BANCO</t>
  </si>
  <si>
    <t>FONDOS</t>
  </si>
  <si>
    <t>Sr Unsecured</t>
  </si>
  <si>
    <t>SINKABLE</t>
  </si>
  <si>
    <t>USD</t>
  </si>
  <si>
    <t>VE</t>
  </si>
  <si>
    <t>Oil Comp-Integrated</t>
  </si>
  <si>
    <t>WD</t>
  </si>
  <si>
    <t>WR</t>
  </si>
  <si>
    <t>#N/A N/A</t>
  </si>
  <si>
    <t>17-05-2035</t>
  </si>
  <si>
    <t>CS-MChT</t>
  </si>
  <si>
    <t>AT MATURITY</t>
  </si>
  <si>
    <t>Sovereign</t>
  </si>
  <si>
    <t>Cu</t>
  </si>
  <si>
    <t>NR</t>
  </si>
  <si>
    <t>13-01-2034</t>
  </si>
  <si>
    <t>17-02-2022</t>
  </si>
  <si>
    <t>15-09-2027</t>
  </si>
  <si>
    <t>31-03-2038</t>
  </si>
  <si>
    <t>Subordinated</t>
  </si>
  <si>
    <t>RU</t>
  </si>
  <si>
    <t>Commer Banks Non-US</t>
  </si>
  <si>
    <t>23-05-2023</t>
  </si>
  <si>
    <t>25-06-2024</t>
  </si>
  <si>
    <t>29-01-2025</t>
  </si>
  <si>
    <t>Jr Subordinated</t>
  </si>
  <si>
    <t>PERP/CALL</t>
  </si>
  <si>
    <t>#N/A Field Not Applicable</t>
  </si>
  <si>
    <t>PUTABLE</t>
  </si>
  <si>
    <t>30-06-2035</t>
  </si>
  <si>
    <t>Oil Comp-Explor&amp;Prodtn</t>
  </si>
  <si>
    <t>06-02-2028</t>
  </si>
  <si>
    <t>23-03-2027</t>
  </si>
  <si>
    <t>16-08-2037</t>
  </si>
  <si>
    <t>10-05-2016</t>
  </si>
  <si>
    <t>CALLABLE</t>
  </si>
  <si>
    <t>CL</t>
  </si>
  <si>
    <t>15-03-2023</t>
  </si>
  <si>
    <t>BR</t>
  </si>
  <si>
    <t>20-01-2016</t>
  </si>
  <si>
    <t>Secured</t>
  </si>
  <si>
    <t>EUR</t>
  </si>
  <si>
    <t>BG</t>
  </si>
  <si>
    <t>Steel Pipe&amp;Tube</t>
  </si>
  <si>
    <t>04-05-2013</t>
  </si>
  <si>
    <t>Unsecured</t>
  </si>
  <si>
    <t>NORMAL</t>
  </si>
  <si>
    <t>US</t>
  </si>
  <si>
    <t>TREASURY BILLS</t>
  </si>
  <si>
    <t>Diversified Banking Inst</t>
  </si>
  <si>
    <t>A</t>
  </si>
  <si>
    <t>A3</t>
  </si>
  <si>
    <t>BBB+</t>
  </si>
  <si>
    <t>GB</t>
  </si>
  <si>
    <t>A+</t>
  </si>
  <si>
    <t>A-</t>
  </si>
  <si>
    <t>Aaa</t>
  </si>
  <si>
    <t>15-08-2052</t>
  </si>
  <si>
    <t>US TREASURY N/B</t>
  </si>
  <si>
    <t>US912810TJ79</t>
  </si>
  <si>
    <t>ID</t>
  </si>
  <si>
    <t>BBB</t>
  </si>
  <si>
    <t>Baa2</t>
  </si>
  <si>
    <t>US172967KR13</t>
  </si>
  <si>
    <t>Baa3</t>
  </si>
  <si>
    <t>BB+</t>
  </si>
  <si>
    <t>A1</t>
  </si>
  <si>
    <t>JPMORGAN CHASE</t>
  </si>
  <si>
    <t>01-06-2045</t>
  </si>
  <si>
    <t>US46625HLL23</t>
  </si>
  <si>
    <t>A2</t>
  </si>
  <si>
    <t>CS-MCHT</t>
  </si>
  <si>
    <t>22-01-2047</t>
  </si>
  <si>
    <t>MORGAN STANLEY</t>
  </si>
  <si>
    <t>US61746BEG77</t>
  </si>
  <si>
    <t>AR</t>
  </si>
  <si>
    <t>CCC-</t>
  </si>
  <si>
    <t>CCC+</t>
  </si>
  <si>
    <t>BB-</t>
  </si>
  <si>
    <t>Ba2</t>
  </si>
  <si>
    <t>20-01-2034</t>
  </si>
  <si>
    <t>Oil Refining&amp;Marketing</t>
  </si>
  <si>
    <t>Ba3</t>
  </si>
  <si>
    <t>30-06-2031</t>
  </si>
  <si>
    <t>Ba1</t>
  </si>
  <si>
    <t>TR</t>
  </si>
  <si>
    <t>B</t>
  </si>
  <si>
    <t>B3</t>
  </si>
  <si>
    <t>BBB-</t>
  </si>
  <si>
    <t>18-05-2046</t>
  </si>
  <si>
    <t>EC</t>
  </si>
  <si>
    <t>31-07-2040</t>
  </si>
  <si>
    <t>FR</t>
  </si>
  <si>
    <t>Property/Casualty Ins</t>
  </si>
  <si>
    <t>15-12-2030</t>
  </si>
  <si>
    <t>BB-u</t>
  </si>
  <si>
    <t>B1</t>
  </si>
  <si>
    <t>02-06-2041</t>
  </si>
  <si>
    <t>Transport-Rail</t>
  </si>
  <si>
    <t>15-12-2055</t>
  </si>
  <si>
    <t>BNSF FUNDING TRUST I</t>
  </si>
  <si>
    <t>US05567SAA06</t>
  </si>
  <si>
    <t>UA</t>
  </si>
  <si>
    <t>CC</t>
  </si>
  <si>
    <t>25-09-2034</t>
  </si>
  <si>
    <t>CALL/EXT</t>
  </si>
  <si>
    <t>Multi-line Insurance</t>
  </si>
  <si>
    <t>01-08-2039</t>
  </si>
  <si>
    <t>Metal-Iron</t>
  </si>
  <si>
    <t>17-01-2034</t>
  </si>
  <si>
    <t>compra</t>
  </si>
  <si>
    <t>VENTA</t>
  </si>
  <si>
    <t>FECHA COMPRA</t>
  </si>
  <si>
    <t>INTERESES x AÑO</t>
  </si>
  <si>
    <t>Rt % año</t>
  </si>
  <si>
    <t>VPxDur</t>
  </si>
  <si>
    <t>VPxYTM</t>
  </si>
  <si>
    <t>MTM trib</t>
  </si>
  <si>
    <t>status</t>
  </si>
  <si>
    <t>Costo</t>
  </si>
  <si>
    <t>Monto Compra</t>
  </si>
  <si>
    <t>payment_rank</t>
  </si>
  <si>
    <t>NXT_CALL_DT</t>
  </si>
  <si>
    <t>callable</t>
  </si>
  <si>
    <t>crncy</t>
  </si>
  <si>
    <t>PAIS</t>
  </si>
  <si>
    <t>industry_subgroup</t>
  </si>
  <si>
    <t>rtg_fitch</t>
  </si>
  <si>
    <t>rtg_moody</t>
  </si>
  <si>
    <t>rtg_sp</t>
  </si>
  <si>
    <t>DUR_MID</t>
  </si>
  <si>
    <t>YLD_YTM_ask</t>
  </si>
  <si>
    <t>Precio Mercado (29-05)</t>
  </si>
  <si>
    <t>Precio 31-Dic-2021</t>
  </si>
  <si>
    <t>Maturity</t>
  </si>
  <si>
    <t>Coupon</t>
  </si>
  <si>
    <t>Name</t>
  </si>
  <si>
    <t>NDF</t>
  </si>
  <si>
    <t>POS TOTAL</t>
  </si>
  <si>
    <t>BUZIOS USD</t>
  </si>
  <si>
    <t>ACTIVOS</t>
  </si>
  <si>
    <t>PASIVOS</t>
  </si>
  <si>
    <t>POS</t>
  </si>
  <si>
    <t>EQUITY</t>
  </si>
  <si>
    <t>ETF Nasdaq</t>
  </si>
  <si>
    <t>Retorno</t>
  </si>
  <si>
    <t>COSTO</t>
  </si>
  <si>
    <t>RT SPY</t>
  </si>
  <si>
    <t>RT QQQ</t>
  </si>
  <si>
    <t>META</t>
  </si>
  <si>
    <t>META.O</t>
  </si>
  <si>
    <t>MTM CLP-UF</t>
  </si>
  <si>
    <t>COPX</t>
  </si>
  <si>
    <t>COPX.K</t>
  </si>
  <si>
    <t>Precio 31-Dic-2023</t>
  </si>
  <si>
    <t>Cobre</t>
  </si>
  <si>
    <t>Hedge MDB</t>
  </si>
  <si>
    <t>ESU4</t>
  </si>
  <si>
    <t>FUT S&amp;P</t>
  </si>
  <si>
    <t>FUT Nasdaq</t>
  </si>
  <si>
    <t>NQU4</t>
  </si>
  <si>
    <t>S&amp;P500</t>
  </si>
  <si>
    <t>Xau</t>
  </si>
  <si>
    <t>BOTZ.O</t>
  </si>
  <si>
    <t>BOTZ</t>
  </si>
  <si>
    <t>ETF AI</t>
  </si>
  <si>
    <t>INTC.O</t>
  </si>
  <si>
    <t>RSI</t>
  </si>
  <si>
    <t>Transportadora de gas</t>
  </si>
  <si>
    <t>TGS</t>
  </si>
  <si>
    <t>EMPRESA</t>
  </si>
  <si>
    <t>Morgan Stanley</t>
  </si>
  <si>
    <t>TOTAL</t>
  </si>
  <si>
    <t>FUTURO TREASURY</t>
  </si>
  <si>
    <t>ETF Oro</t>
  </si>
  <si>
    <t>AIQ</t>
  </si>
  <si>
    <t>AIQ.O</t>
  </si>
  <si>
    <t>Vol</t>
  </si>
  <si>
    <t>Sharpe</t>
  </si>
  <si>
    <t>RT AIQ</t>
  </si>
  <si>
    <t>FECHA VENTA</t>
  </si>
  <si>
    <t>Precio Venta</t>
  </si>
  <si>
    <t>ORO</t>
  </si>
  <si>
    <t>BCI</t>
  </si>
  <si>
    <t>Precio 31-Dic-2024</t>
  </si>
  <si>
    <t>Dur</t>
  </si>
  <si>
    <t>IRR</t>
  </si>
  <si>
    <t>ARGT</t>
  </si>
  <si>
    <t>ETF Argentina</t>
  </si>
  <si>
    <t>ARGT.K</t>
  </si>
  <si>
    <t>USCI</t>
  </si>
  <si>
    <t>USCI.K</t>
  </si>
  <si>
    <t>ETF commodities</t>
  </si>
  <si>
    <t xml:space="preserve">Plazo </t>
  </si>
  <si>
    <t>Vencimiento</t>
  </si>
  <si>
    <t>ESM5</t>
  </si>
  <si>
    <t>Citybank</t>
  </si>
  <si>
    <t>Bofa</t>
  </si>
  <si>
    <t>GS</t>
  </si>
  <si>
    <t>GoldmanSachs</t>
  </si>
  <si>
    <t>BRK/B</t>
  </si>
  <si>
    <t>Berkshire</t>
  </si>
  <si>
    <t>BRKb</t>
  </si>
  <si>
    <t>Black Rock</t>
  </si>
  <si>
    <t>LTM</t>
  </si>
  <si>
    <t>Latam</t>
  </si>
  <si>
    <t>MTM Trib</t>
  </si>
  <si>
    <t>reinvierte</t>
  </si>
  <si>
    <t>mantener</t>
  </si>
  <si>
    <t>LTV</t>
  </si>
  <si>
    <t>PLTR.O</t>
  </si>
  <si>
    <t>MOO</t>
  </si>
  <si>
    <t>SHOP.O</t>
  </si>
  <si>
    <t>RBOT.P</t>
  </si>
  <si>
    <t>CurrYield</t>
  </si>
  <si>
    <t>07-13-2027</t>
  </si>
  <si>
    <t>CRCL</t>
  </si>
  <si>
    <t>Circle Internet Group</t>
  </si>
  <si>
    <t>Banco de Chile</t>
  </si>
  <si>
    <t>BCH</t>
  </si>
  <si>
    <t>CRCL.P</t>
  </si>
  <si>
    <t>TC</t>
  </si>
  <si>
    <t>FECHA APORTE</t>
  </si>
  <si>
    <t>GESTOR</t>
  </si>
  <si>
    <t>NOMBRE FONDO</t>
  </si>
  <si>
    <t>MONTO APORTADO</t>
  </si>
  <si>
    <t>VALOR MERCADO</t>
  </si>
  <si>
    <t>MONEDA</t>
  </si>
  <si>
    <t>SECTOR</t>
  </si>
  <si>
    <t>TIEMPO INV.</t>
  </si>
  <si>
    <t>DIVIDENDOS</t>
  </si>
  <si>
    <t>RETORNO</t>
  </si>
  <si>
    <t>RETORNO ANUALIZADO</t>
  </si>
  <si>
    <t>Venture Capital</t>
  </si>
  <si>
    <t>Inmobiliario</t>
  </si>
  <si>
    <t>PESOS</t>
  </si>
  <si>
    <t>Multi-Sectorial</t>
  </si>
  <si>
    <t>Criptomonedas</t>
  </si>
  <si>
    <t>EXP</t>
  </si>
  <si>
    <t>exp</t>
  </si>
  <si>
    <t>Futuro S&amp;P</t>
  </si>
  <si>
    <t>LENZ.O</t>
  </si>
  <si>
    <t>S&amp;P</t>
  </si>
  <si>
    <t>PLTR</t>
  </si>
  <si>
    <t>Palantir</t>
  </si>
  <si>
    <t>Líneas Aéreas</t>
  </si>
  <si>
    <t>Perpetuo</t>
  </si>
  <si>
    <t>Banks</t>
  </si>
  <si>
    <t>ok</t>
  </si>
  <si>
    <t>B2</t>
  </si>
  <si>
    <t>FCX</t>
  </si>
  <si>
    <t>XBI</t>
  </si>
  <si>
    <t>ARKK</t>
  </si>
  <si>
    <t>Biotech ETF</t>
  </si>
  <si>
    <t>ARK Innovation</t>
  </si>
  <si>
    <t>ETF Chile</t>
  </si>
  <si>
    <t>INFORME FINANCIERO 2026-FONDO JEB</t>
  </si>
  <si>
    <t>FONDO JEB -2026</t>
  </si>
  <si>
    <t>Div-2026</t>
  </si>
  <si>
    <t>PAYOUT</t>
  </si>
  <si>
    <t>WNH6</t>
  </si>
  <si>
    <t>beta</t>
  </si>
  <si>
    <t>Prob. Ocurrencia</t>
  </si>
  <si>
    <t>CARTERA RENTA FIJA</t>
  </si>
  <si>
    <t>RENTA FIJA (BANCO MALO)</t>
  </si>
  <si>
    <t>FAMILIA</t>
  </si>
  <si>
    <t>RENTA FIJA</t>
  </si>
  <si>
    <t>paga div</t>
  </si>
  <si>
    <t>ESH6</t>
  </si>
  <si>
    <t>Freeport_Mcmoran (COBRE)</t>
  </si>
  <si>
    <t>Quantum ETF</t>
  </si>
  <si>
    <t>QTUM</t>
  </si>
  <si>
    <t>ETF INDIA</t>
  </si>
  <si>
    <t>IIF</t>
  </si>
  <si>
    <t>XIAOMI ADR</t>
  </si>
  <si>
    <t xml:space="preserve">XIACY </t>
  </si>
  <si>
    <t>BYD COMPANY</t>
  </si>
  <si>
    <t>BYDDY</t>
  </si>
  <si>
    <t xml:space="preserve">JD COM INC </t>
  </si>
  <si>
    <t>JD</t>
  </si>
  <si>
    <t>ALIBABA</t>
  </si>
  <si>
    <t>Tencent</t>
  </si>
  <si>
    <t xml:space="preserve">TCEHY </t>
  </si>
  <si>
    <t>PRECIO VENTA</t>
  </si>
  <si>
    <t>Resultado</t>
  </si>
  <si>
    <t>XIACY.PQ</t>
  </si>
  <si>
    <t>BYDDY.PQ</t>
  </si>
  <si>
    <t>QTUM.O</t>
  </si>
  <si>
    <t>TME</t>
  </si>
  <si>
    <t>TCEHY.PQ</t>
  </si>
  <si>
    <t>ROCKET LAB CORP</t>
  </si>
  <si>
    <t>RKLB</t>
  </si>
  <si>
    <t>RKLB.O</t>
  </si>
  <si>
    <t>US912797SX61</t>
  </si>
  <si>
    <t>KWEB.K</t>
  </si>
  <si>
    <t>Precio 31-Dic-2025</t>
  </si>
  <si>
    <t>PRECIO 31-12-2025</t>
  </si>
  <si>
    <t>COMPRA PUT</t>
  </si>
  <si>
    <t>precio 31-12-2025</t>
  </si>
  <si>
    <t>Monto LTV</t>
  </si>
  <si>
    <t>VP Cierre 2025</t>
  </si>
  <si>
    <t>FUT TREASURY</t>
  </si>
  <si>
    <t>FONDOS INMOB</t>
  </si>
  <si>
    <t>VP FINAL 2025</t>
  </si>
  <si>
    <t>INTERESES</t>
  </si>
  <si>
    <t>Caida</t>
  </si>
  <si>
    <t>Totales cartera (MTM firmado; short opciones = negativo)</t>
  </si>
  <si>
    <t>Resumen</t>
  </si>
  <si>
    <t>Base</t>
  </si>
  <si>
    <t>Vol +5</t>
  </si>
  <si>
    <t>Vol +10</t>
  </si>
  <si>
    <t>Notas</t>
  </si>
  <si>
    <t>MTM total (USD)</t>
  </si>
  <si>
    <t>ΔMTM vs Base (USD)</t>
  </si>
  <si>
    <t>Vega aprox (USD por 1 vol pt)</t>
  </si>
  <si>
    <t>Aprox. usando ΔMTM/Δvol (positivo = corto vega si ΔMTM negativo)</t>
  </si>
  <si>
    <t>Exposición ponderada por prob. ITM (|V|×Prob ITM)</t>
  </si>
  <si>
    <t>Proxy de “riesgo de ejercicio”</t>
  </si>
  <si>
    <t>Contribución por posición (selecciona escenario)</t>
  </si>
  <si>
    <t>Escenario seleccionado:</t>
  </si>
  <si>
    <t>Underlying</t>
  </si>
  <si>
    <t>Type</t>
  </si>
  <si>
    <t>Δ Vol+5 (USD)</t>
  </si>
  <si>
    <t>Prob ITM +5</t>
  </si>
  <si>
    <t>Δ Vol+10 (USD)</t>
  </si>
  <si>
    <t>Prob ITM +10</t>
  </si>
  <si>
    <t>Δ Vol+20 (USD)</t>
  </si>
  <si>
    <t>Prob ITM +20</t>
  </si>
  <si>
    <t>Vol +15</t>
  </si>
  <si>
    <t>Delta aprox (USD por 1% pt base)</t>
  </si>
  <si>
    <t>RESULTADO PRIMAS Y OTROS</t>
  </si>
  <si>
    <t>Suma (USD) IMPACTOS</t>
  </si>
  <si>
    <t>MTM total (USD) BASE</t>
  </si>
  <si>
    <t>ETF Plata</t>
  </si>
  <si>
    <t>xag=</t>
  </si>
  <si>
    <t>XAGUSD</t>
  </si>
  <si>
    <t>ORO + PLATA</t>
  </si>
  <si>
    <t>PLATA</t>
  </si>
  <si>
    <t>FECHA CIERRE</t>
  </si>
  <si>
    <t>compra CALL</t>
  </si>
  <si>
    <t>ETF COBRE</t>
  </si>
  <si>
    <t>CPER</t>
  </si>
  <si>
    <t>ETF COBRE (EMPRESAS)</t>
  </si>
  <si>
    <t>ORO, PLATA y COBRE</t>
  </si>
  <si>
    <t>NEVASA</t>
  </si>
  <si>
    <t>VP USD</t>
  </si>
  <si>
    <t>Rt 2026</t>
  </si>
  <si>
    <t>TYM6</t>
  </si>
  <si>
    <t>ESM6</t>
  </si>
  <si>
    <t>LTV usd</t>
  </si>
  <si>
    <t>LTV RF</t>
  </si>
  <si>
    <t>LTV EQUITY</t>
  </si>
  <si>
    <t>FX1</t>
  </si>
  <si>
    <t>FX2</t>
  </si>
  <si>
    <t>FX3</t>
  </si>
  <si>
    <t>SPY-P25</t>
  </si>
  <si>
    <t>SPY-P30</t>
  </si>
  <si>
    <t>SPY-P35</t>
  </si>
  <si>
    <t>QQQ-P25</t>
  </si>
  <si>
    <t>QQQ-P30</t>
  </si>
  <si>
    <t>QQQ-P35</t>
  </si>
  <si>
    <t>NVDA-P25</t>
  </si>
  <si>
    <t>NVDA-P30</t>
  </si>
  <si>
    <t>NVDA-P35</t>
  </si>
  <si>
    <t>GOLD</t>
  </si>
  <si>
    <t>compra call</t>
  </si>
  <si>
    <t>compra PUT</t>
  </si>
  <si>
    <t>WNM6</t>
  </si>
  <si>
    <t>BANCO DE TALCA</t>
  </si>
  <si>
    <t>banco ohiggings</t>
  </si>
  <si>
    <t>Bbva</t>
  </si>
  <si>
    <t>MBbva</t>
  </si>
  <si>
    <t>MongoBbva</t>
  </si>
  <si>
    <t>USBbvaRL</t>
  </si>
  <si>
    <t>SSCH</t>
  </si>
  <si>
    <t>PUP</t>
  </si>
  <si>
    <t>PUPFT</t>
  </si>
  <si>
    <t>bono1</t>
  </si>
  <si>
    <t>bono2</t>
  </si>
  <si>
    <t>bono3</t>
  </si>
  <si>
    <t>bono4</t>
  </si>
  <si>
    <t>bono5</t>
  </si>
  <si>
    <t>bono6</t>
  </si>
  <si>
    <t>bono7</t>
  </si>
  <si>
    <t>bono8</t>
  </si>
  <si>
    <t>bono9</t>
  </si>
  <si>
    <t>bono10</t>
  </si>
  <si>
    <t>bono11</t>
  </si>
  <si>
    <t>bono12</t>
  </si>
  <si>
    <t>bono13</t>
  </si>
  <si>
    <t>bono14</t>
  </si>
  <si>
    <t>bono15</t>
  </si>
  <si>
    <t>bono16</t>
  </si>
  <si>
    <t>bono17</t>
  </si>
  <si>
    <t>bono18</t>
  </si>
  <si>
    <t>bono19</t>
  </si>
  <si>
    <t>bono20</t>
  </si>
  <si>
    <t>bono21</t>
  </si>
  <si>
    <t>bono22</t>
  </si>
  <si>
    <t>bono23</t>
  </si>
  <si>
    <t>bono24</t>
  </si>
  <si>
    <t>bono25</t>
  </si>
  <si>
    <t>bono26</t>
  </si>
  <si>
    <t>bono27</t>
  </si>
  <si>
    <t>bono28</t>
  </si>
  <si>
    <t>bono29</t>
  </si>
  <si>
    <t>bono30</t>
  </si>
  <si>
    <t>bono31</t>
  </si>
  <si>
    <t>bono32</t>
  </si>
  <si>
    <t>bono33</t>
  </si>
  <si>
    <t>bono34</t>
  </si>
  <si>
    <t>bono35</t>
  </si>
  <si>
    <t>bono36</t>
  </si>
  <si>
    <t>bono37</t>
  </si>
  <si>
    <t>bono38</t>
  </si>
  <si>
    <t>bono39</t>
  </si>
  <si>
    <t>bono40</t>
  </si>
  <si>
    <t>bono41</t>
  </si>
  <si>
    <t>XS145DGFDJHDKJ</t>
  </si>
  <si>
    <t>SCH</t>
  </si>
  <si>
    <t>FONDO 1</t>
  </si>
  <si>
    <t>FONDO 2</t>
  </si>
  <si>
    <t>FONDO 3</t>
  </si>
  <si>
    <t>FONDO 4</t>
  </si>
  <si>
    <t>LU05ERGERF</t>
  </si>
  <si>
    <t>SHC</t>
  </si>
  <si>
    <t>GESTOR 1</t>
  </si>
  <si>
    <t>GESTOR 2</t>
  </si>
  <si>
    <t>GESTOR 3</t>
  </si>
  <si>
    <t>GESTOR 4</t>
  </si>
  <si>
    <t>GESTOR 5</t>
  </si>
  <si>
    <t>GESTOR 6</t>
  </si>
  <si>
    <t>GESTOR 7</t>
  </si>
  <si>
    <t>GESTOR 8</t>
  </si>
  <si>
    <t>GESTOR 9</t>
  </si>
  <si>
    <t>GESTOR 10</t>
  </si>
  <si>
    <t>GESTOR 11</t>
  </si>
  <si>
    <t>GESTOR 12</t>
  </si>
  <si>
    <t>GESTOR 13</t>
  </si>
  <si>
    <t>GESTOR 14</t>
  </si>
  <si>
    <t>GESTOR 15</t>
  </si>
  <si>
    <t>GESTOR 16</t>
  </si>
  <si>
    <t>JUAN 1</t>
  </si>
  <si>
    <t>JUAN 2</t>
  </si>
  <si>
    <t>JUAN 3</t>
  </si>
  <si>
    <t>JUAN 4</t>
  </si>
  <si>
    <t>JUAN 5</t>
  </si>
  <si>
    <t>JUAN 6</t>
  </si>
  <si>
    <t>JUAN 7</t>
  </si>
  <si>
    <t>JUAN 8</t>
  </si>
  <si>
    <t>JUAN 9</t>
  </si>
  <si>
    <t>JUAN 10</t>
  </si>
  <si>
    <t>JUAN 11</t>
  </si>
  <si>
    <t>JUAN 12</t>
  </si>
  <si>
    <t>JUAN 13</t>
  </si>
  <si>
    <t>JUAN 14</t>
  </si>
  <si>
    <t>JUAN 15</t>
  </si>
  <si>
    <t>JUAN 16</t>
  </si>
  <si>
    <t xml:space="preserve"> V</t>
  </si>
  <si>
    <t/>
  </si>
  <si>
    <t>Vcto x Ocurrir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</si>
</sst>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8"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_(* #,##0.00_);_(* \(#,##0.00\);_(* &quot;-&quot;??_);_(@_)"/>
    <numFmt numFmtId="169" formatCode="_-* #,##0.0_-;\-* #,##0.0_-;_-* &quot;-&quot;??_-;_-@_-"/>
    <numFmt numFmtId="170" formatCode="_-* #,##0_-;\-* #,##0_-;_-* &quot;-&quot;??_-;_-@_-"/>
    <numFmt numFmtId="172" formatCode="_(* #,##0_);_(* \(#,##0\);_(* &quot;-&quot;??_);_(@_)"/>
    <numFmt numFmtId="173" formatCode="0.0%"/>
    <numFmt numFmtId="174" formatCode="_-* #,##0.000_-;\-* #,##0.000_-;_-* &quot;-&quot;??_-;_-@_-"/>
    <numFmt numFmtId="175" formatCode="_ * #,##0.000_ ;_ * \-#,##0.000_ ;_ * &quot;-&quot;??_ ;_ @_ "/>
    <numFmt numFmtId="176" formatCode="#,##0_ ;[Red]\-#,##0\ "/>
    <numFmt numFmtId="177" formatCode="_ * #,##0.0_ ;_ * \-#,##0.0_ ;_ * &quot;-&quot;??_ ;_ @_ "/>
    <numFmt numFmtId="178" formatCode="_ * #,##0_ ;_ * \-#,##0_ ;_ * &quot;-&quot;??_ ;_ @_ "/>
    <numFmt numFmtId="179" formatCode="#,##0.0_ ;[Red]\-#,##0.0\ "/>
    <numFmt numFmtId="180" formatCode="#,##0.00_ ;[Red]\-#,##0.00\ "/>
    <numFmt numFmtId="181" formatCode="0.00%;[Red]\-0.00%"/>
    <numFmt numFmtId="182" formatCode="_ * #,##0.00000_ ;_ * \-#,##0.00000_ ;_ * &quot;-&quot;??_ ;_ @_ "/>
    <numFmt numFmtId="183" formatCode="_-* #,##0.0_-;\-* #,##0.0_-;_-* &quot;-&quot;?_-;_-@_-"/>
    <numFmt numFmtId="184" formatCode="_ * #,##0.0000_ ;_ * \-#,##0.0000_ ;_ * &quot;-&quot;??_ ;_ @_ "/>
    <numFmt numFmtId="185" formatCode="[$-409]d\-mmm;@"/>
    <numFmt numFmtId="186" formatCode="_-[$€-2]\ * #,##0.00_-;\-[$€-2]\ * #,##0.00_-;_-[$€-2]\ * &quot;-&quot;??_-"/>
    <numFmt numFmtId="187" formatCode="_-* #,##0.0000_-;\-* #,##0.0000_-;_-* &quot;-&quot;??_-;_-@_-"/>
    <numFmt numFmtId="188" formatCode="#,##0.00%;[Red]\-#,##0.00%"/>
    <numFmt numFmtId="189" formatCode="_(* #,##0.000_);_(* \(#,##0.000\);_(* &quot;-&quot;??_);_(@_)"/>
    <numFmt numFmtId="191" formatCode="#,##0.0000_ ;[Red]\-#,##0.0000\ "/>
    <numFmt numFmtId="192" formatCode="_-* #,##0.00_-;\-* #,##0.00_-;_-* &quot;-&quot;_-;_-@_-"/>
    <numFmt numFmtId="193" formatCode="#,##0_ ;\-#,##0\ "/>
    <numFmt numFmtId="194" formatCode="_ * #,##0.00_ ;_ * \-#,##0.00_ ;_ * &quot;-&quot;_ ;_ @_ "/>
    <numFmt numFmtId="195" formatCode="0.000"/>
    <numFmt numFmtId="196" formatCode="_-* #,##0.0_-;\-* #,##0.0_-;_-* &quot;-&quot;_-;_-@_-"/>
    <numFmt numFmtId="197" formatCode="_ * #,##0.0_ ;_ * \-#,##0.0_ ;_ * &quot;-&quot;?_ ;_ @_ "/>
    <numFmt numFmtId="198" formatCode="_-* #,##0.000_-;\-* #,##0.000_-;_-* &quot;-&quot;_-;_-@_-"/>
    <numFmt numFmtId="199" formatCode="#,##0.000_ ;[Red]\-#,##0.000\ "/>
    <numFmt numFmtId="200" formatCode="0.000%"/>
    <numFmt numFmtId="201" formatCode="_-* #,##0.0000_-;\-* #,##0.0000_-;_-* &quot;-&quot;_-;_-@_-"/>
    <numFmt numFmtId="202" formatCode="_ * #,##0.0_ ;_ * \-#,##0.0_ ;_ * &quot;-&quot;_ ;_ @_ "/>
    <numFmt numFmtId="203" formatCode="\$#,##0"/>
  </numFmts>
  <fonts count="11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indexed="18"/>
      <name val="Arial"/>
      <family val="2"/>
    </font>
    <font>
      <sz val="10"/>
      <color indexed="18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8"/>
      <color indexed="18"/>
      <name val="Arial"/>
      <family val="2"/>
    </font>
    <font>
      <b/>
      <sz val="12"/>
      <color indexed="18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8"/>
      <name val="Arial"/>
      <family val="2"/>
    </font>
    <font>
      <sz val="9"/>
      <color indexed="18"/>
      <name val="Arial"/>
      <family val="2"/>
    </font>
    <font>
      <b/>
      <i/>
      <sz val="9"/>
      <color indexed="18"/>
      <name val="Arial"/>
      <family val="2"/>
    </font>
    <font>
      <b/>
      <sz val="9"/>
      <color indexed="18"/>
      <name val="Arial"/>
      <family val="2"/>
    </font>
    <font>
      <b/>
      <sz val="12"/>
      <name val="Arial"/>
      <family val="2"/>
    </font>
    <font>
      <b/>
      <sz val="8"/>
      <color indexed="18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b/>
      <sz val="10"/>
      <color indexed="62"/>
      <name val="Arial"/>
      <family val="2"/>
    </font>
    <font>
      <b/>
      <i/>
      <sz val="10"/>
      <color indexed="18"/>
      <name val="Arial"/>
      <family val="2"/>
    </font>
    <font>
      <i/>
      <sz val="10"/>
      <name val="Arial"/>
      <family val="2"/>
    </font>
    <font>
      <b/>
      <i/>
      <sz val="12"/>
      <color indexed="18"/>
      <name val="Arial"/>
      <family val="2"/>
    </font>
    <font>
      <b/>
      <sz val="11"/>
      <color indexed="18"/>
      <name val="Arial"/>
      <family val="2"/>
    </font>
    <font>
      <b/>
      <sz val="14"/>
      <color indexed="10"/>
      <name val="Arial"/>
      <family val="2"/>
    </font>
    <font>
      <b/>
      <sz val="9"/>
      <color indexed="10"/>
      <name val="Arial"/>
      <family val="2"/>
    </font>
    <font>
      <b/>
      <i/>
      <sz val="10"/>
      <name val="Arial"/>
      <family val="2"/>
    </font>
    <font>
      <b/>
      <i/>
      <sz val="8"/>
      <color indexed="18"/>
      <name val="Arial"/>
      <family val="2"/>
    </font>
    <font>
      <sz val="8"/>
      <name val="Arial"/>
      <family val="2"/>
    </font>
    <font>
      <sz val="8"/>
      <color indexed="18"/>
      <name val="Arial"/>
      <family val="2"/>
    </font>
    <font>
      <sz val="9"/>
      <color indexed="10"/>
      <name val="Arial"/>
      <family val="2"/>
    </font>
    <font>
      <b/>
      <i/>
      <sz val="14"/>
      <color indexed="12"/>
      <name val="Arial"/>
      <family val="2"/>
    </font>
    <font>
      <b/>
      <i/>
      <sz val="10"/>
      <color indexed="12"/>
      <name val="Arial"/>
      <family val="2"/>
    </font>
    <font>
      <b/>
      <i/>
      <sz val="10"/>
      <color indexed="10"/>
      <name val="Arial"/>
      <family val="2"/>
    </font>
    <font>
      <b/>
      <i/>
      <sz val="9"/>
      <color indexed="10"/>
      <name val="Arial"/>
      <family val="2"/>
    </font>
    <font>
      <sz val="8"/>
      <name val="Arial"/>
      <family val="2"/>
    </font>
    <font>
      <sz val="14"/>
      <color indexed="10"/>
      <name val="Arial"/>
      <family val="2"/>
    </font>
    <font>
      <b/>
      <sz val="13"/>
      <color indexed="10"/>
      <name val="Arial"/>
      <family val="2"/>
    </font>
    <font>
      <sz val="9"/>
      <color indexed="18"/>
      <name val="Arial"/>
      <family val="2"/>
    </font>
    <font>
      <sz val="10"/>
      <color indexed="10"/>
      <name val="Arial"/>
      <family val="2"/>
    </font>
    <font>
      <b/>
      <i/>
      <sz val="9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color indexed="18"/>
      <name val="Arial"/>
      <family val="2"/>
    </font>
    <font>
      <b/>
      <sz val="14"/>
      <color indexed="18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i/>
      <sz val="12"/>
      <color theme="0"/>
      <name val="Arial"/>
      <family val="2"/>
    </font>
    <font>
      <b/>
      <i/>
      <sz val="11"/>
      <color theme="0"/>
      <name val="Arial"/>
      <family val="2"/>
    </font>
    <font>
      <b/>
      <u/>
      <sz val="10"/>
      <color indexed="18"/>
      <name val="Arial"/>
      <family val="2"/>
    </font>
    <font>
      <b/>
      <sz val="11"/>
      <color rgb="FFFF0000"/>
      <name val="Arial"/>
      <family val="2"/>
    </font>
    <font>
      <sz val="14"/>
      <color rgb="FF0000FF"/>
      <name val="Calibri"/>
      <family val="2"/>
      <scheme val="minor"/>
    </font>
    <font>
      <sz val="9"/>
      <color rgb="FFFF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b/>
      <sz val="14"/>
      <name val="Arial"/>
      <family val="2"/>
    </font>
    <font>
      <b/>
      <i/>
      <sz val="12"/>
      <color rgb="FFFF0000"/>
      <name val="Arial"/>
      <family val="2"/>
    </font>
    <font>
      <b/>
      <i/>
      <sz val="14"/>
      <color rgb="FFFF0000"/>
      <name val="Arial"/>
      <family val="2"/>
    </font>
    <font>
      <b/>
      <i/>
      <u val="singleAccounting"/>
      <sz val="8"/>
      <color indexed="18"/>
      <name val="Arial"/>
      <family val="2"/>
    </font>
    <font>
      <b/>
      <i/>
      <sz val="8"/>
      <color theme="0"/>
      <name val="Arial"/>
      <family val="2"/>
    </font>
    <font>
      <b/>
      <i/>
      <sz val="10"/>
      <color indexed="9"/>
      <name val="Arial"/>
      <family val="2"/>
    </font>
    <font>
      <b/>
      <i/>
      <u val="singleAccounting"/>
      <sz val="10"/>
      <name val="Arial"/>
      <family val="2"/>
    </font>
    <font>
      <b/>
      <i/>
      <sz val="8"/>
      <name val="Arial"/>
      <family val="2"/>
    </font>
    <font>
      <b/>
      <i/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i/>
      <sz val="8"/>
      <color rgb="FFFF0000"/>
      <name val="Arial"/>
      <family val="2"/>
    </font>
    <font>
      <b/>
      <sz val="8"/>
      <color rgb="FFFF0000"/>
      <name val="Arial"/>
      <family val="2"/>
    </font>
    <font>
      <sz val="11"/>
      <color rgb="FF002060"/>
      <name val="Calibri"/>
      <family val="2"/>
      <scheme val="minor"/>
    </font>
    <font>
      <sz val="10"/>
      <color rgb="FF002060"/>
      <name val="Arial"/>
      <family val="2"/>
    </font>
    <font>
      <sz val="10"/>
      <color rgb="FF002060"/>
      <name val="Inherit"/>
    </font>
    <font>
      <b/>
      <sz val="11"/>
      <color rgb="FF002060"/>
      <name val="Calibri"/>
      <family val="2"/>
      <scheme val="minor"/>
    </font>
    <font>
      <b/>
      <sz val="10"/>
      <color rgb="FF002060"/>
      <name val="Arial"/>
      <family val="2"/>
    </font>
    <font>
      <i/>
      <sz val="10"/>
      <color rgb="FFFF0000"/>
      <name val="Arial"/>
      <family val="2"/>
    </font>
    <font>
      <i/>
      <sz val="10"/>
      <color rgb="FF002060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theme="0"/>
      <name val="Arial"/>
      <family val="2"/>
    </font>
    <font>
      <b/>
      <i/>
      <sz val="10"/>
      <color rgb="FF0000FF"/>
      <name val="Arial"/>
      <family val="2"/>
    </font>
    <font>
      <i/>
      <sz val="10"/>
      <color indexed="18"/>
      <name val="Arial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9"/>
      <color rgb="FF404040"/>
      <name val="Calibri"/>
      <family val="2"/>
    </font>
    <font>
      <sz val="11"/>
      <color rgb="FF0000FF"/>
      <name val="Calibri"/>
      <family val="2"/>
    </font>
    <font>
      <sz val="9"/>
      <color rgb="FF666666"/>
      <name val="Calibri"/>
      <family val="2"/>
    </font>
    <font>
      <b/>
      <sz val="10"/>
      <color rgb="FF0000FF"/>
      <name val="Arial"/>
      <family val="2"/>
    </font>
    <font>
      <b/>
      <sz val="10"/>
      <color theme="5"/>
      <name val="Arial"/>
      <family val="2"/>
    </font>
    <font>
      <b/>
      <sz val="9"/>
      <color theme="5"/>
      <name val="Arial"/>
      <family val="2"/>
    </font>
    <font>
      <b/>
      <sz val="9"/>
      <color rgb="FF7030A0"/>
      <name val="Arial"/>
      <family val="2"/>
    </font>
    <font>
      <b/>
      <sz val="9"/>
      <color rgb="FF7030A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  <fill>
      <patternFill patternType="solid">
        <fgColor rgb="FF1F4E7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413">
    <xf numFmtId="0" fontId="0" fillId="0" borderId="0"/>
    <xf numFmtId="18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63" fillId="0" borderId="0"/>
    <xf numFmtId="0" fontId="65" fillId="0" borderId="33" applyNumberFormat="0" applyFill="0" applyAlignment="0" applyProtection="0"/>
    <xf numFmtId="0" fontId="66" fillId="0" borderId="34" applyNumberFormat="0" applyFill="0" applyAlignment="0" applyProtection="0"/>
    <xf numFmtId="0" fontId="67" fillId="0" borderId="35" applyNumberFormat="0" applyFill="0" applyAlignment="0" applyProtection="0"/>
    <xf numFmtId="0" fontId="67" fillId="0" borderId="0" applyNumberFormat="0" applyFill="0" applyBorder="0" applyAlignment="0" applyProtection="0"/>
    <xf numFmtId="0" fontId="68" fillId="20" borderId="0" applyNumberFormat="0" applyBorder="0" applyAlignment="0" applyProtection="0"/>
    <xf numFmtId="0" fontId="69" fillId="21" borderId="0" applyNumberFormat="0" applyBorder="0" applyAlignment="0" applyProtection="0"/>
    <xf numFmtId="0" fontId="70" fillId="23" borderId="36" applyNumberFormat="0" applyAlignment="0" applyProtection="0"/>
    <xf numFmtId="0" fontId="71" fillId="24" borderId="37" applyNumberFormat="0" applyAlignment="0" applyProtection="0"/>
    <xf numFmtId="0" fontId="72" fillId="24" borderId="36" applyNumberFormat="0" applyAlignment="0" applyProtection="0"/>
    <xf numFmtId="0" fontId="73" fillId="0" borderId="38" applyNumberFormat="0" applyFill="0" applyAlignment="0" applyProtection="0"/>
    <xf numFmtId="0" fontId="74" fillId="25" borderId="39" applyNumberFormat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41" applyNumberFormat="0" applyFill="0" applyAlignment="0" applyProtection="0"/>
    <xf numFmtId="0" fontId="78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78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78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78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78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78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0" borderId="0"/>
    <xf numFmtId="0" fontId="79" fillId="0" borderId="0" applyNumberFormat="0" applyFill="0" applyBorder="0" applyAlignment="0" applyProtection="0"/>
    <xf numFmtId="0" fontId="80" fillId="22" borderId="0" applyNumberFormat="0" applyBorder="0" applyAlignment="0" applyProtection="0"/>
    <xf numFmtId="0" fontId="10" fillId="26" borderId="40" applyNumberFormat="0" applyFont="0" applyAlignment="0" applyProtection="0"/>
    <xf numFmtId="0" fontId="78" fillId="30" borderId="0" applyNumberFormat="0" applyBorder="0" applyAlignment="0" applyProtection="0"/>
    <xf numFmtId="0" fontId="78" fillId="34" borderId="0" applyNumberFormat="0" applyBorder="0" applyAlignment="0" applyProtection="0"/>
    <xf numFmtId="0" fontId="78" fillId="38" borderId="0" applyNumberFormat="0" applyBorder="0" applyAlignment="0" applyProtection="0"/>
    <xf numFmtId="0" fontId="78" fillId="42" borderId="0" applyNumberFormat="0" applyBorder="0" applyAlignment="0" applyProtection="0"/>
    <xf numFmtId="0" fontId="78" fillId="46" borderId="0" applyNumberFormat="0" applyBorder="0" applyAlignment="0" applyProtection="0"/>
    <xf numFmtId="0" fontId="78" fillId="50" borderId="0" applyNumberFormat="0" applyBorder="0" applyAlignment="0" applyProtection="0"/>
    <xf numFmtId="0" fontId="9" fillId="0" borderId="0"/>
    <xf numFmtId="0" fontId="9" fillId="26" borderId="40" applyNumberFormat="0" applyFont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8" fillId="0" borderId="0"/>
    <xf numFmtId="0" fontId="8" fillId="26" borderId="40" applyNumberFormat="0" applyFont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9" fontId="7" fillId="0" borderId="0" applyFont="0" applyFill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0" borderId="0"/>
    <xf numFmtId="0" fontId="6" fillId="26" borderId="40" applyNumberFormat="0" applyFont="0" applyAlignment="0" applyProtection="0"/>
    <xf numFmtId="0" fontId="6" fillId="0" borderId="0"/>
    <xf numFmtId="0" fontId="6" fillId="26" borderId="40" applyNumberFormat="0" applyFont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0" borderId="0"/>
    <xf numFmtId="0" fontId="6" fillId="26" borderId="40" applyNumberFormat="0" applyFont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9" fontId="6" fillId="0" borderId="0" applyFont="0" applyFill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0" borderId="0"/>
    <xf numFmtId="0" fontId="5" fillId="26" borderId="40" applyNumberFormat="0" applyFont="0" applyAlignment="0" applyProtection="0"/>
    <xf numFmtId="0" fontId="5" fillId="0" borderId="0"/>
    <xf numFmtId="0" fontId="5" fillId="26" borderId="40" applyNumberFormat="0" applyFont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0" borderId="0"/>
    <xf numFmtId="0" fontId="5" fillId="26" borderId="40" applyNumberFormat="0" applyFont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9" fontId="5" fillId="0" borderId="0" applyFont="0" applyFill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0" borderId="0"/>
    <xf numFmtId="0" fontId="5" fillId="26" borderId="40" applyNumberFormat="0" applyFont="0" applyAlignment="0" applyProtection="0"/>
    <xf numFmtId="0" fontId="5" fillId="0" borderId="0"/>
    <xf numFmtId="0" fontId="5" fillId="26" borderId="40" applyNumberFormat="0" applyFont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0" borderId="0"/>
    <xf numFmtId="0" fontId="5" fillId="26" borderId="40" applyNumberFormat="0" applyFont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9" fontId="5" fillId="0" borderId="0" applyFont="0" applyFill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0" borderId="0"/>
    <xf numFmtId="0" fontId="4" fillId="26" borderId="40" applyNumberFormat="0" applyFont="0" applyAlignment="0" applyProtection="0"/>
    <xf numFmtId="0" fontId="4" fillId="0" borderId="0"/>
    <xf numFmtId="0" fontId="4" fillId="26" borderId="40" applyNumberFormat="0" applyFont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0" borderId="0"/>
    <xf numFmtId="0" fontId="4" fillId="26" borderId="40" applyNumberFormat="0" applyFont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9" fontId="4" fillId="0" borderId="0" applyFont="0" applyFill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0" borderId="0"/>
    <xf numFmtId="0" fontId="4" fillId="26" borderId="40" applyNumberFormat="0" applyFont="0" applyAlignment="0" applyProtection="0"/>
    <xf numFmtId="0" fontId="4" fillId="0" borderId="0"/>
    <xf numFmtId="0" fontId="4" fillId="26" borderId="40" applyNumberFormat="0" applyFont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0" borderId="0"/>
    <xf numFmtId="0" fontId="4" fillId="26" borderId="40" applyNumberFormat="0" applyFont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9" fontId="4" fillId="0" borderId="0" applyFont="0" applyFill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0" borderId="0"/>
    <xf numFmtId="0" fontId="4" fillId="26" borderId="40" applyNumberFormat="0" applyFont="0" applyAlignment="0" applyProtection="0"/>
    <xf numFmtId="0" fontId="4" fillId="0" borderId="0"/>
    <xf numFmtId="0" fontId="4" fillId="26" borderId="40" applyNumberFormat="0" applyFont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0" borderId="0"/>
    <xf numFmtId="0" fontId="4" fillId="26" borderId="40" applyNumberFormat="0" applyFont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9" fontId="4" fillId="0" borderId="0" applyFont="0" applyFill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0" borderId="0"/>
    <xf numFmtId="0" fontId="4" fillId="26" borderId="40" applyNumberFormat="0" applyFont="0" applyAlignment="0" applyProtection="0"/>
    <xf numFmtId="0" fontId="4" fillId="0" borderId="0"/>
    <xf numFmtId="0" fontId="4" fillId="26" borderId="40" applyNumberFormat="0" applyFont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0" borderId="0"/>
    <xf numFmtId="0" fontId="4" fillId="26" borderId="40" applyNumberFormat="0" applyFont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9" fontId="4" fillId="0" borderId="0" applyFont="0" applyFill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9" fontId="3" fillId="0" borderId="0" applyFont="0" applyFill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9" fontId="3" fillId="0" borderId="0" applyFont="0" applyFill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9" fontId="3" fillId="0" borderId="0" applyFont="0" applyFill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9" fontId="3" fillId="0" borderId="0" applyFont="0" applyFill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9" fontId="3" fillId="0" borderId="0" applyFont="0" applyFill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9" fontId="3" fillId="0" borderId="0" applyFont="0" applyFill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9" fontId="3" fillId="0" borderId="0" applyFont="0" applyFill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0" borderId="0"/>
    <xf numFmtId="0" fontId="3" fillId="26" borderId="40" applyNumberFormat="0" applyFont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9" fontId="3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0" borderId="0"/>
    <xf numFmtId="0" fontId="2" fillId="26" borderId="40" applyNumberFormat="0" applyFont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1">
    <xf numFmtId="0" fontId="0" fillId="0" borderId="0" xfId="0"/>
    <xf numFmtId="0" fontId="0" fillId="2" borderId="0" xfId="0" applyFill="1"/>
    <xf numFmtId="165" fontId="0" fillId="2" borderId="0" xfId="2" applyFont="1" applyFill="1"/>
    <xf numFmtId="165" fontId="0" fillId="2" borderId="0" xfId="0" applyNumberFormat="1" applyFill="1"/>
    <xf numFmtId="0" fontId="18" fillId="2" borderId="0" xfId="0" applyFont="1" applyFill="1"/>
    <xf numFmtId="165" fontId="18" fillId="2" borderId="0" xfId="0" applyNumberFormat="1" applyFont="1" applyFill="1"/>
    <xf numFmtId="0" fontId="19" fillId="3" borderId="1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165" fontId="18" fillId="2" borderId="0" xfId="2" applyFont="1" applyFill="1"/>
    <xf numFmtId="0" fontId="19" fillId="4" borderId="1" xfId="0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165" fontId="20" fillId="6" borderId="0" xfId="2" applyFont="1" applyFill="1"/>
    <xf numFmtId="165" fontId="15" fillId="7" borderId="0" xfId="2" applyFont="1" applyFill="1" applyBorder="1"/>
    <xf numFmtId="165" fontId="21" fillId="7" borderId="0" xfId="2" applyFont="1" applyFill="1"/>
    <xf numFmtId="0" fontId="19" fillId="4" borderId="0" xfId="0" applyFont="1" applyFill="1"/>
    <xf numFmtId="170" fontId="19" fillId="4" borderId="0" xfId="0" applyNumberFormat="1" applyFont="1" applyFill="1"/>
    <xf numFmtId="0" fontId="19" fillId="5" borderId="0" xfId="0" applyFont="1" applyFill="1" applyAlignment="1">
      <alignment horizontal="center"/>
    </xf>
    <xf numFmtId="0" fontId="19" fillId="3" borderId="4" xfId="0" applyFont="1" applyFill="1" applyBorder="1" applyAlignment="1">
      <alignment horizontal="center"/>
    </xf>
    <xf numFmtId="16" fontId="26" fillId="0" borderId="0" xfId="0" applyNumberFormat="1" applyFont="1"/>
    <xf numFmtId="0" fontId="19" fillId="8" borderId="1" xfId="0" applyFont="1" applyFill="1" applyBorder="1" applyAlignment="1">
      <alignment horizontal="center"/>
    </xf>
    <xf numFmtId="165" fontId="20" fillId="4" borderId="0" xfId="2" applyFont="1" applyFill="1"/>
    <xf numFmtId="165" fontId="20" fillId="6" borderId="0" xfId="2" applyFont="1" applyFill="1" applyBorder="1"/>
    <xf numFmtId="165" fontId="21" fillId="7" borderId="0" xfId="2" applyFont="1" applyFill="1" applyBorder="1"/>
    <xf numFmtId="10" fontId="16" fillId="2" borderId="0" xfId="4" applyNumberFormat="1" applyFont="1" applyFill="1" applyBorder="1"/>
    <xf numFmtId="3" fontId="0" fillId="0" borderId="0" xfId="0" applyNumberFormat="1"/>
    <xf numFmtId="0" fontId="19" fillId="4" borderId="5" xfId="0" applyFont="1" applyFill="1" applyBorder="1" applyAlignment="1">
      <alignment horizontal="center"/>
    </xf>
    <xf numFmtId="165" fontId="0" fillId="0" borderId="0" xfId="0" applyNumberFormat="1"/>
    <xf numFmtId="0" fontId="19" fillId="4" borderId="6" xfId="0" applyFont="1" applyFill="1" applyBorder="1" applyAlignment="1">
      <alignment horizontal="center"/>
    </xf>
    <xf numFmtId="2" fontId="0" fillId="0" borderId="0" xfId="0" applyNumberFormat="1"/>
    <xf numFmtId="176" fontId="18" fillId="2" borderId="0" xfId="0" applyNumberFormat="1" applyFont="1" applyFill="1"/>
    <xf numFmtId="176" fontId="0" fillId="0" borderId="0" xfId="0" applyNumberFormat="1"/>
    <xf numFmtId="167" fontId="0" fillId="2" borderId="0" xfId="0" applyNumberFormat="1" applyFill="1"/>
    <xf numFmtId="0" fontId="18" fillId="5" borderId="7" xfId="0" applyFont="1" applyFill="1" applyBorder="1" applyAlignment="1">
      <alignment horizontal="center"/>
    </xf>
    <xf numFmtId="165" fontId="20" fillId="6" borderId="7" xfId="2" applyFont="1" applyFill="1" applyBorder="1"/>
    <xf numFmtId="165" fontId="21" fillId="7" borderId="7" xfId="2" applyFont="1" applyFill="1" applyBorder="1"/>
    <xf numFmtId="0" fontId="28" fillId="0" borderId="0" xfId="0" applyFont="1"/>
    <xf numFmtId="0" fontId="15" fillId="8" borderId="1" xfId="0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10" fontId="13" fillId="2" borderId="0" xfId="4" applyNumberFormat="1" applyFont="1" applyFill="1"/>
    <xf numFmtId="0" fontId="28" fillId="2" borderId="0" xfId="0" applyFont="1" applyFill="1"/>
    <xf numFmtId="170" fontId="15" fillId="8" borderId="0" xfId="0" applyNumberFormat="1" applyFont="1" applyFill="1"/>
    <xf numFmtId="0" fontId="28" fillId="8" borderId="0" xfId="0" applyFont="1" applyFill="1"/>
    <xf numFmtId="165" fontId="0" fillId="0" borderId="0" xfId="2" applyFont="1"/>
    <xf numFmtId="178" fontId="0" fillId="0" borderId="0" xfId="2" applyNumberFormat="1" applyFont="1"/>
    <xf numFmtId="167" fontId="0" fillId="0" borderId="0" xfId="0" applyNumberFormat="1"/>
    <xf numFmtId="167" fontId="15" fillId="6" borderId="0" xfId="0" applyNumberFormat="1" applyFont="1" applyFill="1"/>
    <xf numFmtId="178" fontId="18" fillId="2" borderId="0" xfId="0" applyNumberFormat="1" applyFont="1" applyFill="1"/>
    <xf numFmtId="9" fontId="0" fillId="0" borderId="0" xfId="0" applyNumberFormat="1"/>
    <xf numFmtId="177" fontId="0" fillId="0" borderId="0" xfId="0" applyNumberFormat="1"/>
    <xf numFmtId="16" fontId="18" fillId="2" borderId="0" xfId="2" applyNumberFormat="1" applyFont="1" applyFill="1"/>
    <xf numFmtId="0" fontId="33" fillId="0" borderId="0" xfId="0" applyFont="1"/>
    <xf numFmtId="169" fontId="24" fillId="2" borderId="1" xfId="2" applyNumberFormat="1" applyFont="1" applyFill="1" applyBorder="1"/>
    <xf numFmtId="170" fontId="24" fillId="2" borderId="0" xfId="0" applyNumberFormat="1" applyFont="1" applyFill="1" applyAlignment="1">
      <alignment horizontal="center"/>
    </xf>
    <xf numFmtId="169" fontId="24" fillId="2" borderId="0" xfId="2" applyNumberFormat="1" applyFont="1" applyFill="1" applyBorder="1"/>
    <xf numFmtId="173" fontId="32" fillId="2" borderId="0" xfId="4" applyNumberFormat="1" applyFont="1" applyFill="1"/>
    <xf numFmtId="0" fontId="22" fillId="0" borderId="0" xfId="0" applyFont="1"/>
    <xf numFmtId="167" fontId="22" fillId="2" borderId="0" xfId="0" applyNumberFormat="1" applyFont="1" applyFill="1"/>
    <xf numFmtId="178" fontId="15" fillId="2" borderId="0" xfId="2" applyNumberFormat="1" applyFont="1" applyFill="1" applyBorder="1"/>
    <xf numFmtId="165" fontId="22" fillId="0" borderId="0" xfId="2" applyFont="1"/>
    <xf numFmtId="0" fontId="40" fillId="2" borderId="0" xfId="0" applyFont="1" applyFill="1"/>
    <xf numFmtId="167" fontId="18" fillId="2" borderId="3" xfId="0" applyNumberFormat="1" applyFont="1" applyFill="1" applyBorder="1"/>
    <xf numFmtId="169" fontId="18" fillId="2" borderId="0" xfId="2" applyNumberFormat="1" applyFont="1" applyFill="1" applyBorder="1"/>
    <xf numFmtId="167" fontId="18" fillId="2" borderId="0" xfId="0" applyNumberFormat="1" applyFont="1" applyFill="1"/>
    <xf numFmtId="0" fontId="40" fillId="0" borderId="0" xfId="0" applyFont="1"/>
    <xf numFmtId="0" fontId="19" fillId="4" borderId="16" xfId="0" applyFont="1" applyFill="1" applyBorder="1" applyAlignment="1">
      <alignment horizontal="center"/>
    </xf>
    <xf numFmtId="165" fontId="42" fillId="2" borderId="0" xfId="2" applyFont="1" applyFill="1"/>
    <xf numFmtId="0" fontId="19" fillId="5" borderId="17" xfId="0" applyFont="1" applyFill="1" applyBorder="1" applyAlignment="1">
      <alignment horizontal="center"/>
    </xf>
    <xf numFmtId="38" fontId="18" fillId="2" borderId="0" xfId="2" applyNumberFormat="1" applyFont="1" applyFill="1" applyBorder="1"/>
    <xf numFmtId="167" fontId="18" fillId="2" borderId="18" xfId="0" applyNumberFormat="1" applyFont="1" applyFill="1" applyBorder="1"/>
    <xf numFmtId="165" fontId="23" fillId="2" borderId="0" xfId="2" applyFont="1" applyFill="1"/>
    <xf numFmtId="0" fontId="19" fillId="5" borderId="19" xfId="0" applyFont="1" applyFill="1" applyBorder="1" applyAlignment="1">
      <alignment horizontal="center"/>
    </xf>
    <xf numFmtId="167" fontId="18" fillId="2" borderId="20" xfId="0" applyNumberFormat="1" applyFont="1" applyFill="1" applyBorder="1"/>
    <xf numFmtId="167" fontId="13" fillId="2" borderId="0" xfId="0" applyNumberFormat="1" applyFont="1" applyFill="1"/>
    <xf numFmtId="38" fontId="19" fillId="4" borderId="0" xfId="2" applyNumberFormat="1" applyFont="1" applyFill="1"/>
    <xf numFmtId="167" fontId="32" fillId="3" borderId="0" xfId="0" applyNumberFormat="1" applyFont="1" applyFill="1"/>
    <xf numFmtId="165" fontId="32" fillId="3" borderId="0" xfId="2" applyFont="1" applyFill="1"/>
    <xf numFmtId="167" fontId="44" fillId="6" borderId="0" xfId="0" applyNumberFormat="1" applyFont="1" applyFill="1"/>
    <xf numFmtId="165" fontId="44" fillId="6" borderId="0" xfId="2" applyFont="1" applyFill="1"/>
    <xf numFmtId="167" fontId="38" fillId="6" borderId="0" xfId="0" applyNumberFormat="1" applyFont="1" applyFill="1"/>
    <xf numFmtId="181" fontId="16" fillId="2" borderId="0" xfId="4" applyNumberFormat="1" applyFont="1" applyFill="1" applyBorder="1"/>
    <xf numFmtId="181" fontId="16" fillId="2" borderId="7" xfId="4" applyNumberFormat="1" applyFont="1" applyFill="1" applyBorder="1"/>
    <xf numFmtId="0" fontId="13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177" fontId="28" fillId="0" borderId="0" xfId="0" applyNumberFormat="1" applyFont="1"/>
    <xf numFmtId="165" fontId="24" fillId="2" borderId="1" xfId="2" applyFont="1" applyFill="1" applyBorder="1" applyAlignment="1">
      <alignment horizontal="center"/>
    </xf>
    <xf numFmtId="177" fontId="15" fillId="10" borderId="0" xfId="0" applyNumberFormat="1" applyFont="1" applyFill="1"/>
    <xf numFmtId="0" fontId="15" fillId="10" borderId="0" xfId="0" applyFont="1" applyFill="1"/>
    <xf numFmtId="165" fontId="28" fillId="0" borderId="0" xfId="2" applyFont="1"/>
    <xf numFmtId="165" fontId="28" fillId="0" borderId="0" xfId="0" applyNumberFormat="1" applyFont="1"/>
    <xf numFmtId="177" fontId="12" fillId="2" borderId="0" xfId="2" applyNumberFormat="1" applyFont="1" applyFill="1" applyBorder="1"/>
    <xf numFmtId="165" fontId="20" fillId="5" borderId="0" xfId="2" applyFont="1" applyFill="1"/>
    <xf numFmtId="165" fontId="21" fillId="5" borderId="0" xfId="2" applyFont="1" applyFill="1"/>
    <xf numFmtId="184" fontId="21" fillId="5" borderId="0" xfId="2" applyNumberFormat="1" applyFont="1" applyFill="1"/>
    <xf numFmtId="165" fontId="20" fillId="6" borderId="21" xfId="2" applyFont="1" applyFill="1" applyBorder="1"/>
    <xf numFmtId="165" fontId="21" fillId="7" borderId="21" xfId="2" applyFont="1" applyFill="1" applyBorder="1"/>
    <xf numFmtId="176" fontId="18" fillId="2" borderId="7" xfId="0" applyNumberFormat="1" applyFont="1" applyFill="1" applyBorder="1"/>
    <xf numFmtId="182" fontId="21" fillId="5" borderId="0" xfId="2" applyNumberFormat="1" applyFont="1" applyFill="1"/>
    <xf numFmtId="178" fontId="13" fillId="2" borderId="0" xfId="0" applyNumberFormat="1" applyFont="1" applyFill="1"/>
    <xf numFmtId="10" fontId="0" fillId="2" borderId="0" xfId="0" applyNumberFormat="1" applyFill="1"/>
    <xf numFmtId="10" fontId="13" fillId="2" borderId="0" xfId="0" applyNumberFormat="1" applyFont="1" applyFill="1"/>
    <xf numFmtId="0" fontId="18" fillId="0" borderId="7" xfId="0" applyFont="1" applyBorder="1" applyAlignment="1">
      <alignment horizontal="center"/>
    </xf>
    <xf numFmtId="173" fontId="11" fillId="2" borderId="0" xfId="4" applyNumberFormat="1" applyFont="1" applyFill="1"/>
    <xf numFmtId="179" fontId="0" fillId="2" borderId="0" xfId="0" applyNumberFormat="1" applyFill="1"/>
    <xf numFmtId="10" fontId="11" fillId="0" borderId="0" xfId="4" applyNumberFormat="1" applyFont="1"/>
    <xf numFmtId="10" fontId="21" fillId="10" borderId="0" xfId="4" applyNumberFormat="1" applyFont="1" applyFill="1"/>
    <xf numFmtId="176" fontId="36" fillId="0" borderId="0" xfId="0" applyNumberFormat="1" applyFont="1"/>
    <xf numFmtId="180" fontId="36" fillId="0" borderId="0" xfId="0" applyNumberFormat="1" applyFont="1"/>
    <xf numFmtId="176" fontId="48" fillId="0" borderId="0" xfId="0" applyNumberFormat="1" applyFont="1"/>
    <xf numFmtId="178" fontId="15" fillId="7" borderId="0" xfId="2" applyNumberFormat="1" applyFont="1" applyFill="1" applyBorder="1"/>
    <xf numFmtId="184" fontId="21" fillId="7" borderId="0" xfId="2" applyNumberFormat="1" applyFont="1" applyFill="1" applyBorder="1"/>
    <xf numFmtId="184" fontId="0" fillId="0" borderId="0" xfId="2" applyNumberFormat="1" applyFont="1"/>
    <xf numFmtId="0" fontId="19" fillId="11" borderId="0" xfId="0" applyFont="1" applyFill="1" applyAlignment="1">
      <alignment horizontal="center"/>
    </xf>
    <xf numFmtId="0" fontId="35" fillId="11" borderId="21" xfId="0" applyFont="1" applyFill="1" applyBorder="1" applyAlignment="1">
      <alignment horizontal="center" vertical="center"/>
    </xf>
    <xf numFmtId="185" fontId="18" fillId="2" borderId="0" xfId="0" applyNumberFormat="1" applyFont="1" applyFill="1"/>
    <xf numFmtId="175" fontId="21" fillId="7" borderId="0" xfId="2" applyNumberFormat="1" applyFont="1" applyFill="1" applyBorder="1"/>
    <xf numFmtId="0" fontId="18" fillId="2" borderId="7" xfId="0" applyFont="1" applyFill="1" applyBorder="1" applyAlignment="1">
      <alignment horizontal="center"/>
    </xf>
    <xf numFmtId="178" fontId="15" fillId="7" borderId="7" xfId="2" applyNumberFormat="1" applyFont="1" applyFill="1" applyBorder="1"/>
    <xf numFmtId="175" fontId="21" fillId="7" borderId="7" xfId="2" applyNumberFormat="1" applyFont="1" applyFill="1" applyBorder="1"/>
    <xf numFmtId="178" fontId="18" fillId="2" borderId="7" xfId="0" applyNumberFormat="1" applyFont="1" applyFill="1" applyBorder="1"/>
    <xf numFmtId="185" fontId="18" fillId="2" borderId="7" xfId="0" applyNumberFormat="1" applyFont="1" applyFill="1" applyBorder="1"/>
    <xf numFmtId="165" fontId="20" fillId="2" borderId="0" xfId="2" applyFont="1" applyFill="1" applyBorder="1"/>
    <xf numFmtId="165" fontId="21" fillId="2" borderId="0" xfId="2" applyFont="1" applyFill="1" applyBorder="1"/>
    <xf numFmtId="175" fontId="21" fillId="2" borderId="0" xfId="2" applyNumberFormat="1" applyFont="1" applyFill="1" applyBorder="1"/>
    <xf numFmtId="0" fontId="19" fillId="11" borderId="7" xfId="0" applyFont="1" applyFill="1" applyBorder="1" applyAlignment="1">
      <alignment horizontal="center"/>
    </xf>
    <xf numFmtId="0" fontId="35" fillId="11" borderId="7" xfId="0" applyFont="1" applyFill="1" applyBorder="1" applyAlignment="1">
      <alignment horizontal="center" vertical="center"/>
    </xf>
    <xf numFmtId="0" fontId="49" fillId="11" borderId="7" xfId="0" applyFont="1" applyFill="1" applyBorder="1" applyAlignment="1">
      <alignment horizontal="center" vertical="center"/>
    </xf>
    <xf numFmtId="16" fontId="0" fillId="2" borderId="0" xfId="0" applyNumberFormat="1" applyFill="1"/>
    <xf numFmtId="165" fontId="20" fillId="2" borderId="0" xfId="2" applyFont="1" applyFill="1"/>
    <xf numFmtId="165" fontId="21" fillId="2" borderId="0" xfId="2" applyFont="1" applyFill="1"/>
    <xf numFmtId="0" fontId="25" fillId="4" borderId="5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176" fontId="0" fillId="2" borderId="0" xfId="0" applyNumberFormat="1" applyFill="1"/>
    <xf numFmtId="38" fontId="22" fillId="2" borderId="0" xfId="0" applyNumberFormat="1" applyFont="1" applyFill="1"/>
    <xf numFmtId="38" fontId="25" fillId="11" borderId="7" xfId="0" applyNumberFormat="1" applyFont="1" applyFill="1" applyBorder="1" applyAlignment="1">
      <alignment horizontal="center"/>
    </xf>
    <xf numFmtId="16" fontId="23" fillId="2" borderId="0" xfId="0" applyNumberFormat="1" applyFont="1" applyFill="1"/>
    <xf numFmtId="38" fontId="23" fillId="2" borderId="0" xfId="0" applyNumberFormat="1" applyFont="1" applyFill="1"/>
    <xf numFmtId="178" fontId="22" fillId="0" borderId="0" xfId="0" applyNumberFormat="1" applyFont="1"/>
    <xf numFmtId="178" fontId="11" fillId="0" borderId="0" xfId="4" applyNumberFormat="1" applyFont="1"/>
    <xf numFmtId="38" fontId="18" fillId="2" borderId="7" xfId="2" applyNumberFormat="1" applyFont="1" applyFill="1" applyBorder="1"/>
    <xf numFmtId="184" fontId="0" fillId="0" borderId="0" xfId="0" applyNumberFormat="1"/>
    <xf numFmtId="167" fontId="20" fillId="5" borderId="0" xfId="2" applyNumberFormat="1" applyFont="1" applyFill="1"/>
    <xf numFmtId="188" fontId="16" fillId="2" borderId="0" xfId="4" applyNumberFormat="1" applyFont="1" applyFill="1" applyBorder="1"/>
    <xf numFmtId="182" fontId="0" fillId="0" borderId="0" xfId="2" applyNumberFormat="1" applyFont="1"/>
    <xf numFmtId="182" fontId="19" fillId="8" borderId="1" xfId="2" applyNumberFormat="1" applyFont="1" applyFill="1" applyBorder="1" applyAlignment="1">
      <alignment horizontal="center"/>
    </xf>
    <xf numFmtId="182" fontId="28" fillId="0" borderId="0" xfId="2" applyNumberFormat="1" applyFont="1"/>
    <xf numFmtId="182" fontId="15" fillId="8" borderId="1" xfId="2" applyNumberFormat="1" applyFont="1" applyFill="1" applyBorder="1" applyAlignment="1">
      <alignment horizontal="center"/>
    </xf>
    <xf numFmtId="182" fontId="15" fillId="8" borderId="0" xfId="2" applyNumberFormat="1" applyFont="1" applyFill="1"/>
    <xf numFmtId="182" fontId="15" fillId="10" borderId="0" xfId="2" applyNumberFormat="1" applyFont="1" applyFill="1"/>
    <xf numFmtId="165" fontId="21" fillId="4" borderId="0" xfId="2" applyFont="1" applyFill="1"/>
    <xf numFmtId="178" fontId="14" fillId="6" borderId="0" xfId="2" applyNumberFormat="1" applyFont="1" applyFill="1"/>
    <xf numFmtId="0" fontId="51" fillId="6" borderId="0" xfId="0" applyFont="1" applyFill="1"/>
    <xf numFmtId="0" fontId="0" fillId="11" borderId="0" xfId="0" applyFill="1"/>
    <xf numFmtId="0" fontId="51" fillId="11" borderId="0" xfId="0" applyFont="1" applyFill="1"/>
    <xf numFmtId="178" fontId="21" fillId="3" borderId="0" xfId="0" applyNumberFormat="1" applyFont="1" applyFill="1"/>
    <xf numFmtId="178" fontId="51" fillId="3" borderId="0" xfId="0" applyNumberFormat="1" applyFont="1" applyFill="1"/>
    <xf numFmtId="10" fontId="16" fillId="2" borderId="7" xfId="4" applyNumberFormat="1" applyFont="1" applyFill="1" applyBorder="1"/>
    <xf numFmtId="184" fontId="16" fillId="2" borderId="0" xfId="2" applyNumberFormat="1" applyFont="1" applyFill="1"/>
    <xf numFmtId="184" fontId="19" fillId="4" borderId="5" xfId="2" applyNumberFormat="1" applyFont="1" applyFill="1" applyBorder="1" applyAlignment="1">
      <alignment horizontal="center"/>
    </xf>
    <xf numFmtId="184" fontId="19" fillId="2" borderId="0" xfId="2" applyNumberFormat="1" applyFont="1" applyFill="1" applyBorder="1" applyAlignment="1">
      <alignment horizontal="center"/>
    </xf>
    <xf numFmtId="184" fontId="16" fillId="2" borderId="0" xfId="2" applyNumberFormat="1" applyFont="1" applyFill="1" applyBorder="1"/>
    <xf numFmtId="0" fontId="15" fillId="0" borderId="0" xfId="0" applyFont="1"/>
    <xf numFmtId="177" fontId="15" fillId="0" borderId="0" xfId="0" applyNumberFormat="1" applyFont="1"/>
    <xf numFmtId="165" fontId="15" fillId="8" borderId="0" xfId="2" applyFont="1" applyFill="1" applyBorder="1" applyAlignment="1">
      <alignment horizontal="center"/>
    </xf>
    <xf numFmtId="165" fontId="53" fillId="6" borderId="0" xfId="2" applyFont="1" applyFill="1"/>
    <xf numFmtId="0" fontId="13" fillId="4" borderId="0" xfId="0" applyFont="1" applyFill="1" applyAlignment="1">
      <alignment horizontal="center"/>
    </xf>
    <xf numFmtId="165" fontId="15" fillId="4" borderId="0" xfId="2" applyFont="1" applyFill="1"/>
    <xf numFmtId="170" fontId="31" fillId="2" borderId="0" xfId="2" applyNumberFormat="1" applyFont="1" applyFill="1" applyAlignment="1">
      <alignment horizontal="center"/>
    </xf>
    <xf numFmtId="187" fontId="21" fillId="5" borderId="0" xfId="2" applyNumberFormat="1" applyFont="1" applyFill="1"/>
    <xf numFmtId="10" fontId="38" fillId="2" borderId="0" xfId="4" applyNumberFormat="1" applyFont="1" applyFill="1"/>
    <xf numFmtId="180" fontId="18" fillId="2" borderId="0" xfId="0" applyNumberFormat="1" applyFont="1" applyFill="1"/>
    <xf numFmtId="187" fontId="21" fillId="7" borderId="0" xfId="2" applyNumberFormat="1" applyFont="1" applyFill="1" applyBorder="1"/>
    <xf numFmtId="173" fontId="54" fillId="0" borderId="0" xfId="4" applyNumberFormat="1" applyFont="1"/>
    <xf numFmtId="165" fontId="54" fillId="0" borderId="0" xfId="2" applyFont="1"/>
    <xf numFmtId="0" fontId="54" fillId="0" borderId="0" xfId="0" applyFont="1"/>
    <xf numFmtId="176" fontId="50" fillId="2" borderId="0" xfId="0" applyNumberFormat="1" applyFont="1" applyFill="1"/>
    <xf numFmtId="177" fontId="50" fillId="2" borderId="0" xfId="0" applyNumberFormat="1" applyFont="1" applyFill="1"/>
    <xf numFmtId="167" fontId="54" fillId="0" borderId="0" xfId="0" applyNumberFormat="1" applyFont="1"/>
    <xf numFmtId="177" fontId="54" fillId="0" borderId="0" xfId="0" applyNumberFormat="1" applyFont="1"/>
    <xf numFmtId="170" fontId="55" fillId="8" borderId="0" xfId="0" applyNumberFormat="1" applyFont="1" applyFill="1"/>
    <xf numFmtId="177" fontId="55" fillId="10" borderId="0" xfId="0" applyNumberFormat="1" applyFont="1" applyFill="1"/>
    <xf numFmtId="0" fontId="11" fillId="0" borderId="0" xfId="0" applyFont="1"/>
    <xf numFmtId="184" fontId="21" fillId="7" borderId="7" xfId="2" applyNumberFormat="1" applyFont="1" applyFill="1" applyBorder="1"/>
    <xf numFmtId="165" fontId="14" fillId="4" borderId="0" xfId="2" applyFont="1" applyFill="1"/>
    <xf numFmtId="165" fontId="21" fillId="4" borderId="0" xfId="0" applyNumberFormat="1" applyFont="1" applyFill="1"/>
    <xf numFmtId="165" fontId="15" fillId="4" borderId="0" xfId="2" applyFont="1" applyFill="1" applyBorder="1"/>
    <xf numFmtId="16" fontId="15" fillId="9" borderId="0" xfId="0" applyNumberFormat="1" applyFont="1" applyFill="1" applyAlignment="1">
      <alignment horizontal="center"/>
    </xf>
    <xf numFmtId="16" fontId="19" fillId="5" borderId="17" xfId="0" applyNumberFormat="1" applyFont="1" applyFill="1" applyBorder="1" applyAlignment="1">
      <alignment horizontal="center"/>
    </xf>
    <xf numFmtId="16" fontId="15" fillId="4" borderId="0" xfId="0" applyNumberFormat="1" applyFont="1" applyFill="1" applyAlignment="1">
      <alignment horizontal="center"/>
    </xf>
    <xf numFmtId="16" fontId="18" fillId="5" borderId="17" xfId="0" applyNumberFormat="1" applyFont="1" applyFill="1" applyBorder="1" applyAlignment="1">
      <alignment horizontal="center"/>
    </xf>
    <xf numFmtId="0" fontId="19" fillId="4" borderId="24" xfId="0" applyFont="1" applyFill="1" applyBorder="1" applyAlignment="1">
      <alignment horizontal="center"/>
    </xf>
    <xf numFmtId="0" fontId="19" fillId="4" borderId="25" xfId="0" applyFont="1" applyFill="1" applyBorder="1" applyAlignment="1">
      <alignment horizontal="center"/>
    </xf>
    <xf numFmtId="16" fontId="15" fillId="2" borderId="0" xfId="0" applyNumberFormat="1" applyFont="1" applyFill="1"/>
    <xf numFmtId="16" fontId="15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5" fontId="20" fillId="0" borderId="0" xfId="2" applyFont="1" applyFill="1"/>
    <xf numFmtId="165" fontId="15" fillId="0" borderId="0" xfId="2" applyFont="1" applyFill="1" applyBorder="1"/>
    <xf numFmtId="165" fontId="15" fillId="0" borderId="0" xfId="2" applyFont="1" applyFill="1"/>
    <xf numFmtId="176" fontId="18" fillId="0" borderId="0" xfId="0" applyNumberFormat="1" applyFont="1"/>
    <xf numFmtId="188" fontId="16" fillId="0" borderId="0" xfId="4" applyNumberFormat="1" applyFont="1" applyFill="1" applyBorder="1"/>
    <xf numFmtId="178" fontId="13" fillId="0" borderId="0" xfId="0" applyNumberFormat="1" applyFont="1"/>
    <xf numFmtId="9" fontId="11" fillId="0" borderId="0" xfId="4" applyFont="1" applyFill="1"/>
    <xf numFmtId="0" fontId="18" fillId="5" borderId="21" xfId="0" applyFont="1" applyFill="1" applyBorder="1" applyAlignment="1">
      <alignment horizontal="center"/>
    </xf>
    <xf numFmtId="0" fontId="18" fillId="2" borderId="21" xfId="0" applyFont="1" applyFill="1" applyBorder="1" applyAlignment="1">
      <alignment horizontal="center"/>
    </xf>
    <xf numFmtId="38" fontId="18" fillId="2" borderId="21" xfId="2" applyNumberFormat="1" applyFont="1" applyFill="1" applyBorder="1"/>
    <xf numFmtId="181" fontId="16" fillId="2" borderId="21" xfId="4" applyNumberFormat="1" applyFont="1" applyFill="1" applyBorder="1"/>
    <xf numFmtId="167" fontId="18" fillId="2" borderId="26" xfId="0" applyNumberFormat="1" applyFont="1" applyFill="1" applyBorder="1"/>
    <xf numFmtId="16" fontId="15" fillId="13" borderId="0" xfId="0" applyNumberFormat="1" applyFont="1" applyFill="1" applyAlignment="1">
      <alignment horizontal="center"/>
    </xf>
    <xf numFmtId="165" fontId="20" fillId="13" borderId="0" xfId="2" applyFont="1" applyFill="1"/>
    <xf numFmtId="165" fontId="21" fillId="13" borderId="0" xfId="2" applyFont="1" applyFill="1"/>
    <xf numFmtId="176" fontId="18" fillId="13" borderId="0" xfId="0" applyNumberFormat="1" applyFont="1" applyFill="1"/>
    <xf numFmtId="188" fontId="16" fillId="13" borderId="0" xfId="4" applyNumberFormat="1" applyFont="1" applyFill="1" applyBorder="1"/>
    <xf numFmtId="178" fontId="13" fillId="13" borderId="0" xfId="0" applyNumberFormat="1" applyFont="1" applyFill="1"/>
    <xf numFmtId="9" fontId="28" fillId="0" borderId="0" xfId="4" applyFont="1" applyFill="1"/>
    <xf numFmtId="167" fontId="28" fillId="0" borderId="0" xfId="0" applyNumberFormat="1" applyFont="1"/>
    <xf numFmtId="0" fontId="55" fillId="8" borderId="1" xfId="0" applyFont="1" applyFill="1" applyBorder="1" applyAlignment="1">
      <alignment horizontal="center"/>
    </xf>
    <xf numFmtId="176" fontId="26" fillId="2" borderId="0" xfId="0" applyNumberFormat="1" applyFont="1" applyFill="1"/>
    <xf numFmtId="180" fontId="29" fillId="2" borderId="0" xfId="0" applyNumberFormat="1" applyFont="1" applyFill="1"/>
    <xf numFmtId="0" fontId="21" fillId="13" borderId="0" xfId="2" applyNumberFormat="1" applyFont="1" applyFill="1"/>
    <xf numFmtId="0" fontId="11" fillId="13" borderId="0" xfId="4" applyNumberFormat="1" applyFont="1" applyFill="1"/>
    <xf numFmtId="10" fontId="41" fillId="2" borderId="0" xfId="4" applyNumberFormat="1" applyFont="1" applyFill="1" applyBorder="1"/>
    <xf numFmtId="178" fontId="50" fillId="2" borderId="0" xfId="0" applyNumberFormat="1" applyFont="1" applyFill="1"/>
    <xf numFmtId="16" fontId="15" fillId="12" borderId="0" xfId="0" applyNumberFormat="1" applyFont="1" applyFill="1" applyAlignment="1">
      <alignment horizontal="center"/>
    </xf>
    <xf numFmtId="165" fontId="20" fillId="12" borderId="0" xfId="2" applyFont="1" applyFill="1"/>
    <xf numFmtId="0" fontId="13" fillId="12" borderId="0" xfId="0" applyFont="1" applyFill="1" applyAlignment="1">
      <alignment horizontal="center"/>
    </xf>
    <xf numFmtId="165" fontId="15" fillId="12" borderId="0" xfId="2" applyFont="1" applyFill="1" applyBorder="1"/>
    <xf numFmtId="165" fontId="15" fillId="12" borderId="0" xfId="2" applyFont="1" applyFill="1"/>
    <xf numFmtId="176" fontId="50" fillId="12" borderId="0" xfId="0" applyNumberFormat="1" applyFont="1" applyFill="1"/>
    <xf numFmtId="10" fontId="13" fillId="12" borderId="0" xfId="4" applyNumberFormat="1" applyFont="1" applyFill="1"/>
    <xf numFmtId="178" fontId="13" fillId="12" borderId="0" xfId="0" applyNumberFormat="1" applyFont="1" applyFill="1"/>
    <xf numFmtId="170" fontId="31" fillId="12" borderId="0" xfId="2" applyNumberFormat="1" applyFont="1" applyFill="1" applyAlignment="1">
      <alignment horizontal="center"/>
    </xf>
    <xf numFmtId="16" fontId="15" fillId="12" borderId="0" xfId="0" applyNumberFormat="1" applyFont="1" applyFill="1"/>
    <xf numFmtId="191" fontId="54" fillId="0" borderId="0" xfId="0" applyNumberFormat="1" applyFont="1"/>
    <xf numFmtId="16" fontId="19" fillId="5" borderId="19" xfId="0" applyNumberFormat="1" applyFont="1" applyFill="1" applyBorder="1" applyAlignment="1">
      <alignment horizontal="center"/>
    </xf>
    <xf numFmtId="0" fontId="23" fillId="2" borderId="18" xfId="0" applyFont="1" applyFill="1" applyBorder="1"/>
    <xf numFmtId="0" fontId="0" fillId="2" borderId="18" xfId="0" applyFill="1" applyBorder="1"/>
    <xf numFmtId="0" fontId="0" fillId="2" borderId="20" xfId="0" applyFill="1" applyBorder="1"/>
    <xf numFmtId="0" fontId="22" fillId="2" borderId="18" xfId="0" applyFont="1" applyFill="1" applyBorder="1"/>
    <xf numFmtId="178" fontId="18" fillId="2" borderId="0" xfId="2" applyNumberFormat="1" applyFont="1" applyFill="1"/>
    <xf numFmtId="10" fontId="15" fillId="0" borderId="0" xfId="4" applyNumberFormat="1" applyFont="1" applyFill="1" applyBorder="1"/>
    <xf numFmtId="165" fontId="15" fillId="2" borderId="0" xfId="2" applyFont="1" applyFill="1" applyBorder="1"/>
    <xf numFmtId="167" fontId="32" fillId="2" borderId="0" xfId="0" applyNumberFormat="1" applyFont="1" applyFill="1"/>
    <xf numFmtId="0" fontId="49" fillId="11" borderId="21" xfId="0" applyFont="1" applyFill="1" applyBorder="1" applyAlignment="1">
      <alignment horizontal="center" vertical="center"/>
    </xf>
    <xf numFmtId="16" fontId="15" fillId="13" borderId="0" xfId="0" applyNumberFormat="1" applyFont="1" applyFill="1"/>
    <xf numFmtId="165" fontId="21" fillId="12" borderId="0" xfId="2" applyFont="1" applyFill="1"/>
    <xf numFmtId="170" fontId="19" fillId="0" borderId="0" xfId="0" applyNumberFormat="1" applyFont="1"/>
    <xf numFmtId="178" fontId="18" fillId="0" borderId="0" xfId="0" applyNumberFormat="1" applyFont="1"/>
    <xf numFmtId="184" fontId="16" fillId="0" borderId="0" xfId="2" applyNumberFormat="1" applyFont="1" applyFill="1"/>
    <xf numFmtId="165" fontId="18" fillId="0" borderId="0" xfId="0" applyNumberFormat="1" applyFont="1"/>
    <xf numFmtId="184" fontId="0" fillId="0" borderId="0" xfId="2" applyNumberFormat="1" applyFont="1" applyFill="1"/>
    <xf numFmtId="178" fontId="19" fillId="4" borderId="0" xfId="2" applyNumberFormat="1" applyFont="1" applyFill="1"/>
    <xf numFmtId="178" fontId="18" fillId="7" borderId="0" xfId="2" applyNumberFormat="1" applyFont="1" applyFill="1"/>
    <xf numFmtId="178" fontId="18" fillId="7" borderId="0" xfId="0" applyNumberFormat="1" applyFont="1" applyFill="1"/>
    <xf numFmtId="0" fontId="15" fillId="2" borderId="0" xfId="0" applyFont="1" applyFill="1"/>
    <xf numFmtId="165" fontId="21" fillId="0" borderId="0" xfId="2" applyFont="1" applyFill="1"/>
    <xf numFmtId="178" fontId="18" fillId="0" borderId="0" xfId="2" applyNumberFormat="1" applyFont="1" applyFill="1"/>
    <xf numFmtId="176" fontId="54" fillId="0" borderId="0" xfId="0" applyNumberFormat="1" applyFont="1"/>
    <xf numFmtId="10" fontId="27" fillId="2" borderId="0" xfId="4" applyNumberFormat="1" applyFont="1" applyFill="1" applyBorder="1"/>
    <xf numFmtId="178" fontId="55" fillId="2" borderId="0" xfId="0" applyNumberFormat="1" applyFont="1" applyFill="1"/>
    <xf numFmtId="0" fontId="14" fillId="2" borderId="18" xfId="0" applyFont="1" applyFill="1" applyBorder="1"/>
    <xf numFmtId="4" fontId="15" fillId="7" borderId="21" xfId="2" applyNumberFormat="1" applyFont="1" applyFill="1" applyBorder="1"/>
    <xf numFmtId="4" fontId="15" fillId="7" borderId="0" xfId="2" applyNumberFormat="1" applyFont="1" applyFill="1" applyBorder="1"/>
    <xf numFmtId="16" fontId="18" fillId="5" borderId="27" xfId="0" applyNumberFormat="1" applyFont="1" applyFill="1" applyBorder="1" applyAlignment="1">
      <alignment horizontal="center"/>
    </xf>
    <xf numFmtId="4" fontId="15" fillId="7" borderId="7" xfId="2" applyNumberFormat="1" applyFont="1" applyFill="1" applyBorder="1"/>
    <xf numFmtId="178" fontId="18" fillId="2" borderId="0" xfId="4" applyNumberFormat="1" applyFont="1" applyFill="1"/>
    <xf numFmtId="16" fontId="18" fillId="5" borderId="0" xfId="0" applyNumberFormat="1" applyFont="1" applyFill="1" applyAlignment="1">
      <alignment horizontal="center"/>
    </xf>
    <xf numFmtId="178" fontId="0" fillId="14" borderId="0" xfId="2" applyNumberFormat="1" applyFont="1" applyFill="1"/>
    <xf numFmtId="178" fontId="57" fillId="5" borderId="0" xfId="2" applyNumberFormat="1" applyFont="1" applyFill="1"/>
    <xf numFmtId="165" fontId="54" fillId="0" borderId="0" xfId="2" applyFont="1" applyFill="1"/>
    <xf numFmtId="0" fontId="19" fillId="11" borderId="23" xfId="0" applyFont="1" applyFill="1" applyBorder="1" applyAlignment="1">
      <alignment horizontal="center"/>
    </xf>
    <xf numFmtId="0" fontId="19" fillId="11" borderId="11" xfId="0" applyFont="1" applyFill="1" applyBorder="1" applyAlignment="1">
      <alignment horizontal="center"/>
    </xf>
    <xf numFmtId="0" fontId="35" fillId="11" borderId="11" xfId="0" applyFont="1" applyFill="1" applyBorder="1" applyAlignment="1">
      <alignment horizontal="center" vertical="center"/>
    </xf>
    <xf numFmtId="0" fontId="49" fillId="11" borderId="11" xfId="0" applyFont="1" applyFill="1" applyBorder="1" applyAlignment="1">
      <alignment horizontal="center" vertical="center"/>
    </xf>
    <xf numFmtId="38" fontId="25" fillId="11" borderId="28" xfId="0" applyNumberFormat="1" applyFont="1" applyFill="1" applyBorder="1" applyAlignment="1">
      <alignment horizontal="center"/>
    </xf>
    <xf numFmtId="0" fontId="19" fillId="5" borderId="27" xfId="0" applyFont="1" applyFill="1" applyBorder="1" applyAlignment="1">
      <alignment horizontal="center"/>
    </xf>
    <xf numFmtId="178" fontId="15" fillId="7" borderId="21" xfId="2" applyNumberFormat="1" applyFont="1" applyFill="1" applyBorder="1"/>
    <xf numFmtId="176" fontId="18" fillId="2" borderId="21" xfId="0" applyNumberFormat="1" applyFont="1" applyFill="1" applyBorder="1"/>
    <xf numFmtId="10" fontId="16" fillId="2" borderId="21" xfId="4" applyNumberFormat="1" applyFont="1" applyFill="1" applyBorder="1"/>
    <xf numFmtId="178" fontId="18" fillId="2" borderId="21" xfId="0" applyNumberFormat="1" applyFont="1" applyFill="1" applyBorder="1"/>
    <xf numFmtId="185" fontId="18" fillId="2" borderId="21" xfId="0" applyNumberFormat="1" applyFont="1" applyFill="1" applyBorder="1"/>
    <xf numFmtId="0" fontId="22" fillId="2" borderId="26" xfId="0" applyFont="1" applyFill="1" applyBorder="1"/>
    <xf numFmtId="38" fontId="22" fillId="2" borderId="20" xfId="0" applyNumberFormat="1" applyFont="1" applyFill="1" applyBorder="1"/>
    <xf numFmtId="185" fontId="19" fillId="2" borderId="0" xfId="0" applyNumberFormat="1" applyFont="1" applyFill="1"/>
    <xf numFmtId="187" fontId="0" fillId="0" borderId="0" xfId="0" applyNumberFormat="1"/>
    <xf numFmtId="165" fontId="19" fillId="4" borderId="1" xfId="2" applyFont="1" applyFill="1" applyBorder="1" applyAlignment="1">
      <alignment horizontal="center"/>
    </xf>
    <xf numFmtId="184" fontId="19" fillId="4" borderId="1" xfId="2" applyNumberFormat="1" applyFont="1" applyFill="1" applyBorder="1" applyAlignment="1">
      <alignment horizontal="center"/>
    </xf>
    <xf numFmtId="0" fontId="19" fillId="11" borderId="29" xfId="0" applyFont="1" applyFill="1" applyBorder="1" applyAlignment="1">
      <alignment horizontal="center"/>
    </xf>
    <xf numFmtId="0" fontId="19" fillId="11" borderId="30" xfId="0" applyFont="1" applyFill="1" applyBorder="1" applyAlignment="1">
      <alignment horizontal="center"/>
    </xf>
    <xf numFmtId="0" fontId="35" fillId="11" borderId="30" xfId="0" applyFont="1" applyFill="1" applyBorder="1" applyAlignment="1">
      <alignment horizontal="center" vertical="center"/>
    </xf>
    <xf numFmtId="0" fontId="49" fillId="11" borderId="30" xfId="0" applyFont="1" applyFill="1" applyBorder="1" applyAlignment="1">
      <alignment horizontal="center" vertical="center"/>
    </xf>
    <xf numFmtId="38" fontId="25" fillId="11" borderId="31" xfId="0" applyNumberFormat="1" applyFont="1" applyFill="1" applyBorder="1" applyAlignment="1">
      <alignment horizontal="center"/>
    </xf>
    <xf numFmtId="178" fontId="19" fillId="2" borderId="0" xfId="0" applyNumberFormat="1" applyFont="1" applyFill="1"/>
    <xf numFmtId="0" fontId="19" fillId="7" borderId="0" xfId="0" applyFont="1" applyFill="1" applyAlignment="1">
      <alignment horizontal="center"/>
    </xf>
    <xf numFmtId="16" fontId="19" fillId="7" borderId="0" xfId="0" applyNumberFormat="1" applyFont="1" applyFill="1" applyAlignment="1">
      <alignment horizontal="center"/>
    </xf>
    <xf numFmtId="10" fontId="18" fillId="2" borderId="0" xfId="2" applyNumberFormat="1" applyFont="1" applyFill="1"/>
    <xf numFmtId="13" fontId="18" fillId="2" borderId="0" xfId="2" applyNumberFormat="1" applyFont="1" applyFill="1"/>
    <xf numFmtId="13" fontId="18" fillId="0" borderId="0" xfId="2" applyNumberFormat="1" applyFont="1" applyFill="1"/>
    <xf numFmtId="176" fontId="0" fillId="6" borderId="0" xfId="0" applyNumberFormat="1" applyFill="1"/>
    <xf numFmtId="179" fontId="18" fillId="2" borderId="0" xfId="0" applyNumberFormat="1" applyFont="1" applyFill="1"/>
    <xf numFmtId="0" fontId="19" fillId="3" borderId="0" xfId="0" applyFont="1" applyFill="1"/>
    <xf numFmtId="170" fontId="19" fillId="3" borderId="0" xfId="0" applyNumberFormat="1" applyFont="1" applyFill="1"/>
    <xf numFmtId="3" fontId="18" fillId="2" borderId="0" xfId="2" applyNumberFormat="1" applyFont="1" applyFill="1" applyAlignment="1">
      <alignment horizontal="center"/>
    </xf>
    <xf numFmtId="2" fontId="18" fillId="2" borderId="0" xfId="4" applyNumberFormat="1" applyFont="1" applyFill="1"/>
    <xf numFmtId="0" fontId="14" fillId="2" borderId="0" xfId="0" applyFont="1" applyFill="1"/>
    <xf numFmtId="165" fontId="20" fillId="2" borderId="0" xfId="2" applyFont="1" applyFill="1" applyBorder="1" applyAlignment="1">
      <alignment wrapText="1"/>
    </xf>
    <xf numFmtId="0" fontId="15" fillId="2" borderId="0" xfId="2" applyNumberFormat="1" applyFont="1" applyFill="1" applyBorder="1"/>
    <xf numFmtId="0" fontId="32" fillId="2" borderId="0" xfId="0" applyFont="1" applyFill="1"/>
    <xf numFmtId="169" fontId="39" fillId="2" borderId="0" xfId="4" applyNumberFormat="1" applyFont="1" applyFill="1"/>
    <xf numFmtId="184" fontId="15" fillId="2" borderId="0" xfId="2" applyNumberFormat="1" applyFont="1" applyFill="1"/>
    <xf numFmtId="165" fontId="15" fillId="2" borderId="0" xfId="2" applyFont="1" applyFill="1"/>
    <xf numFmtId="165" fontId="19" fillId="2" borderId="0" xfId="2" applyFont="1" applyFill="1"/>
    <xf numFmtId="184" fontId="19" fillId="2" borderId="0" xfId="2" applyNumberFormat="1" applyFont="1" applyFill="1"/>
    <xf numFmtId="0" fontId="39" fillId="2" borderId="0" xfId="0" applyFont="1" applyFill="1" applyAlignment="1">
      <alignment horizontal="center"/>
    </xf>
    <xf numFmtId="0" fontId="17" fillId="2" borderId="0" xfId="0" applyFont="1" applyFill="1"/>
    <xf numFmtId="170" fontId="16" fillId="2" borderId="0" xfId="0" applyNumberFormat="1" applyFont="1" applyFill="1"/>
    <xf numFmtId="170" fontId="18" fillId="2" borderId="0" xfId="0" applyNumberFormat="1" applyFont="1" applyFill="1"/>
    <xf numFmtId="0" fontId="34" fillId="2" borderId="0" xfId="0" applyFont="1" applyFill="1"/>
    <xf numFmtId="0" fontId="17" fillId="15" borderId="0" xfId="0" applyFont="1" applyFill="1"/>
    <xf numFmtId="170" fontId="18" fillId="15" borderId="0" xfId="0" applyNumberFormat="1" applyFont="1" applyFill="1"/>
    <xf numFmtId="0" fontId="18" fillId="15" borderId="0" xfId="0" applyFont="1" applyFill="1"/>
    <xf numFmtId="165" fontId="18" fillId="15" borderId="0" xfId="0" applyNumberFormat="1" applyFont="1" applyFill="1"/>
    <xf numFmtId="0" fontId="0" fillId="15" borderId="0" xfId="0" applyFill="1"/>
    <xf numFmtId="167" fontId="27" fillId="15" borderId="0" xfId="0" applyNumberFormat="1" applyFont="1" applyFill="1"/>
    <xf numFmtId="13" fontId="27" fillId="15" borderId="0" xfId="0" applyNumberFormat="1" applyFont="1" applyFill="1"/>
    <xf numFmtId="165" fontId="14" fillId="12" borderId="0" xfId="2" applyFont="1" applyFill="1" applyAlignment="1">
      <alignment horizontal="center"/>
    </xf>
    <xf numFmtId="0" fontId="0" fillId="10" borderId="0" xfId="0" applyFill="1"/>
    <xf numFmtId="165" fontId="46" fillId="2" borderId="0" xfId="2" applyFont="1" applyFill="1"/>
    <xf numFmtId="0" fontId="14" fillId="0" borderId="0" xfId="0" applyFont="1"/>
    <xf numFmtId="0" fontId="12" fillId="2" borderId="0" xfId="0" applyFont="1" applyFill="1"/>
    <xf numFmtId="173" fontId="12" fillId="2" borderId="0" xfId="4" applyNumberFormat="1" applyFont="1" applyFill="1"/>
    <xf numFmtId="177" fontId="54" fillId="0" borderId="0" xfId="2" applyNumberFormat="1" applyFont="1"/>
    <xf numFmtId="183" fontId="0" fillId="0" borderId="0" xfId="0" applyNumberFormat="1"/>
    <xf numFmtId="175" fontId="54" fillId="0" borderId="0" xfId="0" applyNumberFormat="1" applyFont="1"/>
    <xf numFmtId="0" fontId="17" fillId="18" borderId="0" xfId="0" applyFont="1" applyFill="1"/>
    <xf numFmtId="170" fontId="18" fillId="18" borderId="0" xfId="0" applyNumberFormat="1" applyFont="1" applyFill="1"/>
    <xf numFmtId="170" fontId="56" fillId="18" borderId="0" xfId="0" applyNumberFormat="1" applyFont="1" applyFill="1"/>
    <xf numFmtId="0" fontId="18" fillId="18" borderId="0" xfId="0" applyFont="1" applyFill="1"/>
    <xf numFmtId="0" fontId="0" fillId="18" borderId="0" xfId="0" applyFill="1"/>
    <xf numFmtId="184" fontId="58" fillId="18" borderId="0" xfId="2" applyNumberFormat="1" applyFont="1" applyFill="1"/>
    <xf numFmtId="0" fontId="22" fillId="18" borderId="0" xfId="0" applyFont="1" applyFill="1"/>
    <xf numFmtId="182" fontId="18" fillId="18" borderId="0" xfId="2" applyNumberFormat="1" applyFont="1" applyFill="1"/>
    <xf numFmtId="165" fontId="54" fillId="18" borderId="0" xfId="2" applyFont="1" applyFill="1"/>
    <xf numFmtId="0" fontId="15" fillId="18" borderId="0" xfId="0" applyFont="1" applyFill="1"/>
    <xf numFmtId="193" fontId="0" fillId="0" borderId="0" xfId="0" applyNumberFormat="1"/>
    <xf numFmtId="3" fontId="0" fillId="0" borderId="0" xfId="2" applyNumberFormat="1" applyFont="1"/>
    <xf numFmtId="0" fontId="11" fillId="0" borderId="0" xfId="5"/>
    <xf numFmtId="0" fontId="11" fillId="2" borderId="0" xfId="5" applyFill="1"/>
    <xf numFmtId="176" fontId="18" fillId="2" borderId="0" xfId="5" applyNumberFormat="1" applyFont="1" applyFill="1"/>
    <xf numFmtId="43" fontId="21" fillId="5" borderId="0" xfId="2" applyNumberFormat="1" applyFont="1" applyFill="1"/>
    <xf numFmtId="0" fontId="11" fillId="2" borderId="0" xfId="0" applyFont="1" applyFill="1"/>
    <xf numFmtId="0" fontId="13" fillId="9" borderId="0" xfId="5" applyFont="1" applyFill="1" applyAlignment="1">
      <alignment horizontal="center"/>
    </xf>
    <xf numFmtId="16" fontId="61" fillId="2" borderId="0" xfId="0" applyNumberFormat="1" applyFont="1" applyFill="1"/>
    <xf numFmtId="165" fontId="62" fillId="19" borderId="0" xfId="2" applyFont="1" applyFill="1"/>
    <xf numFmtId="176" fontId="18" fillId="16" borderId="0" xfId="0" applyNumberFormat="1" applyFont="1" applyFill="1"/>
    <xf numFmtId="164" fontId="0" fillId="2" borderId="0" xfId="3" applyFont="1" applyFill="1"/>
    <xf numFmtId="10" fontId="0" fillId="0" borderId="0" xfId="4" applyNumberFormat="1" applyFont="1"/>
    <xf numFmtId="0" fontId="11" fillId="0" borderId="0" xfId="2" quotePrefix="1" applyNumberFormat="1" applyFont="1" applyFill="1" applyBorder="1"/>
    <xf numFmtId="16" fontId="64" fillId="5" borderId="19" xfId="0" applyNumberFormat="1" applyFont="1" applyFill="1" applyBorder="1" applyAlignment="1">
      <alignment horizontal="center"/>
    </xf>
    <xf numFmtId="170" fontId="18" fillId="3" borderId="0" xfId="0" applyNumberFormat="1" applyFont="1" applyFill="1"/>
    <xf numFmtId="0" fontId="18" fillId="3" borderId="0" xfId="0" applyFont="1" applyFill="1"/>
    <xf numFmtId="10" fontId="18" fillId="2" borderId="0" xfId="4" applyNumberFormat="1" applyFont="1" applyFill="1"/>
    <xf numFmtId="14" fontId="18" fillId="2" borderId="0" xfId="0" applyNumberFormat="1" applyFont="1" applyFill="1" applyAlignment="1">
      <alignment horizontal="center"/>
    </xf>
    <xf numFmtId="0" fontId="13" fillId="51" borderId="0" xfId="0" applyFont="1" applyFill="1" applyAlignment="1">
      <alignment horizontal="center"/>
    </xf>
    <xf numFmtId="165" fontId="20" fillId="0" borderId="0" xfId="2" applyFont="1" applyFill="1" applyBorder="1"/>
    <xf numFmtId="164" fontId="14" fillId="0" borderId="0" xfId="3" applyFont="1"/>
    <xf numFmtId="192" fontId="18" fillId="2" borderId="0" xfId="3" applyNumberFormat="1" applyFont="1" applyFill="1"/>
    <xf numFmtId="164" fontId="18" fillId="2" borderId="0" xfId="3" applyFont="1" applyFill="1" applyAlignment="1">
      <alignment horizontal="center"/>
    </xf>
    <xf numFmtId="165" fontId="45" fillId="2" borderId="23" xfId="2" applyFont="1" applyFill="1" applyBorder="1"/>
    <xf numFmtId="0" fontId="38" fillId="2" borderId="11" xfId="0" applyFont="1" applyFill="1" applyBorder="1"/>
    <xf numFmtId="165" fontId="38" fillId="2" borderId="11" xfId="2" applyFont="1" applyFill="1" applyBorder="1"/>
    <xf numFmtId="14" fontId="32" fillId="2" borderId="12" xfId="0" applyNumberFormat="1" applyFont="1" applyFill="1" applyBorder="1" applyAlignment="1">
      <alignment horizontal="center"/>
    </xf>
    <xf numFmtId="184" fontId="32" fillId="2" borderId="22" xfId="2" applyNumberFormat="1" applyFont="1" applyFill="1" applyBorder="1"/>
    <xf numFmtId="184" fontId="32" fillId="0" borderId="22" xfId="2" applyNumberFormat="1" applyFont="1" applyBorder="1"/>
    <xf numFmtId="0" fontId="32" fillId="2" borderId="12" xfId="0" applyFont="1" applyFill="1" applyBorder="1" applyAlignment="1">
      <alignment horizontal="center"/>
    </xf>
    <xf numFmtId="167" fontId="32" fillId="2" borderId="22" xfId="0" applyNumberFormat="1" applyFont="1" applyFill="1" applyBorder="1"/>
    <xf numFmtId="0" fontId="38" fillId="2" borderId="0" xfId="0" applyFont="1" applyFill="1"/>
    <xf numFmtId="10" fontId="38" fillId="6" borderId="0" xfId="0" applyNumberFormat="1" applyFont="1" applyFill="1"/>
    <xf numFmtId="184" fontId="38" fillId="2" borderId="0" xfId="2" applyNumberFormat="1" applyFont="1" applyFill="1"/>
    <xf numFmtId="0" fontId="38" fillId="0" borderId="0" xfId="0" applyFont="1"/>
    <xf numFmtId="0" fontId="38" fillId="2" borderId="2" xfId="0" applyFont="1" applyFill="1" applyBorder="1"/>
    <xf numFmtId="165" fontId="32" fillId="2" borderId="22" xfId="2" applyFont="1" applyFill="1" applyBorder="1"/>
    <xf numFmtId="165" fontId="32" fillId="2" borderId="12" xfId="0" applyNumberFormat="1" applyFont="1" applyFill="1" applyBorder="1" applyAlignment="1">
      <alignment horizontal="center"/>
    </xf>
    <xf numFmtId="0" fontId="32" fillId="2" borderId="2" xfId="0" applyFont="1" applyFill="1" applyBorder="1"/>
    <xf numFmtId="169" fontId="38" fillId="2" borderId="0" xfId="0" applyNumberFormat="1" applyFont="1" applyFill="1"/>
    <xf numFmtId="189" fontId="45" fillId="2" borderId="22" xfId="0" applyNumberFormat="1" applyFont="1" applyFill="1" applyBorder="1"/>
    <xf numFmtId="172" fontId="38" fillId="2" borderId="0" xfId="0" applyNumberFormat="1" applyFont="1" applyFill="1"/>
    <xf numFmtId="165" fontId="38" fillId="2" borderId="0" xfId="2" applyFont="1" applyFill="1"/>
    <xf numFmtId="14" fontId="32" fillId="2" borderId="0" xfId="2" applyNumberFormat="1" applyFont="1" applyFill="1" applyBorder="1"/>
    <xf numFmtId="169" fontId="39" fillId="2" borderId="0" xfId="2" applyNumberFormat="1" applyFont="1" applyFill="1" applyBorder="1"/>
    <xf numFmtId="177" fontId="32" fillId="2" borderId="5" xfId="2" applyNumberFormat="1" applyFont="1" applyFill="1" applyBorder="1"/>
    <xf numFmtId="0" fontId="38" fillId="2" borderId="3" xfId="0" applyFont="1" applyFill="1" applyBorder="1"/>
    <xf numFmtId="169" fontId="32" fillId="2" borderId="0" xfId="2" applyNumberFormat="1" applyFont="1" applyFill="1" applyBorder="1"/>
    <xf numFmtId="0" fontId="38" fillId="2" borderId="5" xfId="0" applyFont="1" applyFill="1" applyBorder="1"/>
    <xf numFmtId="177" fontId="32" fillId="2" borderId="5" xfId="2" applyNumberFormat="1" applyFont="1" applyFill="1" applyBorder="1" applyAlignment="1">
      <alignment horizontal="right"/>
    </xf>
    <xf numFmtId="169" fontId="38" fillId="2" borderId="3" xfId="0" applyNumberFormat="1" applyFont="1" applyFill="1" applyBorder="1"/>
    <xf numFmtId="9" fontId="38" fillId="2" borderId="0" xfId="4" applyFont="1" applyFill="1"/>
    <xf numFmtId="165" fontId="38" fillId="2" borderId="0" xfId="0" applyNumberFormat="1" applyFont="1" applyFill="1"/>
    <xf numFmtId="165" fontId="38" fillId="0" borderId="0" xfId="2" applyFont="1"/>
    <xf numFmtId="177" fontId="39" fillId="2" borderId="5" xfId="2" applyNumberFormat="1" applyFont="1" applyFill="1" applyBorder="1" applyAlignment="1">
      <alignment horizontal="right"/>
    </xf>
    <xf numFmtId="183" fontId="38" fillId="2" borderId="3" xfId="0" applyNumberFormat="1" applyFont="1" applyFill="1" applyBorder="1"/>
    <xf numFmtId="0" fontId="19" fillId="2" borderId="0" xfId="0" applyFont="1" applyFill="1"/>
    <xf numFmtId="177" fontId="39" fillId="2" borderId="5" xfId="2" applyNumberFormat="1" applyFont="1" applyFill="1" applyBorder="1"/>
    <xf numFmtId="183" fontId="38" fillId="2" borderId="0" xfId="0" applyNumberFormat="1" applyFont="1" applyFill="1"/>
    <xf numFmtId="167" fontId="38" fillId="2" borderId="5" xfId="0" applyNumberFormat="1" applyFont="1" applyFill="1" applyBorder="1"/>
    <xf numFmtId="10" fontId="38" fillId="0" borderId="0" xfId="4" applyNumberFormat="1" applyFont="1"/>
    <xf numFmtId="165" fontId="38" fillId="2" borderId="5" xfId="2" applyFont="1" applyFill="1" applyBorder="1"/>
    <xf numFmtId="170" fontId="38" fillId="2" borderId="0" xfId="0" applyNumberFormat="1" applyFont="1" applyFill="1"/>
    <xf numFmtId="167" fontId="38" fillId="2" borderId="3" xfId="0" applyNumberFormat="1" applyFont="1" applyFill="1" applyBorder="1"/>
    <xf numFmtId="165" fontId="38" fillId="0" borderId="0" xfId="0" applyNumberFormat="1" applyFont="1"/>
    <xf numFmtId="0" fontId="39" fillId="2" borderId="5" xfId="0" applyFont="1" applyFill="1" applyBorder="1"/>
    <xf numFmtId="170" fontId="32" fillId="2" borderId="5" xfId="2" applyNumberFormat="1" applyFont="1" applyFill="1" applyBorder="1"/>
    <xf numFmtId="178" fontId="38" fillId="2" borderId="0" xfId="2" applyNumberFormat="1" applyFont="1" applyFill="1"/>
    <xf numFmtId="178" fontId="32" fillId="2" borderId="0" xfId="2" applyNumberFormat="1" applyFont="1" applyFill="1"/>
    <xf numFmtId="184" fontId="37" fillId="2" borderId="0" xfId="2" applyNumberFormat="1" applyFont="1" applyFill="1"/>
    <xf numFmtId="165" fontId="39" fillId="2" borderId="5" xfId="0" applyNumberFormat="1" applyFont="1" applyFill="1" applyBorder="1"/>
    <xf numFmtId="169" fontId="84" fillId="2" borderId="0" xfId="2" applyNumberFormat="1" applyFont="1" applyFill="1" applyBorder="1"/>
    <xf numFmtId="9" fontId="38" fillId="2" borderId="0" xfId="0" applyNumberFormat="1" applyFont="1" applyFill="1"/>
    <xf numFmtId="10" fontId="32" fillId="2" borderId="5" xfId="4" applyNumberFormat="1" applyFont="1" applyFill="1" applyBorder="1"/>
    <xf numFmtId="165" fontId="24" fillId="2" borderId="0" xfId="2" applyFont="1" applyFill="1"/>
    <xf numFmtId="167" fontId="32" fillId="2" borderId="5" xfId="0" applyNumberFormat="1" applyFont="1" applyFill="1" applyBorder="1"/>
    <xf numFmtId="178" fontId="24" fillId="2" borderId="0" xfId="2" applyNumberFormat="1" applyFont="1" applyFill="1"/>
    <xf numFmtId="170" fontId="32" fillId="2" borderId="4" xfId="2" applyNumberFormat="1" applyFont="1" applyFill="1" applyBorder="1"/>
    <xf numFmtId="10" fontId="38" fillId="2" borderId="3" xfId="4" applyNumberFormat="1" applyFont="1" applyFill="1" applyBorder="1"/>
    <xf numFmtId="170" fontId="38" fillId="2" borderId="5" xfId="0" applyNumberFormat="1" applyFont="1" applyFill="1" applyBorder="1"/>
    <xf numFmtId="169" fontId="38" fillId="2" borderId="3" xfId="4" applyNumberFormat="1" applyFont="1" applyFill="1" applyBorder="1"/>
    <xf numFmtId="14" fontId="38" fillId="2" borderId="0" xfId="2" applyNumberFormat="1" applyFont="1" applyFill="1" applyBorder="1"/>
    <xf numFmtId="165" fontId="38" fillId="2" borderId="3" xfId="2" applyFont="1" applyFill="1" applyBorder="1"/>
    <xf numFmtId="170" fontId="38" fillId="2" borderId="5" xfId="2" applyNumberFormat="1" applyFont="1" applyFill="1" applyBorder="1"/>
    <xf numFmtId="165" fontId="38" fillId="2" borderId="0" xfId="2" applyFont="1" applyFill="1" applyBorder="1"/>
    <xf numFmtId="10" fontId="38" fillId="0" borderId="0" xfId="0" applyNumberFormat="1" applyFont="1"/>
    <xf numFmtId="167" fontId="38" fillId="2" borderId="0" xfId="0" applyNumberFormat="1" applyFont="1" applyFill="1"/>
    <xf numFmtId="173" fontId="38" fillId="2" borderId="5" xfId="4" applyNumberFormat="1" applyFont="1" applyFill="1" applyBorder="1"/>
    <xf numFmtId="177" fontId="45" fillId="2" borderId="5" xfId="0" applyNumberFormat="1" applyFont="1" applyFill="1" applyBorder="1"/>
    <xf numFmtId="0" fontId="38" fillId="2" borderId="13" xfId="0" applyFont="1" applyFill="1" applyBorder="1"/>
    <xf numFmtId="0" fontId="38" fillId="2" borderId="15" xfId="0" applyFont="1" applyFill="1" applyBorder="1"/>
    <xf numFmtId="167" fontId="38" fillId="2" borderId="4" xfId="0" applyNumberFormat="1" applyFont="1" applyFill="1" applyBorder="1"/>
    <xf numFmtId="0" fontId="86" fillId="2" borderId="0" xfId="0" applyFont="1" applyFill="1"/>
    <xf numFmtId="170" fontId="86" fillId="2" borderId="0" xfId="0" applyNumberFormat="1" applyFont="1" applyFill="1"/>
    <xf numFmtId="177" fontId="38" fillId="2" borderId="0" xfId="0" applyNumberFormat="1" applyFont="1" applyFill="1"/>
    <xf numFmtId="167" fontId="87" fillId="2" borderId="0" xfId="0" applyNumberFormat="1" applyFont="1" applyFill="1"/>
    <xf numFmtId="10" fontId="38" fillId="2" borderId="0" xfId="0" applyNumberFormat="1" applyFont="1" applyFill="1"/>
    <xf numFmtId="173" fontId="38" fillId="2" borderId="0" xfId="4" applyNumberFormat="1" applyFont="1" applyFill="1"/>
    <xf numFmtId="184" fontId="32" fillId="2" borderId="0" xfId="2" applyNumberFormat="1" applyFont="1" applyFill="1"/>
    <xf numFmtId="184" fontId="45" fillId="2" borderId="0" xfId="2" applyNumberFormat="1" applyFont="1" applyFill="1"/>
    <xf numFmtId="165" fontId="32" fillId="2" borderId="0" xfId="2" applyFont="1" applyFill="1"/>
    <xf numFmtId="172" fontId="88" fillId="2" borderId="0" xfId="0" applyNumberFormat="1" applyFont="1" applyFill="1"/>
    <xf numFmtId="165" fontId="45" fillId="2" borderId="0" xfId="2" applyFont="1" applyFill="1"/>
    <xf numFmtId="184" fontId="38" fillId="0" borderId="0" xfId="2" applyNumberFormat="1" applyFont="1"/>
    <xf numFmtId="165" fontId="24" fillId="52" borderId="0" xfId="2" applyFont="1" applyFill="1"/>
    <xf numFmtId="165" fontId="52" fillId="52" borderId="0" xfId="2" applyFont="1" applyFill="1"/>
    <xf numFmtId="170" fontId="89" fillId="52" borderId="1" xfId="2" applyNumberFormat="1" applyFont="1" applyFill="1" applyBorder="1" applyAlignment="1">
      <alignment horizontal="center"/>
    </xf>
    <xf numFmtId="14" fontId="89" fillId="2" borderId="0" xfId="2" applyNumberFormat="1" applyFont="1" applyFill="1" applyBorder="1"/>
    <xf numFmtId="169" fontId="91" fillId="2" borderId="0" xfId="2" applyNumberFormat="1" applyFont="1" applyFill="1" applyBorder="1"/>
    <xf numFmtId="177" fontId="89" fillId="2" borderId="5" xfId="2" applyNumberFormat="1" applyFont="1" applyFill="1" applyBorder="1"/>
    <xf numFmtId="0" fontId="89" fillId="2" borderId="0" xfId="0" applyFont="1" applyFill="1"/>
    <xf numFmtId="0" fontId="89" fillId="2" borderId="3" xfId="0" applyFont="1" applyFill="1" applyBorder="1"/>
    <xf numFmtId="0" fontId="89" fillId="2" borderId="6" xfId="0" applyFont="1" applyFill="1" applyBorder="1"/>
    <xf numFmtId="169" fontId="91" fillId="2" borderId="5" xfId="0" applyNumberFormat="1" applyFont="1" applyFill="1" applyBorder="1"/>
    <xf numFmtId="0" fontId="91" fillId="2" borderId="5" xfId="0" applyFont="1" applyFill="1" applyBorder="1"/>
    <xf numFmtId="169" fontId="89" fillId="52" borderId="0" xfId="2" applyNumberFormat="1" applyFont="1" applyFill="1" applyBorder="1"/>
    <xf numFmtId="183" fontId="89" fillId="2" borderId="0" xfId="0" applyNumberFormat="1" applyFont="1" applyFill="1"/>
    <xf numFmtId="10" fontId="89" fillId="2" borderId="3" xfId="4" applyNumberFormat="1" applyFont="1" applyFill="1" applyBorder="1"/>
    <xf numFmtId="178" fontId="18" fillId="16" borderId="0" xfId="0" applyNumberFormat="1" applyFont="1" applyFill="1"/>
    <xf numFmtId="185" fontId="19" fillId="16" borderId="0" xfId="0" applyNumberFormat="1" applyFont="1" applyFill="1"/>
    <xf numFmtId="0" fontId="14" fillId="16" borderId="18" xfId="0" applyFont="1" applyFill="1" applyBorder="1"/>
    <xf numFmtId="164" fontId="18" fillId="16" borderId="0" xfId="3" applyFont="1" applyFill="1" applyAlignment="1">
      <alignment horizontal="center"/>
    </xf>
    <xf numFmtId="164" fontId="11" fillId="0" borderId="0" xfId="3" applyFill="1"/>
    <xf numFmtId="0" fontId="93" fillId="0" borderId="0" xfId="5" applyFont="1"/>
    <xf numFmtId="194" fontId="11" fillId="0" borderId="0" xfId="5" applyNumberFormat="1"/>
    <xf numFmtId="194" fontId="0" fillId="0" borderId="0" xfId="3" applyNumberFormat="1" applyFont="1" applyFill="1"/>
    <xf numFmtId="16" fontId="11" fillId="0" borderId="0" xfId="5" applyNumberFormat="1"/>
    <xf numFmtId="0" fontId="14" fillId="0" borderId="0" xfId="5" applyFont="1"/>
    <xf numFmtId="40" fontId="14" fillId="0" borderId="0" xfId="5" applyNumberFormat="1" applyFont="1"/>
    <xf numFmtId="165" fontId="93" fillId="0" borderId="0" xfId="2" applyFont="1" applyFill="1"/>
    <xf numFmtId="40" fontId="93" fillId="0" borderId="0" xfId="2" applyNumberFormat="1" applyFont="1" applyFill="1"/>
    <xf numFmtId="170" fontId="94" fillId="0" borderId="0" xfId="2" applyNumberFormat="1" applyFont="1" applyFill="1" applyBorder="1" applyAlignment="1">
      <alignment horizontal="right"/>
    </xf>
    <xf numFmtId="195" fontId="94" fillId="0" borderId="0" xfId="4" applyNumberFormat="1" applyFont="1" applyFill="1" applyBorder="1" applyAlignment="1">
      <alignment horizontal="right"/>
    </xf>
    <xf numFmtId="195" fontId="11" fillId="0" borderId="0" xfId="4" applyNumberFormat="1" applyFont="1" applyFill="1" applyBorder="1" applyAlignment="1">
      <alignment horizontal="right"/>
    </xf>
    <xf numFmtId="195" fontId="94" fillId="0" borderId="0" xfId="4" applyNumberFormat="1" applyFont="1" applyFill="1" applyBorder="1" applyAlignment="1">
      <alignment horizontal="left"/>
    </xf>
    <xf numFmtId="14" fontId="11" fillId="0" borderId="0" xfId="5" applyNumberFormat="1"/>
    <xf numFmtId="14" fontId="11" fillId="0" borderId="0" xfId="4" applyNumberFormat="1" applyFont="1" applyFill="1" applyBorder="1" applyAlignment="1">
      <alignment horizontal="right"/>
    </xf>
    <xf numFmtId="0" fontId="96" fillId="0" borderId="0" xfId="5" applyFont="1"/>
    <xf numFmtId="0" fontId="97" fillId="0" borderId="0" xfId="5" applyFont="1" applyAlignment="1">
      <alignment horizontal="center"/>
    </xf>
    <xf numFmtId="164" fontId="11" fillId="0" borderId="0" xfId="3"/>
    <xf numFmtId="164" fontId="0" fillId="2" borderId="0" xfId="0" applyNumberFormat="1" applyFill="1"/>
    <xf numFmtId="0" fontId="17" fillId="15" borderId="0" xfId="5" applyFont="1" applyFill="1"/>
    <xf numFmtId="170" fontId="18" fillId="15" borderId="0" xfId="5" applyNumberFormat="1" applyFont="1" applyFill="1"/>
    <xf numFmtId="182" fontId="18" fillId="15" borderId="0" xfId="2" applyNumberFormat="1" applyFont="1" applyFill="1"/>
    <xf numFmtId="165" fontId="54" fillId="15" borderId="0" xfId="2" applyFont="1" applyFill="1"/>
    <xf numFmtId="0" fontId="11" fillId="15" borderId="0" xfId="5" applyFill="1"/>
    <xf numFmtId="0" fontId="15" fillId="15" borderId="0" xfId="5" applyFont="1" applyFill="1"/>
    <xf numFmtId="165" fontId="11" fillId="15" borderId="0" xfId="2" applyFont="1" applyFill="1"/>
    <xf numFmtId="0" fontId="15" fillId="0" borderId="0" xfId="5" applyFont="1"/>
    <xf numFmtId="176" fontId="11" fillId="0" borderId="0" xfId="5" applyNumberFormat="1"/>
    <xf numFmtId="16" fontId="26" fillId="0" borderId="0" xfId="5" applyNumberFormat="1" applyFont="1"/>
    <xf numFmtId="0" fontId="54" fillId="0" borderId="0" xfId="5" applyFont="1"/>
    <xf numFmtId="0" fontId="19" fillId="8" borderId="1" xfId="5" applyFont="1" applyFill="1" applyBorder="1" applyAlignment="1">
      <alignment horizontal="center"/>
    </xf>
    <xf numFmtId="0" fontId="15" fillId="8" borderId="1" xfId="5" applyFont="1" applyFill="1" applyBorder="1" applyAlignment="1">
      <alignment horizontal="center"/>
    </xf>
    <xf numFmtId="16" fontId="15" fillId="13" borderId="0" xfId="5" applyNumberFormat="1" applyFont="1" applyFill="1" applyAlignment="1">
      <alignment horizontal="center"/>
    </xf>
    <xf numFmtId="176" fontId="18" fillId="13" borderId="0" xfId="5" applyNumberFormat="1" applyFont="1" applyFill="1"/>
    <xf numFmtId="178" fontId="13" fillId="13" borderId="0" xfId="5" applyNumberFormat="1" applyFont="1" applyFill="1"/>
    <xf numFmtId="16" fontId="15" fillId="13" borderId="0" xfId="5" applyNumberFormat="1" applyFont="1" applyFill="1"/>
    <xf numFmtId="16" fontId="15" fillId="2" borderId="0" xfId="5" applyNumberFormat="1" applyFont="1" applyFill="1"/>
    <xf numFmtId="176" fontId="18" fillId="18" borderId="0" xfId="5" applyNumberFormat="1" applyFont="1" applyFill="1"/>
    <xf numFmtId="16" fontId="15" fillId="0" borderId="0" xfId="5" applyNumberFormat="1" applyFont="1" applyAlignment="1">
      <alignment horizontal="center"/>
    </xf>
    <xf numFmtId="0" fontId="13" fillId="0" borderId="0" xfId="5" applyFont="1" applyAlignment="1">
      <alignment horizontal="center"/>
    </xf>
    <xf numFmtId="176" fontId="18" fillId="0" borderId="0" xfId="5" applyNumberFormat="1" applyFont="1"/>
    <xf numFmtId="178" fontId="13" fillId="0" borderId="0" xfId="5" applyNumberFormat="1" applyFont="1"/>
    <xf numFmtId="165" fontId="11" fillId="0" borderId="0" xfId="2" applyFont="1" applyFill="1"/>
    <xf numFmtId="10" fontId="11" fillId="0" borderId="0" xfId="4" applyNumberFormat="1" applyFont="1" applyFill="1"/>
    <xf numFmtId="177" fontId="11" fillId="0" borderId="0" xfId="5" applyNumberFormat="1"/>
    <xf numFmtId="178" fontId="18" fillId="7" borderId="0" xfId="5" applyNumberFormat="1" applyFont="1" applyFill="1"/>
    <xf numFmtId="164" fontId="11" fillId="0" borderId="0" xfId="3" applyFont="1" applyFill="1"/>
    <xf numFmtId="164" fontId="15" fillId="0" borderId="0" xfId="5" applyNumberFormat="1" applyFont="1"/>
    <xf numFmtId="164" fontId="11" fillId="0" borderId="0" xfId="4" applyNumberFormat="1" applyFont="1" applyFill="1"/>
    <xf numFmtId="166" fontId="11" fillId="0" borderId="0" xfId="5" applyNumberFormat="1"/>
    <xf numFmtId="165" fontId="11" fillId="0" borderId="0" xfId="5" applyNumberFormat="1"/>
    <xf numFmtId="182" fontId="11" fillId="0" borderId="0" xfId="2" applyNumberFormat="1" applyFont="1"/>
    <xf numFmtId="167" fontId="54" fillId="0" borderId="0" xfId="5" applyNumberFormat="1" applyFont="1"/>
    <xf numFmtId="167" fontId="11" fillId="0" borderId="0" xfId="5" applyNumberFormat="1"/>
    <xf numFmtId="9" fontId="11" fillId="0" borderId="0" xfId="5" applyNumberFormat="1"/>
    <xf numFmtId="177" fontId="54" fillId="0" borderId="0" xfId="5" applyNumberFormat="1" applyFont="1"/>
    <xf numFmtId="165" fontId="11" fillId="0" borderId="0" xfId="2" applyFont="1"/>
    <xf numFmtId="0" fontId="14" fillId="12" borderId="0" xfId="5" applyFont="1" applyFill="1" applyAlignment="1">
      <alignment horizontal="center"/>
    </xf>
    <xf numFmtId="16" fontId="15" fillId="4" borderId="0" xfId="5" applyNumberFormat="1" applyFont="1" applyFill="1" applyAlignment="1">
      <alignment horizontal="center"/>
    </xf>
    <xf numFmtId="0" fontId="13" fillId="4" borderId="0" xfId="5" applyFont="1" applyFill="1" applyAlignment="1">
      <alignment horizontal="center"/>
    </xf>
    <xf numFmtId="178" fontId="13" fillId="2" borderId="0" xfId="5" applyNumberFormat="1" applyFont="1" applyFill="1"/>
    <xf numFmtId="16" fontId="15" fillId="18" borderId="0" xfId="5" applyNumberFormat="1" applyFont="1" applyFill="1" applyAlignment="1">
      <alignment horizontal="center"/>
    </xf>
    <xf numFmtId="165" fontId="20" fillId="18" borderId="0" xfId="2" applyFont="1" applyFill="1"/>
    <xf numFmtId="0" fontId="13" fillId="18" borderId="0" xfId="5" applyFont="1" applyFill="1" applyAlignment="1">
      <alignment horizontal="center"/>
    </xf>
    <xf numFmtId="165" fontId="15" fillId="18" borderId="0" xfId="2" applyFont="1" applyFill="1" applyBorder="1"/>
    <xf numFmtId="165" fontId="15" fillId="18" borderId="0" xfId="2" applyFont="1" applyFill="1"/>
    <xf numFmtId="165" fontId="21" fillId="18" borderId="0" xfId="2" applyFont="1" applyFill="1"/>
    <xf numFmtId="10" fontId="13" fillId="18" borderId="0" xfId="4" applyNumberFormat="1" applyFont="1" applyFill="1"/>
    <xf numFmtId="178" fontId="13" fillId="18" borderId="0" xfId="5" applyNumberFormat="1" applyFont="1" applyFill="1"/>
    <xf numFmtId="170" fontId="31" fillId="18" borderId="0" xfId="2" applyNumberFormat="1" applyFont="1" applyFill="1" applyAlignment="1">
      <alignment horizontal="center"/>
    </xf>
    <xf numFmtId="16" fontId="15" fillId="18" borderId="0" xfId="5" applyNumberFormat="1" applyFont="1" applyFill="1"/>
    <xf numFmtId="16" fontId="15" fillId="12" borderId="0" xfId="5" applyNumberFormat="1" applyFont="1" applyFill="1" applyAlignment="1">
      <alignment horizontal="center"/>
    </xf>
    <xf numFmtId="0" fontId="13" fillId="12" borderId="0" xfId="5" applyFont="1" applyFill="1" applyAlignment="1">
      <alignment horizontal="center"/>
    </xf>
    <xf numFmtId="176" fontId="18" fillId="12" borderId="0" xfId="5" applyNumberFormat="1" applyFont="1" applyFill="1"/>
    <xf numFmtId="178" fontId="13" fillId="12" borderId="0" xfId="5" applyNumberFormat="1" applyFont="1" applyFill="1"/>
    <xf numFmtId="16" fontId="15" fillId="12" borderId="0" xfId="5" applyNumberFormat="1" applyFont="1" applyFill="1"/>
    <xf numFmtId="170" fontId="15" fillId="8" borderId="0" xfId="5" applyNumberFormat="1" applyFont="1" applyFill="1"/>
    <xf numFmtId="170" fontId="19" fillId="8" borderId="0" xfId="5" applyNumberFormat="1" applyFont="1" applyFill="1"/>
    <xf numFmtId="0" fontId="11" fillId="8" borderId="0" xfId="5" applyFill="1"/>
    <xf numFmtId="177" fontId="15" fillId="0" borderId="0" xfId="5" applyNumberFormat="1" applyFont="1"/>
    <xf numFmtId="177" fontId="14" fillId="0" borderId="0" xfId="5" applyNumberFormat="1" applyFont="1"/>
    <xf numFmtId="43" fontId="11" fillId="0" borderId="0" xfId="5" applyNumberFormat="1"/>
    <xf numFmtId="178" fontId="19" fillId="0" borderId="0" xfId="5" applyNumberFormat="1" applyFont="1"/>
    <xf numFmtId="170" fontId="11" fillId="0" borderId="0" xfId="5" applyNumberFormat="1"/>
    <xf numFmtId="178" fontId="18" fillId="0" borderId="0" xfId="5" applyNumberFormat="1" applyFont="1"/>
    <xf numFmtId="174" fontId="21" fillId="7" borderId="0" xfId="2" applyNumberFormat="1" applyFont="1" applyFill="1" applyBorder="1"/>
    <xf numFmtId="3" fontId="98" fillId="53" borderId="0" xfId="5" applyNumberFormat="1" applyFont="1" applyFill="1" applyAlignment="1">
      <alignment horizontal="center"/>
    </xf>
    <xf numFmtId="0" fontId="99" fillId="0" borderId="2" xfId="5" applyFont="1" applyBorder="1"/>
    <xf numFmtId="165" fontId="99" fillId="0" borderId="3" xfId="2" applyFont="1" applyBorder="1"/>
    <xf numFmtId="0" fontId="99" fillId="0" borderId="3" xfId="5" applyFont="1" applyBorder="1"/>
    <xf numFmtId="0" fontId="99" fillId="0" borderId="12" xfId="5" applyFont="1" applyBorder="1"/>
    <xf numFmtId="165" fontId="99" fillId="0" borderId="22" xfId="5" applyNumberFormat="1" applyFont="1" applyBorder="1"/>
    <xf numFmtId="0" fontId="99" fillId="0" borderId="0" xfId="5" applyFont="1"/>
    <xf numFmtId="165" fontId="99" fillId="0" borderId="0" xfId="5" applyNumberFormat="1" applyFont="1"/>
    <xf numFmtId="10" fontId="11" fillId="0" borderId="0" xfId="4" applyNumberFormat="1"/>
    <xf numFmtId="165" fontId="52" fillId="16" borderId="0" xfId="2" applyFont="1" applyFill="1"/>
    <xf numFmtId="164" fontId="24" fillId="52" borderId="0" xfId="3" applyFont="1" applyFill="1"/>
    <xf numFmtId="14" fontId="17" fillId="3" borderId="0" xfId="0" applyNumberFormat="1" applyFont="1" applyFill="1"/>
    <xf numFmtId="14" fontId="0" fillId="2" borderId="0" xfId="0" applyNumberFormat="1" applyFill="1"/>
    <xf numFmtId="14" fontId="18" fillId="2" borderId="0" xfId="0" applyNumberFormat="1" applyFont="1" applyFill="1"/>
    <xf numFmtId="14" fontId="19" fillId="3" borderId="4" xfId="0" applyNumberFormat="1" applyFont="1" applyFill="1" applyBorder="1" applyAlignment="1">
      <alignment horizontal="center"/>
    </xf>
    <xf numFmtId="14" fontId="19" fillId="7" borderId="0" xfId="0" applyNumberFormat="1" applyFont="1" applyFill="1" applyAlignment="1">
      <alignment horizontal="center"/>
    </xf>
    <xf numFmtId="14" fontId="19" fillId="2" borderId="0" xfId="0" applyNumberFormat="1" applyFont="1" applyFill="1" applyAlignment="1">
      <alignment horizontal="center"/>
    </xf>
    <xf numFmtId="14" fontId="0" fillId="0" borderId="0" xfId="0" applyNumberFormat="1"/>
    <xf numFmtId="14" fontId="14" fillId="2" borderId="10" xfId="0" applyNumberFormat="1" applyFont="1" applyFill="1" applyBorder="1"/>
    <xf numFmtId="14" fontId="0" fillId="2" borderId="8" xfId="0" applyNumberFormat="1" applyFill="1" applyBorder="1"/>
    <xf numFmtId="14" fontId="14" fillId="2" borderId="8" xfId="0" applyNumberFormat="1" applyFont="1" applyFill="1" applyBorder="1"/>
    <xf numFmtId="14" fontId="21" fillId="2" borderId="8" xfId="0" applyNumberFormat="1" applyFont="1" applyFill="1" applyBorder="1"/>
    <xf numFmtId="14" fontId="14" fillId="2" borderId="9" xfId="0" applyNumberFormat="1" applyFont="1" applyFill="1" applyBorder="1"/>
    <xf numFmtId="14" fontId="14" fillId="0" borderId="0" xfId="5" applyNumberFormat="1" applyFont="1"/>
    <xf numFmtId="192" fontId="11" fillId="0" borderId="0" xfId="3" applyNumberFormat="1"/>
    <xf numFmtId="0" fontId="96" fillId="0" borderId="0" xfId="5" applyFont="1" applyAlignment="1">
      <alignment horizontal="left"/>
    </xf>
    <xf numFmtId="49" fontId="95" fillId="0" borderId="0" xfId="5" applyNumberFormat="1" applyFont="1"/>
    <xf numFmtId="164" fontId="14" fillId="0" borderId="0" xfId="5" applyNumberFormat="1" applyFont="1"/>
    <xf numFmtId="2" fontId="18" fillId="2" borderId="0" xfId="0" applyNumberFormat="1" applyFont="1" applyFill="1" applyAlignment="1">
      <alignment horizontal="center"/>
    </xf>
    <xf numFmtId="43" fontId="18" fillId="5" borderId="0" xfId="0" applyNumberFormat="1" applyFont="1" applyFill="1" applyAlignment="1">
      <alignment horizontal="center"/>
    </xf>
    <xf numFmtId="192" fontId="0" fillId="0" borderId="0" xfId="3" applyNumberFormat="1" applyFont="1"/>
    <xf numFmtId="164" fontId="11" fillId="0" borderId="0" xfId="5" applyNumberFormat="1"/>
    <xf numFmtId="10" fontId="101" fillId="0" borderId="0" xfId="4" applyNumberFormat="1" applyFont="1"/>
    <xf numFmtId="43" fontId="0" fillId="2" borderId="0" xfId="0" applyNumberFormat="1" applyFill="1"/>
    <xf numFmtId="164" fontId="0" fillId="0" borderId="0" xfId="3" applyFont="1"/>
    <xf numFmtId="194" fontId="11" fillId="0" borderId="0" xfId="3" applyNumberFormat="1" applyFont="1" applyFill="1"/>
    <xf numFmtId="170" fontId="11" fillId="0" borderId="0" xfId="0" applyNumberFormat="1" applyFont="1"/>
    <xf numFmtId="197" fontId="38" fillId="2" borderId="0" xfId="0" applyNumberFormat="1" applyFont="1" applyFill="1"/>
    <xf numFmtId="43" fontId="21" fillId="7" borderId="0" xfId="2" applyNumberFormat="1" applyFont="1" applyFill="1" applyBorder="1"/>
    <xf numFmtId="165" fontId="21" fillId="55" borderId="0" xfId="2" applyFont="1" applyFill="1" applyBorder="1"/>
    <xf numFmtId="43" fontId="0" fillId="0" borderId="0" xfId="0" applyNumberFormat="1"/>
    <xf numFmtId="178" fontId="15" fillId="55" borderId="0" xfId="2" applyNumberFormat="1" applyFont="1" applyFill="1" applyBorder="1"/>
    <xf numFmtId="0" fontId="14" fillId="54" borderId="0" xfId="5" applyFont="1" applyFill="1"/>
    <xf numFmtId="192" fontId="14" fillId="54" borderId="0" xfId="3" applyNumberFormat="1" applyFont="1" applyFill="1"/>
    <xf numFmtId="9" fontId="0" fillId="0" borderId="0" xfId="4" applyFont="1"/>
    <xf numFmtId="0" fontId="103" fillId="0" borderId="0" xfId="5" applyFont="1"/>
    <xf numFmtId="170" fontId="102" fillId="0" borderId="0" xfId="2" applyNumberFormat="1" applyFont="1" applyFill="1" applyBorder="1" applyAlignment="1">
      <alignment horizontal="right"/>
    </xf>
    <xf numFmtId="195" fontId="102" fillId="0" borderId="0" xfId="4" applyNumberFormat="1" applyFont="1" applyFill="1" applyBorder="1" applyAlignment="1">
      <alignment horizontal="right"/>
    </xf>
    <xf numFmtId="165" fontId="103" fillId="0" borderId="0" xfId="2" applyFont="1" applyFill="1"/>
    <xf numFmtId="40" fontId="103" fillId="0" borderId="0" xfId="2" applyNumberFormat="1" applyFont="1" applyFill="1"/>
    <xf numFmtId="165" fontId="21" fillId="53" borderId="0" xfId="2" applyFont="1" applyFill="1"/>
    <xf numFmtId="16" fontId="15" fillId="0" borderId="0" xfId="0" applyNumberFormat="1" applyFont="1"/>
    <xf numFmtId="0" fontId="21" fillId="0" borderId="0" xfId="2" applyNumberFormat="1" applyFont="1" applyFill="1"/>
    <xf numFmtId="0" fontId="11" fillId="0" borderId="0" xfId="4" applyNumberFormat="1" applyFont="1" applyFill="1"/>
    <xf numFmtId="170" fontId="11" fillId="0" borderId="0" xfId="2" applyNumberFormat="1" applyFont="1" applyFill="1" applyAlignment="1">
      <alignment horizontal="center"/>
    </xf>
    <xf numFmtId="16" fontId="11" fillId="0" borderId="0" xfId="0" applyNumberFormat="1" applyFont="1"/>
    <xf numFmtId="164" fontId="0" fillId="0" borderId="0" xfId="0" applyNumberFormat="1"/>
    <xf numFmtId="16" fontId="0" fillId="0" borderId="0" xfId="0" applyNumberFormat="1"/>
    <xf numFmtId="176" fontId="50" fillId="0" borderId="0" xfId="0" applyNumberFormat="1" applyFont="1"/>
    <xf numFmtId="10" fontId="13" fillId="0" borderId="0" xfId="4" applyNumberFormat="1" applyFont="1" applyFill="1"/>
    <xf numFmtId="170" fontId="31" fillId="0" borderId="0" xfId="2" applyNumberFormat="1" applyFont="1" applyFill="1" applyAlignment="1">
      <alignment horizontal="center"/>
    </xf>
    <xf numFmtId="2" fontId="11" fillId="0" borderId="0" xfId="5" applyNumberFormat="1"/>
    <xf numFmtId="198" fontId="0" fillId="0" borderId="0" xfId="3" applyNumberFormat="1" applyFont="1" applyFill="1"/>
    <xf numFmtId="164" fontId="0" fillId="0" borderId="0" xfId="3" applyFont="1" applyFill="1"/>
    <xf numFmtId="164" fontId="14" fillId="0" borderId="0" xfId="0" applyNumberFormat="1" applyFont="1"/>
    <xf numFmtId="9" fontId="11" fillId="0" borderId="0" xfId="4"/>
    <xf numFmtId="0" fontId="0" fillId="0" borderId="0" xfId="0" quotePrefix="1"/>
    <xf numFmtId="0" fontId="11" fillId="0" borderId="0" xfId="0" quotePrefix="1" applyFont="1"/>
    <xf numFmtId="0" fontId="20" fillId="0" borderId="0" xfId="2" applyNumberFormat="1" applyFont="1" applyFill="1" applyBorder="1"/>
    <xf numFmtId="184" fontId="11" fillId="0" borderId="0" xfId="2" applyNumberFormat="1" applyFont="1" applyFill="1"/>
    <xf numFmtId="175" fontId="11" fillId="0" borderId="0" xfId="2" applyNumberFormat="1" applyFont="1" applyFill="1"/>
    <xf numFmtId="199" fontId="0" fillId="2" borderId="0" xfId="0" applyNumberFormat="1" applyFill="1"/>
    <xf numFmtId="198" fontId="0" fillId="2" borderId="0" xfId="3" applyNumberFormat="1" applyFont="1" applyFill="1"/>
    <xf numFmtId="196" fontId="11" fillId="0" borderId="0" xfId="3" applyNumberFormat="1"/>
    <xf numFmtId="0" fontId="19" fillId="17" borderId="0" xfId="0" applyFont="1" applyFill="1"/>
    <xf numFmtId="43" fontId="100" fillId="17" borderId="0" xfId="2" applyNumberFormat="1" applyFont="1" applyFill="1"/>
    <xf numFmtId="0" fontId="19" fillId="16" borderId="0" xfId="0" applyFont="1" applyFill="1" applyAlignment="1">
      <alignment horizontal="center"/>
    </xf>
    <xf numFmtId="14" fontId="19" fillId="16" borderId="0" xfId="0" applyNumberFormat="1" applyFont="1" applyFill="1" applyAlignment="1">
      <alignment horizontal="center"/>
    </xf>
    <xf numFmtId="16" fontId="19" fillId="16" borderId="0" xfId="0" applyNumberFormat="1" applyFont="1" applyFill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64" fontId="0" fillId="0" borderId="1" xfId="3" applyFont="1" applyBorder="1"/>
    <xf numFmtId="9" fontId="0" fillId="0" borderId="1" xfId="4" applyFont="1" applyBorder="1"/>
    <xf numFmtId="1" fontId="0" fillId="0" borderId="1" xfId="0" applyNumberFormat="1" applyBorder="1"/>
    <xf numFmtId="10" fontId="0" fillId="0" borderId="1" xfId="4" applyNumberFormat="1" applyFont="1" applyBorder="1"/>
    <xf numFmtId="0" fontId="0" fillId="17" borderId="0" xfId="0" applyFill="1"/>
    <xf numFmtId="164" fontId="77" fillId="17" borderId="0" xfId="3" applyFont="1" applyFill="1"/>
    <xf numFmtId="9" fontId="77" fillId="17" borderId="0" xfId="4" applyFont="1" applyFill="1"/>
    <xf numFmtId="0" fontId="77" fillId="17" borderId="1" xfId="0" applyFont="1" applyFill="1" applyBorder="1" applyAlignment="1">
      <alignment horizontal="center" vertical="center" wrapText="1"/>
    </xf>
    <xf numFmtId="0" fontId="77" fillId="17" borderId="1" xfId="0" applyFont="1" applyFill="1" applyBorder="1" applyAlignment="1">
      <alignment horizontal="center" vertical="center"/>
    </xf>
    <xf numFmtId="0" fontId="11" fillId="0" borderId="0" xfId="5" applyAlignment="1">
      <alignment horizontal="center"/>
    </xf>
    <xf numFmtId="187" fontId="11" fillId="0" borderId="0" xfId="5" applyNumberFormat="1"/>
    <xf numFmtId="184" fontId="0" fillId="0" borderId="0" xfId="2" quotePrefix="1" applyNumberFormat="1" applyFont="1" applyFill="1"/>
    <xf numFmtId="184" fontId="11" fillId="0" borderId="0" xfId="2" quotePrefix="1" applyNumberFormat="1" applyFont="1" applyFill="1"/>
    <xf numFmtId="10" fontId="38" fillId="0" borderId="0" xfId="4" applyNumberFormat="1" applyFont="1" applyFill="1"/>
    <xf numFmtId="165" fontId="38" fillId="0" borderId="0" xfId="2" applyFont="1" applyFill="1"/>
    <xf numFmtId="9" fontId="38" fillId="0" borderId="0" xfId="0" applyNumberFormat="1" applyFont="1"/>
    <xf numFmtId="178" fontId="38" fillId="0" borderId="0" xfId="2" applyNumberFormat="1" applyFont="1" applyFill="1"/>
    <xf numFmtId="173" fontId="38" fillId="0" borderId="0" xfId="0" applyNumberFormat="1" applyFont="1"/>
    <xf numFmtId="200" fontId="18" fillId="2" borderId="0" xfId="4" applyNumberFormat="1" applyFont="1" applyFill="1"/>
    <xf numFmtId="40" fontId="0" fillId="0" borderId="0" xfId="0" applyNumberFormat="1"/>
    <xf numFmtId="164" fontId="38" fillId="2" borderId="0" xfId="3" applyFont="1" applyFill="1"/>
    <xf numFmtId="0" fontId="83" fillId="56" borderId="0" xfId="0" applyFont="1" applyFill="1"/>
    <xf numFmtId="0" fontId="59" fillId="56" borderId="0" xfId="0" applyFont="1" applyFill="1"/>
    <xf numFmtId="14" fontId="32" fillId="56" borderId="0" xfId="0" applyNumberFormat="1" applyFont="1" applyFill="1"/>
    <xf numFmtId="0" fontId="89" fillId="56" borderId="12" xfId="0" applyFont="1" applyFill="1" applyBorder="1"/>
    <xf numFmtId="0" fontId="89" fillId="56" borderId="32" xfId="0" applyFont="1" applyFill="1" applyBorder="1" applyAlignment="1">
      <alignment horizontal="center"/>
    </xf>
    <xf numFmtId="0" fontId="89" fillId="56" borderId="22" xfId="0" applyFont="1" applyFill="1" applyBorder="1" applyAlignment="1">
      <alignment horizontal="center"/>
    </xf>
    <xf numFmtId="0" fontId="89" fillId="56" borderId="15" xfId="0" applyFont="1" applyFill="1" applyBorder="1" applyAlignment="1">
      <alignment horizontal="center"/>
    </xf>
    <xf numFmtId="169" fontId="89" fillId="56" borderId="1" xfId="2" applyNumberFormat="1" applyFont="1" applyFill="1" applyBorder="1" applyAlignment="1">
      <alignment horizontal="center"/>
    </xf>
    <xf numFmtId="170" fontId="89" fillId="56" borderId="1" xfId="2" applyNumberFormat="1" applyFont="1" applyFill="1" applyBorder="1" applyAlignment="1">
      <alignment horizontal="center"/>
    </xf>
    <xf numFmtId="169" fontId="89" fillId="56" borderId="23" xfId="2" applyNumberFormat="1" applyFont="1" applyFill="1" applyBorder="1"/>
    <xf numFmtId="170" fontId="89" fillId="56" borderId="28" xfId="2" applyNumberFormat="1" applyFont="1" applyFill="1" applyBorder="1"/>
    <xf numFmtId="169" fontId="89" fillId="56" borderId="2" xfId="2" applyNumberFormat="1" applyFont="1" applyFill="1" applyBorder="1"/>
    <xf numFmtId="170" fontId="89" fillId="56" borderId="3" xfId="2" applyNumberFormat="1" applyFont="1" applyFill="1" applyBorder="1"/>
    <xf numFmtId="169" fontId="89" fillId="56" borderId="0" xfId="2" applyNumberFormat="1" applyFont="1" applyFill="1" applyBorder="1"/>
    <xf numFmtId="14" fontId="90" fillId="56" borderId="0" xfId="2" applyNumberFormat="1" applyFont="1" applyFill="1" applyBorder="1"/>
    <xf numFmtId="170" fontId="92" fillId="56" borderId="0" xfId="2" applyNumberFormat="1" applyFont="1" applyFill="1" applyBorder="1"/>
    <xf numFmtId="14" fontId="60" fillId="16" borderId="0" xfId="2" applyNumberFormat="1" applyFont="1" applyFill="1" applyBorder="1"/>
    <xf numFmtId="169" fontId="60" fillId="16" borderId="0" xfId="2" applyNumberFormat="1" applyFont="1" applyFill="1" applyBorder="1"/>
    <xf numFmtId="170" fontId="85" fillId="16" borderId="0" xfId="2" applyNumberFormat="1" applyFont="1" applyFill="1" applyBorder="1"/>
    <xf numFmtId="177" fontId="90" fillId="56" borderId="0" xfId="2" applyNumberFormat="1" applyFont="1" applyFill="1" applyBorder="1"/>
    <xf numFmtId="14" fontId="89" fillId="56" borderId="0" xfId="2" applyNumberFormat="1" applyFont="1" applyFill="1" applyBorder="1"/>
    <xf numFmtId="177" fontId="89" fillId="56" borderId="0" xfId="2" applyNumberFormat="1" applyFont="1" applyFill="1" applyBorder="1"/>
    <xf numFmtId="0" fontId="89" fillId="56" borderId="0" xfId="0" applyFont="1" applyFill="1"/>
    <xf numFmtId="169" fontId="89" fillId="56" borderId="6" xfId="0" applyNumberFormat="1" applyFont="1" applyFill="1" applyBorder="1" applyAlignment="1">
      <alignment horizontal="center"/>
    </xf>
    <xf numFmtId="169" fontId="89" fillId="56" borderId="4" xfId="0" applyNumberFormat="1" applyFont="1" applyFill="1" applyBorder="1" applyAlignment="1">
      <alignment horizontal="center"/>
    </xf>
    <xf numFmtId="0" fontId="89" fillId="56" borderId="0" xfId="2" applyNumberFormat="1" applyFont="1" applyFill="1" applyBorder="1"/>
    <xf numFmtId="14" fontId="82" fillId="56" borderId="12" xfId="2" applyNumberFormat="1" applyFont="1" applyFill="1" applyBorder="1"/>
    <xf numFmtId="177" fontId="82" fillId="56" borderId="22" xfId="2" applyNumberFormat="1" applyFont="1" applyFill="1" applyBorder="1"/>
    <xf numFmtId="0" fontId="90" fillId="56" borderId="0" xfId="0" applyFont="1" applyFill="1" applyAlignment="1">
      <alignment horizontal="left"/>
    </xf>
    <xf numFmtId="10" fontId="90" fillId="56" borderId="0" xfId="4" applyNumberFormat="1" applyFont="1" applyFill="1" applyBorder="1" applyAlignment="1">
      <alignment horizontal="right"/>
    </xf>
    <xf numFmtId="14" fontId="90" fillId="56" borderId="12" xfId="2" applyNumberFormat="1" applyFont="1" applyFill="1" applyBorder="1"/>
    <xf numFmtId="170" fontId="90" fillId="56" borderId="22" xfId="2" applyNumberFormat="1" applyFont="1" applyFill="1" applyBorder="1"/>
    <xf numFmtId="165" fontId="90" fillId="56" borderId="0" xfId="2" applyFont="1" applyFill="1" applyBorder="1" applyAlignment="1">
      <alignment horizontal="right"/>
    </xf>
    <xf numFmtId="0" fontId="89" fillId="56" borderId="14" xfId="0" applyFont="1" applyFill="1" applyBorder="1"/>
    <xf numFmtId="170" fontId="89" fillId="56" borderId="14" xfId="2" applyNumberFormat="1" applyFont="1" applyFill="1" applyBorder="1"/>
    <xf numFmtId="0" fontId="90" fillId="56" borderId="14" xfId="0" applyFont="1" applyFill="1" applyBorder="1" applyAlignment="1">
      <alignment horizontal="left"/>
    </xf>
    <xf numFmtId="173" fontId="90" fillId="56" borderId="14" xfId="4" applyNumberFormat="1" applyFont="1" applyFill="1" applyBorder="1" applyAlignment="1">
      <alignment horizontal="right"/>
    </xf>
    <xf numFmtId="165" fontId="12" fillId="56" borderId="1" xfId="2" applyFont="1" applyFill="1" applyBorder="1" applyAlignment="1"/>
    <xf numFmtId="0" fontId="12" fillId="56" borderId="1" xfId="0" applyFont="1" applyFill="1" applyBorder="1" applyAlignment="1">
      <alignment horizontal="center"/>
    </xf>
    <xf numFmtId="0" fontId="32" fillId="56" borderId="1" xfId="0" applyFont="1" applyFill="1" applyBorder="1" applyAlignment="1">
      <alignment horizontal="left"/>
    </xf>
    <xf numFmtId="0" fontId="34" fillId="56" borderId="0" xfId="0" applyFont="1" applyFill="1"/>
    <xf numFmtId="165" fontId="34" fillId="56" borderId="0" xfId="2" applyFont="1" applyFill="1"/>
    <xf numFmtId="165" fontId="32" fillId="56" borderId="0" xfId="2" applyFont="1" applyFill="1"/>
    <xf numFmtId="0" fontId="12" fillId="56" borderId="0" xfId="0" applyFont="1" applyFill="1"/>
    <xf numFmtId="173" fontId="12" fillId="56" borderId="0" xfId="4" applyNumberFormat="1" applyFont="1" applyFill="1"/>
    <xf numFmtId="0" fontId="89" fillId="56" borderId="6" xfId="0" applyFont="1" applyFill="1" applyBorder="1" applyAlignment="1">
      <alignment horizontal="center"/>
    </xf>
    <xf numFmtId="165" fontId="89" fillId="56" borderId="6" xfId="2" applyFont="1" applyFill="1" applyBorder="1" applyAlignment="1">
      <alignment horizontal="center"/>
    </xf>
    <xf numFmtId="169" fontId="89" fillId="56" borderId="4" xfId="0" applyNumberFormat="1" applyFont="1" applyFill="1" applyBorder="1"/>
    <xf numFmtId="177" fontId="89" fillId="56" borderId="4" xfId="2" applyNumberFormat="1" applyFont="1" applyFill="1" applyBorder="1" applyAlignment="1">
      <alignment horizontal="center"/>
    </xf>
    <xf numFmtId="9" fontId="18" fillId="2" borderId="0" xfId="4" applyFont="1" applyFill="1"/>
    <xf numFmtId="16" fontId="19" fillId="57" borderId="17" xfId="0" applyNumberFormat="1" applyFont="1" applyFill="1" applyBorder="1" applyAlignment="1">
      <alignment horizontal="center"/>
    </xf>
    <xf numFmtId="0" fontId="18" fillId="57" borderId="0" xfId="0" applyFont="1" applyFill="1" applyAlignment="1">
      <alignment horizontal="center"/>
    </xf>
    <xf numFmtId="165" fontId="20" fillId="57" borderId="0" xfId="2" applyFont="1" applyFill="1" applyBorder="1"/>
    <xf numFmtId="178" fontId="15" fillId="57" borderId="0" xfId="2" applyNumberFormat="1" applyFont="1" applyFill="1" applyBorder="1"/>
    <xf numFmtId="165" fontId="21" fillId="57" borderId="0" xfId="2" applyFont="1" applyFill="1" applyBorder="1"/>
    <xf numFmtId="176" fontId="18" fillId="57" borderId="0" xfId="0" applyNumberFormat="1" applyFont="1" applyFill="1"/>
    <xf numFmtId="10" fontId="16" fillId="57" borderId="0" xfId="4" applyNumberFormat="1" applyFont="1" applyFill="1" applyBorder="1"/>
    <xf numFmtId="178" fontId="55" fillId="57" borderId="0" xfId="0" applyNumberFormat="1" applyFont="1" applyFill="1"/>
    <xf numFmtId="185" fontId="19" fillId="57" borderId="0" xfId="0" applyNumberFormat="1" applyFont="1" applyFill="1"/>
    <xf numFmtId="0" fontId="14" fillId="57" borderId="18" xfId="0" applyFont="1" applyFill="1" applyBorder="1"/>
    <xf numFmtId="14" fontId="11" fillId="0" borderId="0" xfId="1411" applyNumberFormat="1" applyFont="1" applyFill="1" applyBorder="1" applyAlignment="1">
      <alignment horizontal="right"/>
    </xf>
    <xf numFmtId="10" fontId="93" fillId="0" borderId="0" xfId="1411" applyNumberFormat="1" applyFont="1" applyFill="1"/>
    <xf numFmtId="10" fontId="103" fillId="0" borderId="0" xfId="1411" applyNumberFormat="1" applyFont="1" applyFill="1"/>
    <xf numFmtId="10" fontId="11" fillId="0" borderId="0" xfId="4" applyNumberFormat="1" applyFill="1"/>
    <xf numFmtId="10" fontId="14" fillId="0" borderId="0" xfId="4" applyNumberFormat="1" applyFont="1" applyFill="1"/>
    <xf numFmtId="0" fontId="19" fillId="0" borderId="1" xfId="0" applyFont="1" applyBorder="1" applyAlignment="1">
      <alignment horizontal="center"/>
    </xf>
    <xf numFmtId="10" fontId="0" fillId="0" borderId="1" xfId="4" applyNumberFormat="1" applyFont="1" applyFill="1" applyBorder="1"/>
    <xf numFmtId="43" fontId="14" fillId="0" borderId="0" xfId="5" applyNumberFormat="1" applyFont="1"/>
    <xf numFmtId="164" fontId="11" fillId="0" borderId="11" xfId="3" applyBorder="1"/>
    <xf numFmtId="0" fontId="11" fillId="0" borderId="2" xfId="5" applyBorder="1"/>
    <xf numFmtId="164" fontId="11" fillId="0" borderId="0" xfId="3" applyBorder="1"/>
    <xf numFmtId="0" fontId="14" fillId="0" borderId="13" xfId="5" applyFont="1" applyBorder="1"/>
    <xf numFmtId="164" fontId="14" fillId="0" borderId="14" xfId="3" applyFont="1" applyBorder="1"/>
    <xf numFmtId="0" fontId="101" fillId="0" borderId="0" xfId="5" applyFont="1"/>
    <xf numFmtId="196" fontId="0" fillId="0" borderId="0" xfId="3" applyNumberFormat="1" applyFont="1"/>
    <xf numFmtId="14" fontId="11" fillId="0" borderId="0" xfId="1412" applyNumberFormat="1" applyFont="1" applyFill="1" applyBorder="1" applyAlignment="1">
      <alignment horizontal="right"/>
    </xf>
    <xf numFmtId="10" fontId="93" fillId="0" borderId="0" xfId="1412" applyNumberFormat="1" applyFont="1" applyFill="1"/>
    <xf numFmtId="0" fontId="22" fillId="16" borderId="0" xfId="0" applyFont="1" applyFill="1"/>
    <xf numFmtId="0" fontId="0" fillId="16" borderId="0" xfId="0" applyFill="1"/>
    <xf numFmtId="184" fontId="104" fillId="11" borderId="0" xfId="2" applyNumberFormat="1" applyFont="1" applyFill="1" applyBorder="1" applyAlignment="1">
      <alignment horizontal="center"/>
    </xf>
    <xf numFmtId="169" fontId="105" fillId="56" borderId="13" xfId="2" applyNumberFormat="1" applyFont="1" applyFill="1" applyBorder="1"/>
    <xf numFmtId="170" fontId="105" fillId="56" borderId="15" xfId="2" applyNumberFormat="1" applyFont="1" applyFill="1" applyBorder="1"/>
    <xf numFmtId="195" fontId="14" fillId="0" borderId="0" xfId="4" applyNumberFormat="1" applyFont="1" applyFill="1" applyBorder="1" applyAlignment="1">
      <alignment horizontal="right"/>
    </xf>
    <xf numFmtId="0" fontId="96" fillId="52" borderId="0" xfId="5" applyFont="1" applyFill="1"/>
    <xf numFmtId="10" fontId="14" fillId="52" borderId="0" xfId="4" applyNumberFormat="1" applyFont="1" applyFill="1" applyBorder="1" applyAlignment="1">
      <alignment horizontal="right"/>
    </xf>
    <xf numFmtId="0" fontId="14" fillId="52" borderId="0" xfId="5" applyFont="1" applyFill="1"/>
    <xf numFmtId="164" fontId="14" fillId="52" borderId="0" xfId="3" applyFont="1" applyFill="1"/>
    <xf numFmtId="0" fontId="19" fillId="52" borderId="1" xfId="0" applyFont="1" applyFill="1" applyBorder="1" applyAlignment="1">
      <alignment horizontal="center"/>
    </xf>
    <xf numFmtId="10" fontId="97" fillId="52" borderId="0" xfId="4" applyNumberFormat="1" applyFont="1" applyFill="1" applyBorder="1" applyAlignment="1">
      <alignment horizontal="right"/>
    </xf>
    <xf numFmtId="164" fontId="14" fillId="52" borderId="1" xfId="3" applyFont="1" applyFill="1" applyBorder="1"/>
    <xf numFmtId="165" fontId="89" fillId="56" borderId="0" xfId="2" applyFont="1" applyFill="1"/>
    <xf numFmtId="165" fontId="75" fillId="0" borderId="0" xfId="2" applyFont="1" applyFill="1"/>
    <xf numFmtId="2" fontId="22" fillId="58" borderId="0" xfId="0" applyNumberFormat="1" applyFont="1" applyFill="1"/>
    <xf numFmtId="0" fontId="97" fillId="0" borderId="0" xfId="0" applyFont="1"/>
    <xf numFmtId="178" fontId="64" fillId="18" borderId="0" xfId="0" applyNumberFormat="1" applyFont="1" applyFill="1"/>
    <xf numFmtId="10" fontId="27" fillId="16" borderId="0" xfId="4" applyNumberFormat="1" applyFont="1" applyFill="1" applyBorder="1"/>
    <xf numFmtId="201" fontId="21" fillId="55" borderId="0" xfId="3" applyNumberFormat="1" applyFont="1" applyFill="1" applyBorder="1"/>
    <xf numFmtId="164" fontId="14" fillId="17" borderId="0" xfId="3" applyFont="1" applyFill="1"/>
    <xf numFmtId="16" fontId="19" fillId="18" borderId="17" xfId="0" applyNumberFormat="1" applyFont="1" applyFill="1" applyBorder="1" applyAlignment="1">
      <alignment horizontal="center"/>
    </xf>
    <xf numFmtId="0" fontId="18" fillId="18" borderId="0" xfId="0" applyFont="1" applyFill="1" applyAlignment="1">
      <alignment horizontal="center"/>
    </xf>
    <xf numFmtId="165" fontId="20" fillId="18" borderId="0" xfId="2" applyFont="1" applyFill="1" applyBorder="1"/>
    <xf numFmtId="178" fontId="15" fillId="18" borderId="0" xfId="2" applyNumberFormat="1" applyFont="1" applyFill="1" applyBorder="1"/>
    <xf numFmtId="176" fontId="18" fillId="18" borderId="0" xfId="0" applyNumberFormat="1" applyFont="1" applyFill="1"/>
    <xf numFmtId="10" fontId="16" fillId="18" borderId="0" xfId="4" applyNumberFormat="1" applyFont="1" applyFill="1" applyBorder="1"/>
    <xf numFmtId="178" fontId="18" fillId="18" borderId="0" xfId="0" applyNumberFormat="1" applyFont="1" applyFill="1"/>
    <xf numFmtId="185" fontId="19" fillId="18" borderId="0" xfId="0" applyNumberFormat="1" applyFont="1" applyFill="1"/>
    <xf numFmtId="0" fontId="14" fillId="18" borderId="18" xfId="0" applyFont="1" applyFill="1" applyBorder="1"/>
    <xf numFmtId="175" fontId="21" fillId="18" borderId="0" xfId="2" applyNumberFormat="1" applyFont="1" applyFill="1" applyBorder="1"/>
    <xf numFmtId="184" fontId="21" fillId="18" borderId="0" xfId="2" applyNumberFormat="1" applyFont="1" applyFill="1" applyBorder="1"/>
    <xf numFmtId="9" fontId="11" fillId="18" borderId="0" xfId="5" applyNumberFormat="1" applyFill="1"/>
    <xf numFmtId="192" fontId="11" fillId="0" borderId="0" xfId="3" applyNumberFormat="1" applyFill="1"/>
    <xf numFmtId="0" fontId="14" fillId="0" borderId="14" xfId="5" applyFont="1" applyBorder="1"/>
    <xf numFmtId="0" fontId="14" fillId="0" borderId="0" xfId="5" applyFont="1" applyAlignment="1">
      <alignment horizontal="center"/>
    </xf>
    <xf numFmtId="164" fontId="14" fillId="0" borderId="0" xfId="5" applyNumberFormat="1" applyFont="1" applyAlignment="1">
      <alignment horizontal="center"/>
    </xf>
    <xf numFmtId="40" fontId="11" fillId="0" borderId="11" xfId="5" applyNumberFormat="1" applyBorder="1"/>
    <xf numFmtId="180" fontId="14" fillId="0" borderId="0" xfId="3" applyNumberFormat="1" applyFont="1" applyFill="1"/>
    <xf numFmtId="164" fontId="14" fillId="0" borderId="0" xfId="3" applyFont="1" applyFill="1"/>
    <xf numFmtId="192" fontId="14" fillId="0" borderId="0" xfId="3" applyNumberFormat="1" applyFont="1" applyFill="1"/>
    <xf numFmtId="194" fontId="14" fillId="0" borderId="0" xfId="5" applyNumberFormat="1" applyFont="1"/>
    <xf numFmtId="10" fontId="14" fillId="0" borderId="0" xfId="4" applyNumberFormat="1" applyFont="1" applyFill="1" applyBorder="1" applyAlignment="1">
      <alignment horizontal="right"/>
    </xf>
    <xf numFmtId="10" fontId="102" fillId="0" borderId="0" xfId="4" applyNumberFormat="1" applyFont="1" applyFill="1" applyBorder="1" applyAlignment="1">
      <alignment horizontal="right"/>
    </xf>
    <xf numFmtId="165" fontId="11" fillId="0" borderId="11" xfId="5" applyNumberFormat="1" applyBorder="1"/>
    <xf numFmtId="10" fontId="11" fillId="0" borderId="0" xfId="4" applyNumberFormat="1" applyFont="1" applyFill="1" applyBorder="1" applyAlignment="1">
      <alignment horizontal="right"/>
    </xf>
    <xf numFmtId="169" fontId="82" fillId="53" borderId="0" xfId="2" applyNumberFormat="1" applyFont="1" applyFill="1" applyBorder="1"/>
    <xf numFmtId="170" fontId="90" fillId="59" borderId="5" xfId="2" applyNumberFormat="1" applyFont="1" applyFill="1" applyBorder="1"/>
    <xf numFmtId="10" fontId="106" fillId="59" borderId="5" xfId="4" applyNumberFormat="1" applyFont="1" applyFill="1" applyBorder="1" applyAlignment="1">
      <alignment horizontal="center"/>
    </xf>
    <xf numFmtId="178" fontId="106" fillId="59" borderId="4" xfId="2" applyNumberFormat="1" applyFont="1" applyFill="1" applyBorder="1" applyAlignment="1">
      <alignment horizontal="center"/>
    </xf>
    <xf numFmtId="169" fontId="45" fillId="59" borderId="0" xfId="0" applyNumberFormat="1" applyFont="1" applyFill="1"/>
    <xf numFmtId="165" fontId="32" fillId="59" borderId="6" xfId="2" applyFont="1" applyFill="1" applyBorder="1" applyAlignment="1">
      <alignment horizontal="center"/>
    </xf>
    <xf numFmtId="10" fontId="32" fillId="59" borderId="5" xfId="4" applyNumberFormat="1" applyFont="1" applyFill="1" applyBorder="1" applyAlignment="1">
      <alignment horizontal="center"/>
    </xf>
    <xf numFmtId="0" fontId="0" fillId="0" borderId="42" xfId="0" applyBorder="1" applyAlignment="1">
      <alignment vertical="top" wrapText="1"/>
    </xf>
    <xf numFmtId="197" fontId="0" fillId="0" borderId="0" xfId="0" applyNumberFormat="1"/>
    <xf numFmtId="202" fontId="0" fillId="0" borderId="0" xfId="3" applyNumberFormat="1" applyFont="1"/>
    <xf numFmtId="0" fontId="111" fillId="0" borderId="42" xfId="0" applyFont="1" applyBorder="1" applyAlignment="1">
      <alignment horizontal="center" vertical="center"/>
    </xf>
    <xf numFmtId="0" fontId="112" fillId="0" borderId="0" xfId="0" applyFont="1"/>
    <xf numFmtId="0" fontId="109" fillId="61" borderId="0" xfId="0" applyFont="1" applyFill="1" applyAlignment="1">
      <alignment horizontal="center" vertical="center" wrapText="1"/>
    </xf>
    <xf numFmtId="203" fontId="0" fillId="0" borderId="42" xfId="0" applyNumberFormat="1" applyBorder="1" applyAlignment="1">
      <alignment vertical="top" wrapText="1"/>
    </xf>
    <xf numFmtId="10" fontId="0" fillId="0" borderId="42" xfId="0" applyNumberFormat="1" applyBorder="1" applyAlignment="1">
      <alignment vertical="top" wrapText="1"/>
    </xf>
    <xf numFmtId="173" fontId="0" fillId="0" borderId="0" xfId="4" applyNumberFormat="1" applyFont="1"/>
    <xf numFmtId="164" fontId="38" fillId="2" borderId="0" xfId="0" applyNumberFormat="1" applyFont="1" applyFill="1"/>
    <xf numFmtId="0" fontId="11" fillId="0" borderId="42" xfId="0" applyFont="1" applyBorder="1" applyAlignment="1">
      <alignment vertical="top" wrapText="1"/>
    </xf>
    <xf numFmtId="10" fontId="89" fillId="59" borderId="5" xfId="4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9" fontId="109" fillId="61" borderId="4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09" fillId="61" borderId="42" xfId="0" applyFont="1" applyFill="1" applyBorder="1" applyAlignment="1">
      <alignment horizontal="center" vertical="top" wrapText="1"/>
    </xf>
    <xf numFmtId="0" fontId="102" fillId="52" borderId="0" xfId="0" applyFont="1" applyFill="1"/>
    <xf numFmtId="202" fontId="102" fillId="52" borderId="0" xfId="3" applyNumberFormat="1" applyFont="1" applyFill="1"/>
    <xf numFmtId="202" fontId="113" fillId="52" borderId="0" xfId="3" applyNumberFormat="1" applyFont="1" applyFill="1"/>
    <xf numFmtId="0" fontId="113" fillId="52" borderId="0" xfId="0" applyFont="1" applyFill="1"/>
    <xf numFmtId="202" fontId="114" fillId="52" borderId="0" xfId="3" applyNumberFormat="1" applyFont="1" applyFill="1"/>
    <xf numFmtId="202" fontId="115" fillId="0" borderId="42" xfId="3" applyNumberFormat="1" applyFont="1" applyBorder="1" applyAlignment="1">
      <alignment vertical="top" wrapText="1"/>
    </xf>
    <xf numFmtId="202" fontId="54" fillId="0" borderId="42" xfId="3" applyNumberFormat="1" applyFont="1" applyBorder="1" applyAlignment="1">
      <alignment vertical="top" wrapText="1"/>
    </xf>
    <xf numFmtId="164" fontId="54" fillId="0" borderId="42" xfId="3" applyFont="1" applyBorder="1" applyAlignment="1">
      <alignment vertical="top" wrapText="1"/>
    </xf>
    <xf numFmtId="202" fontId="116" fillId="0" borderId="42" xfId="3" applyNumberFormat="1" applyFont="1" applyBorder="1" applyAlignment="1">
      <alignment vertical="top" wrapText="1"/>
    </xf>
    <xf numFmtId="202" fontId="117" fillId="0" borderId="42" xfId="3" applyNumberFormat="1" applyFont="1" applyBorder="1" applyAlignment="1">
      <alignment vertical="top" wrapText="1"/>
    </xf>
    <xf numFmtId="164" fontId="116" fillId="0" borderId="42" xfId="3" applyFont="1" applyBorder="1" applyAlignment="1">
      <alignment vertical="top" wrapText="1"/>
    </xf>
    <xf numFmtId="202" fontId="64" fillId="0" borderId="42" xfId="3" applyNumberFormat="1" applyFont="1" applyBorder="1" applyAlignment="1">
      <alignment vertical="top" wrapText="1"/>
    </xf>
    <xf numFmtId="164" fontId="64" fillId="0" borderId="42" xfId="3" applyFont="1" applyBorder="1" applyAlignment="1">
      <alignment vertical="top" wrapText="1"/>
    </xf>
    <xf numFmtId="1" fontId="54" fillId="0" borderId="42" xfId="0" applyNumberFormat="1" applyFont="1" applyBorder="1" applyAlignment="1">
      <alignment vertical="top" wrapText="1"/>
    </xf>
    <xf numFmtId="1" fontId="64" fillId="0" borderId="0" xfId="0" applyNumberFormat="1" applyFont="1" applyAlignment="1">
      <alignment vertical="top" wrapText="1"/>
    </xf>
    <xf numFmtId="0" fontId="101" fillId="57" borderId="42" xfId="0" applyFont="1" applyFill="1" applyBorder="1" applyAlignment="1">
      <alignment vertical="top" wrapText="1"/>
    </xf>
    <xf numFmtId="0" fontId="101" fillId="56" borderId="42" xfId="0" applyFont="1" applyFill="1" applyBorder="1" applyAlignment="1">
      <alignment vertical="top" wrapText="1"/>
    </xf>
    <xf numFmtId="174" fontId="21" fillId="55" borderId="0" xfId="2" applyNumberFormat="1" applyFont="1" applyFill="1" applyBorder="1"/>
    <xf numFmtId="14" fontId="93" fillId="0" borderId="0" xfId="1411" applyNumberFormat="1" applyFont="1" applyFill="1"/>
    <xf numFmtId="164" fontId="93" fillId="0" borderId="0" xfId="3" applyFont="1" applyFill="1"/>
    <xf numFmtId="173" fontId="11" fillId="0" borderId="28" xfId="4" applyNumberFormat="1" applyBorder="1"/>
    <xf numFmtId="173" fontId="11" fillId="0" borderId="3" xfId="4" applyNumberFormat="1" applyBorder="1"/>
    <xf numFmtId="173" fontId="11" fillId="0" borderId="3" xfId="5" applyNumberFormat="1" applyBorder="1"/>
    <xf numFmtId="173" fontId="11" fillId="0" borderId="15" xfId="4" applyNumberFormat="1" applyBorder="1"/>
    <xf numFmtId="0" fontId="14" fillId="0" borderId="23" xfId="5" applyFont="1" applyBorder="1"/>
    <xf numFmtId="0" fontId="14" fillId="0" borderId="2" xfId="5" applyFont="1" applyBorder="1"/>
    <xf numFmtId="196" fontId="14" fillId="0" borderId="0" xfId="3" applyNumberFormat="1" applyFont="1"/>
    <xf numFmtId="192" fontId="14" fillId="0" borderId="0" xfId="3" applyNumberFormat="1" applyFont="1"/>
    <xf numFmtId="196" fontId="11" fillId="0" borderId="0" xfId="3" applyNumberFormat="1" applyFill="1"/>
    <xf numFmtId="192" fontId="11" fillId="0" borderId="0" xfId="5" applyNumberFormat="1"/>
    <xf numFmtId="196" fontId="97" fillId="0" borderId="0" xfId="3" applyNumberFormat="1" applyFont="1"/>
    <xf numFmtId="196" fontId="97" fillId="0" borderId="0" xfId="0" applyNumberFormat="1" applyFont="1"/>
    <xf numFmtId="0" fontId="97" fillId="52" borderId="0" xfId="0" applyFont="1" applyFill="1"/>
    <xf numFmtId="0" fontId="14" fillId="52" borderId="0" xfId="0" applyFont="1" applyFill="1"/>
    <xf numFmtId="196" fontId="14" fillId="52" borderId="0" xfId="0" applyNumberFormat="1" applyFont="1" applyFill="1"/>
    <xf numFmtId="173" fontId="14" fillId="0" borderId="0" xfId="4" applyNumberFormat="1" applyFont="1" applyAlignment="1">
      <alignment horizontal="center"/>
    </xf>
    <xf numFmtId="0" fontId="14" fillId="52" borderId="0" xfId="0" applyFont="1" applyFill="1" applyAlignment="1">
      <alignment horizontal="center"/>
    </xf>
    <xf numFmtId="197" fontId="11" fillId="0" borderId="0" xfId="5" applyNumberFormat="1"/>
    <xf numFmtId="180" fontId="0" fillId="0" borderId="0" xfId="0" applyNumberFormat="1"/>
    <xf numFmtId="10" fontId="92" fillId="2" borderId="0" xfId="4" applyNumberFormat="1" applyFont="1" applyFill="1" applyBorder="1"/>
    <xf numFmtId="173" fontId="11" fillId="0" borderId="0" xfId="4" applyNumberFormat="1"/>
    <xf numFmtId="43" fontId="21" fillId="18" borderId="0" xfId="2" applyNumberFormat="1" applyFont="1" applyFill="1" applyBorder="1"/>
    <xf numFmtId="178" fontId="19" fillId="18" borderId="0" xfId="0" applyNumberFormat="1" applyFont="1" applyFill="1"/>
    <xf numFmtId="0" fontId="11" fillId="0" borderId="1" xfId="0" applyFont="1" applyBorder="1"/>
    <xf numFmtId="0" fontId="38" fillId="2" borderId="0" xfId="0" applyFont="1" applyFill="1" applyAlignment="1">
      <alignment horizontal="center"/>
    </xf>
    <xf numFmtId="170" fontId="34" fillId="2" borderId="0" xfId="2" applyNumberFormat="1" applyFont="1" applyFill="1" applyAlignment="1">
      <alignment horizontal="center"/>
    </xf>
    <xf numFmtId="170" fontId="34" fillId="56" borderId="0" xfId="2" applyNumberFormat="1" applyFont="1" applyFill="1" applyAlignment="1">
      <alignment horizontal="center"/>
    </xf>
    <xf numFmtId="0" fontId="29" fillId="1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14" fillId="12" borderId="0" xfId="2" applyFont="1" applyFill="1" applyAlignment="1">
      <alignment horizontal="center"/>
    </xf>
    <xf numFmtId="0" fontId="35" fillId="2" borderId="29" xfId="0" applyFont="1" applyFill="1" applyBorder="1" applyAlignment="1">
      <alignment horizontal="center" vertical="center"/>
    </xf>
    <xf numFmtId="0" fontId="35" fillId="2" borderId="30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43" fillId="15" borderId="0" xfId="0" applyFont="1" applyFill="1" applyAlignment="1">
      <alignment horizontal="center"/>
    </xf>
    <xf numFmtId="0" fontId="29" fillId="13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81" fillId="0" borderId="12" xfId="5" applyFont="1" applyBorder="1" applyAlignment="1">
      <alignment horizontal="center"/>
    </xf>
    <xf numFmtId="0" fontId="81" fillId="0" borderId="32" xfId="5" applyFont="1" applyBorder="1" applyAlignment="1">
      <alignment horizontal="center"/>
    </xf>
    <xf numFmtId="0" fontId="81" fillId="0" borderId="22" xfId="5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3" fontId="90" fillId="53" borderId="0" xfId="5" applyNumberFormat="1" applyFont="1" applyFill="1" applyAlignment="1">
      <alignment horizontal="center"/>
    </xf>
    <xf numFmtId="3" fontId="89" fillId="53" borderId="23" xfId="5" applyNumberFormat="1" applyFont="1" applyFill="1" applyBorder="1" applyAlignment="1">
      <alignment horizontal="center"/>
    </xf>
    <xf numFmtId="3" fontId="89" fillId="53" borderId="28" xfId="5" applyNumberFormat="1" applyFont="1" applyFill="1" applyBorder="1" applyAlignment="1">
      <alignment horizontal="center"/>
    </xf>
    <xf numFmtId="0" fontId="89" fillId="53" borderId="23" xfId="5" applyFont="1" applyFill="1" applyBorder="1" applyAlignment="1">
      <alignment horizontal="center"/>
    </xf>
    <xf numFmtId="0" fontId="89" fillId="53" borderId="28" xfId="5" applyFont="1" applyFill="1" applyBorder="1" applyAlignment="1">
      <alignment horizontal="center"/>
    </xf>
    <xf numFmtId="0" fontId="29" fillId="12" borderId="0" xfId="5" applyFont="1" applyFill="1" applyAlignment="1">
      <alignment horizontal="center" vertical="center"/>
    </xf>
    <xf numFmtId="0" fontId="11" fillId="0" borderId="0" xfId="5" applyAlignment="1">
      <alignment horizontal="center" vertical="center"/>
    </xf>
    <xf numFmtId="0" fontId="21" fillId="12" borderId="0" xfId="5" applyFont="1" applyFill="1" applyAlignment="1">
      <alignment horizontal="center" vertical="center"/>
    </xf>
    <xf numFmtId="0" fontId="14" fillId="12" borderId="0" xfId="5" applyFont="1" applyFill="1" applyAlignment="1">
      <alignment horizontal="center"/>
    </xf>
    <xf numFmtId="0" fontId="11" fillId="12" borderId="0" xfId="5" applyFill="1" applyAlignment="1">
      <alignment horizontal="center"/>
    </xf>
    <xf numFmtId="0" fontId="107" fillId="0" borderId="0" xfId="0" applyFont="1"/>
    <xf numFmtId="0" fontId="0" fillId="0" borderId="0" xfId="0"/>
    <xf numFmtId="0" fontId="108" fillId="6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0" fillId="0" borderId="0" xfId="0" applyFont="1" applyAlignment="1">
      <alignment vertical="top" wrapText="1"/>
    </xf>
    <xf numFmtId="0" fontId="108" fillId="60" borderId="0" xfId="0" applyFont="1" applyFill="1"/>
  </cellXfs>
  <cellStyles count="1413">
    <cellStyle name="20% - Énfasis1" xfId="22" builtinId="30" customBuiltin="1"/>
    <cellStyle name="20% - Énfasis1 2" xfId="51" xr:uid="{00000000-0005-0000-0000-000001000000}"/>
    <cellStyle name="20% - Énfasis1 2 2" xfId="94" xr:uid="{1191E3B5-70D5-4C87-B301-8ECA217AE265}"/>
    <cellStyle name="20% - Énfasis1 2 2 2" xfId="180" xr:uid="{83C2C2B1-7562-4F98-AD5A-ECDB1D429CE1}"/>
    <cellStyle name="20% - Énfasis1 2 2 2 2" xfId="352" xr:uid="{BB411BD9-8176-4AAF-A209-6B6243042448}"/>
    <cellStyle name="20% - Énfasis1 2 2 2 2 2" xfId="696" xr:uid="{A3A2E914-4038-4311-AA45-247209CCFFD7}"/>
    <cellStyle name="20% - Énfasis1 2 2 2 2 2 2" xfId="1384" xr:uid="{5056ACBF-1277-467C-AB3F-70E2C6D70B34}"/>
    <cellStyle name="20% - Énfasis1 2 2 2 2 3" xfId="1040" xr:uid="{A54E3F27-A1CC-4790-911C-634647A417DE}"/>
    <cellStyle name="20% - Énfasis1 2 2 2 3" xfId="524" xr:uid="{51816E70-35C0-4C66-9880-2CE20CFAADE8}"/>
    <cellStyle name="20% - Énfasis1 2 2 2 3 2" xfId="1212" xr:uid="{24417FA6-5B1E-4037-829C-94685CAF7159}"/>
    <cellStyle name="20% - Énfasis1 2 2 2 4" xfId="868" xr:uid="{F3BB0792-3B62-4ED2-8D5D-7AEB614492D8}"/>
    <cellStyle name="20% - Énfasis1 2 2 3" xfId="266" xr:uid="{8D54E6B4-9427-4A3C-B029-AB6B09F7D921}"/>
    <cellStyle name="20% - Énfasis1 2 2 3 2" xfId="610" xr:uid="{55F58242-FA8C-497A-8C94-BA8AB9F4FAD7}"/>
    <cellStyle name="20% - Énfasis1 2 2 3 2 2" xfId="1298" xr:uid="{A4CAB16C-07FB-4522-B489-6F466517A7DD}"/>
    <cellStyle name="20% - Énfasis1 2 2 3 3" xfId="954" xr:uid="{B2FDD7B4-0273-45DB-958C-C4F5F5D6775B}"/>
    <cellStyle name="20% - Énfasis1 2 2 4" xfId="438" xr:uid="{BF91E4EC-D2B4-4EA1-B6B6-99486CAA5A52}"/>
    <cellStyle name="20% - Énfasis1 2 2 4 2" xfId="1126" xr:uid="{A7172AF2-674A-470E-93B1-2BFF04E2A27F}"/>
    <cellStyle name="20% - Énfasis1 2 2 5" xfId="782" xr:uid="{A8AC078C-9F8F-4FC8-97B3-ECF88EB2B9D0}"/>
    <cellStyle name="20% - Énfasis1 2 3" xfId="137" xr:uid="{315F0DB2-6D45-44AF-833C-75A5C6E2BD04}"/>
    <cellStyle name="20% - Énfasis1 2 3 2" xfId="309" xr:uid="{5925349C-4087-4E38-AAFA-169773BDA8EA}"/>
    <cellStyle name="20% - Énfasis1 2 3 2 2" xfId="653" xr:uid="{6C09CB62-C33B-4690-95AA-C0349E68C7B7}"/>
    <cellStyle name="20% - Énfasis1 2 3 2 2 2" xfId="1341" xr:uid="{E7138F8E-9432-4C4E-888F-8ABF52E99B60}"/>
    <cellStyle name="20% - Énfasis1 2 3 2 3" xfId="997" xr:uid="{1EC5A78C-01FD-447B-AB0D-79215CBF8D67}"/>
    <cellStyle name="20% - Énfasis1 2 3 3" xfId="481" xr:uid="{0D529663-9D70-45A1-AB7C-B9E5157AABBE}"/>
    <cellStyle name="20% - Énfasis1 2 3 3 2" xfId="1169" xr:uid="{ECA0A1AA-EC21-4A62-9E61-E3239593FECD}"/>
    <cellStyle name="20% - Énfasis1 2 3 4" xfId="825" xr:uid="{46ABF3FD-8D5B-4DAF-BB27-6A0277451023}"/>
    <cellStyle name="20% - Énfasis1 2 4" xfId="223" xr:uid="{12D70C4D-98C8-4EB9-ABC2-9AF9ED01A4E6}"/>
    <cellStyle name="20% - Énfasis1 2 4 2" xfId="567" xr:uid="{582CDFA9-17AE-4B6B-A17F-805EA7D5224A}"/>
    <cellStyle name="20% - Énfasis1 2 4 2 2" xfId="1255" xr:uid="{0C001C9D-4ECE-4C9A-8F1C-7B468631A69C}"/>
    <cellStyle name="20% - Énfasis1 2 4 3" xfId="911" xr:uid="{D225E630-31A7-48C4-B398-AD065FD5F143}"/>
    <cellStyle name="20% - Énfasis1 2 5" xfId="395" xr:uid="{31125537-CA0A-4BE4-9CE1-FD14B742F5AC}"/>
    <cellStyle name="20% - Énfasis1 2 5 2" xfId="1083" xr:uid="{CD626EFC-1F80-4BE8-B911-936F1C6CCBFA}"/>
    <cellStyle name="20% - Énfasis1 2 6" xfId="739" xr:uid="{D20DEB9A-2866-48E9-8AC6-C7C888D17B0C}"/>
    <cellStyle name="20% - Énfasis1 3" xfId="65" xr:uid="{00000000-0005-0000-0000-000002000000}"/>
    <cellStyle name="20% - Énfasis1 3 2" xfId="108" xr:uid="{15A64EA2-D9CE-4AE5-9E66-C6DA3655F233}"/>
    <cellStyle name="20% - Énfasis1 3 2 2" xfId="194" xr:uid="{DE8101BB-6544-40DD-9537-35A3E82F61B0}"/>
    <cellStyle name="20% - Énfasis1 3 2 2 2" xfId="366" xr:uid="{01EE98DF-D972-40E5-A211-37DE1CDC6EF4}"/>
    <cellStyle name="20% - Énfasis1 3 2 2 2 2" xfId="710" xr:uid="{8B0BE79E-8CD6-41B0-BFEF-04920AF6C2D3}"/>
    <cellStyle name="20% - Énfasis1 3 2 2 2 2 2" xfId="1398" xr:uid="{FA145811-F014-4035-9EBD-818281B434E0}"/>
    <cellStyle name="20% - Énfasis1 3 2 2 2 3" xfId="1054" xr:uid="{8350FE5F-EB1E-4D16-B85B-5E8EF2A38A0C}"/>
    <cellStyle name="20% - Énfasis1 3 2 2 3" xfId="538" xr:uid="{008572DB-9332-42F6-9EC9-66E1030E7127}"/>
    <cellStyle name="20% - Énfasis1 3 2 2 3 2" xfId="1226" xr:uid="{4DCC55AA-3381-4995-B402-3C3D0AA1CF18}"/>
    <cellStyle name="20% - Énfasis1 3 2 2 4" xfId="882" xr:uid="{5EE521A2-0776-462D-9A93-26846EE4BFC6}"/>
    <cellStyle name="20% - Énfasis1 3 2 3" xfId="280" xr:uid="{04E0B13E-45D0-42FE-AEAC-F51E99422FEA}"/>
    <cellStyle name="20% - Énfasis1 3 2 3 2" xfId="624" xr:uid="{423BE3F3-0CC0-4B33-A641-456721F74E95}"/>
    <cellStyle name="20% - Énfasis1 3 2 3 2 2" xfId="1312" xr:uid="{91BB7A9D-BC18-40E8-A83B-FA729F3EA597}"/>
    <cellStyle name="20% - Énfasis1 3 2 3 3" xfId="968" xr:uid="{796D1F91-6A68-45BC-A4C7-8F9E4181EA26}"/>
    <cellStyle name="20% - Énfasis1 3 2 4" xfId="452" xr:uid="{D048A14F-5238-418A-BA0F-BBBD2B19230B}"/>
    <cellStyle name="20% - Énfasis1 3 2 4 2" xfId="1140" xr:uid="{C14EF3CB-4CFC-4314-A256-D071B4FF213B}"/>
    <cellStyle name="20% - Énfasis1 3 2 5" xfId="796" xr:uid="{CDA33305-D038-4286-BD3C-F9B2DF5182CC}"/>
    <cellStyle name="20% - Énfasis1 3 3" xfId="151" xr:uid="{77338944-43FE-4E37-8A14-D3A692301CE3}"/>
    <cellStyle name="20% - Énfasis1 3 3 2" xfId="323" xr:uid="{DFD40C56-4303-4F6E-9126-2FD674E023BC}"/>
    <cellStyle name="20% - Énfasis1 3 3 2 2" xfId="667" xr:uid="{C97F9540-99A5-435B-B99C-0E83A6433D29}"/>
    <cellStyle name="20% - Énfasis1 3 3 2 2 2" xfId="1355" xr:uid="{7DDDD3BE-F161-4B13-8E3D-D021666EDFF2}"/>
    <cellStyle name="20% - Énfasis1 3 3 2 3" xfId="1011" xr:uid="{6C7D8CE7-9714-4821-BFC8-318A94A9CD3C}"/>
    <cellStyle name="20% - Énfasis1 3 3 3" xfId="495" xr:uid="{FE9ECE65-BF7A-4059-AE10-836B0326AD16}"/>
    <cellStyle name="20% - Énfasis1 3 3 3 2" xfId="1183" xr:uid="{F4E0BC4E-82A1-480C-8C7E-F111087C1661}"/>
    <cellStyle name="20% - Énfasis1 3 3 4" xfId="839" xr:uid="{389DDEB7-2B43-4BFE-B27D-F054716CC27D}"/>
    <cellStyle name="20% - Énfasis1 3 4" xfId="237" xr:uid="{0E68A97A-4CB5-48D2-97E9-C99BCEDB92AA}"/>
    <cellStyle name="20% - Énfasis1 3 4 2" xfId="581" xr:uid="{47C147C3-E3ED-41F8-8B85-6E1A119A6A9E}"/>
    <cellStyle name="20% - Énfasis1 3 4 2 2" xfId="1269" xr:uid="{168AF4A8-0B48-4BFC-BD9D-922D398EC288}"/>
    <cellStyle name="20% - Énfasis1 3 4 3" xfId="925" xr:uid="{499D0CDC-6F06-4FED-A540-7E756096DFB7}"/>
    <cellStyle name="20% - Énfasis1 3 5" xfId="409" xr:uid="{F897F980-1315-481B-8B31-D455DCD47782}"/>
    <cellStyle name="20% - Énfasis1 3 5 2" xfId="1097" xr:uid="{8A69EA8A-DF30-4ADD-ACFF-79766E275789}"/>
    <cellStyle name="20% - Énfasis1 3 6" xfId="753" xr:uid="{759EB740-8878-451A-96BD-CF3E4B53C1F6}"/>
    <cellStyle name="20% - Énfasis1 4" xfId="78" xr:uid="{8C5F3977-5D58-41EC-A4CF-0BC43CBA026A}"/>
    <cellStyle name="20% - Énfasis1 4 2" xfId="164" xr:uid="{510469A7-47A3-4E39-8CDD-E05CC79B3A23}"/>
    <cellStyle name="20% - Énfasis1 4 2 2" xfId="336" xr:uid="{FACC22AD-F40C-4110-9BAE-45FC1699B2C6}"/>
    <cellStyle name="20% - Énfasis1 4 2 2 2" xfId="680" xr:uid="{1DB7EC99-345C-48D6-AF9D-4810C7EF73C0}"/>
    <cellStyle name="20% - Énfasis1 4 2 2 2 2" xfId="1368" xr:uid="{F3C03D1B-BA9D-4539-9EB8-39C01D50A31F}"/>
    <cellStyle name="20% - Énfasis1 4 2 2 3" xfId="1024" xr:uid="{EECEB120-721F-4AE7-8AF5-43127BCCFBC8}"/>
    <cellStyle name="20% - Énfasis1 4 2 3" xfId="508" xr:uid="{0B729A9D-0DA4-494D-AD6E-2C886D8A2765}"/>
    <cellStyle name="20% - Énfasis1 4 2 3 2" xfId="1196" xr:uid="{E43B09C4-2BBD-4AF5-92FF-BEC9F5376EA5}"/>
    <cellStyle name="20% - Énfasis1 4 2 4" xfId="852" xr:uid="{CAEBA9FB-A74A-42F7-8580-D3430DF41F98}"/>
    <cellStyle name="20% - Énfasis1 4 3" xfId="250" xr:uid="{B2CE11A7-43B1-4001-9015-E58FBD4D212E}"/>
    <cellStyle name="20% - Énfasis1 4 3 2" xfId="594" xr:uid="{392F03BD-A4D8-41DC-80FE-48DE2A93FF3F}"/>
    <cellStyle name="20% - Énfasis1 4 3 2 2" xfId="1282" xr:uid="{6E3571AB-7602-4C15-9400-284BC97EA3AC}"/>
    <cellStyle name="20% - Énfasis1 4 3 3" xfId="938" xr:uid="{BAA6D7B5-C8E5-40DD-9ACA-D86970188532}"/>
    <cellStyle name="20% - Énfasis1 4 4" xfId="422" xr:uid="{576B6391-AFB3-4D6C-9991-65FDD345E516}"/>
    <cellStyle name="20% - Énfasis1 4 4 2" xfId="1110" xr:uid="{268001E4-10F1-4590-80AA-1CBF6B6D8114}"/>
    <cellStyle name="20% - Énfasis1 4 5" xfId="766" xr:uid="{C106EE06-8544-4028-8203-065827731813}"/>
    <cellStyle name="20% - Énfasis1 5" xfId="121" xr:uid="{FBD0B489-4155-4F14-AD9F-A86F33128B8D}"/>
    <cellStyle name="20% - Énfasis1 5 2" xfId="293" xr:uid="{5BDDA0D5-08E5-4773-B957-698F69FA9951}"/>
    <cellStyle name="20% - Énfasis1 5 2 2" xfId="637" xr:uid="{FCBD089E-9940-4CE6-932C-C88F6FD0A066}"/>
    <cellStyle name="20% - Énfasis1 5 2 2 2" xfId="1325" xr:uid="{2CB24343-3EC7-4D12-9148-7501938111DF}"/>
    <cellStyle name="20% - Énfasis1 5 2 3" xfId="981" xr:uid="{76D44964-FAB2-4017-ACD4-92A15F8F0E1B}"/>
    <cellStyle name="20% - Énfasis1 5 3" xfId="465" xr:uid="{23584AC7-BA25-4C46-AC32-49A7FD3B6961}"/>
    <cellStyle name="20% - Énfasis1 5 3 2" xfId="1153" xr:uid="{65E94D24-3039-43DE-8C57-A202D621D6F8}"/>
    <cellStyle name="20% - Énfasis1 5 4" xfId="809" xr:uid="{DA00EDE3-2062-4E55-AC4A-EE7A88B1CDA7}"/>
    <cellStyle name="20% - Énfasis1 6" xfId="207" xr:uid="{F32EB3E3-13E1-4FD2-9AA0-0AA9B578E3E9}"/>
    <cellStyle name="20% - Énfasis1 6 2" xfId="551" xr:uid="{3AF4AF95-35B8-41F7-AAEC-E5A66638B96F}"/>
    <cellStyle name="20% - Énfasis1 6 2 2" xfId="1239" xr:uid="{65CC336D-3F4C-47D7-81EE-DBF49EEBC093}"/>
    <cellStyle name="20% - Énfasis1 6 3" xfId="895" xr:uid="{DFA4C485-5565-4336-AB8D-F27CBE1FC570}"/>
    <cellStyle name="20% - Énfasis1 7" xfId="379" xr:uid="{B735BFA8-8292-4641-95D7-E679F6B117E0}"/>
    <cellStyle name="20% - Énfasis1 7 2" xfId="1067" xr:uid="{878DA3AD-C7F0-48D3-9A89-00522E3FF017}"/>
    <cellStyle name="20% - Énfasis1 8" xfId="723" xr:uid="{0C675A9C-1BAC-4039-ADBC-30E406D1B5F4}"/>
    <cellStyle name="20% - Énfasis2" xfId="25" builtinId="34" customBuiltin="1"/>
    <cellStyle name="20% - Énfasis2 2" xfId="53" xr:uid="{00000000-0005-0000-0000-000004000000}"/>
    <cellStyle name="20% - Énfasis2 2 2" xfId="96" xr:uid="{F9348E99-4CC8-4556-851D-9B4158EB3543}"/>
    <cellStyle name="20% - Énfasis2 2 2 2" xfId="182" xr:uid="{B633D690-0DC3-4B85-A1A3-A9CE02D3D467}"/>
    <cellStyle name="20% - Énfasis2 2 2 2 2" xfId="354" xr:uid="{0AB360EE-C0B9-473F-862D-EA9547CC1A2C}"/>
    <cellStyle name="20% - Énfasis2 2 2 2 2 2" xfId="698" xr:uid="{751CCCA7-5746-44A0-8775-081D8DD3B2EB}"/>
    <cellStyle name="20% - Énfasis2 2 2 2 2 2 2" xfId="1386" xr:uid="{FA8244E9-1187-4BC8-9686-602E61A05680}"/>
    <cellStyle name="20% - Énfasis2 2 2 2 2 3" xfId="1042" xr:uid="{5CCB0B7C-D920-4B80-ADE0-112E57FD6AB4}"/>
    <cellStyle name="20% - Énfasis2 2 2 2 3" xfId="526" xr:uid="{18619816-A26D-4499-BA31-62B6D2B6438A}"/>
    <cellStyle name="20% - Énfasis2 2 2 2 3 2" xfId="1214" xr:uid="{168E7C42-3645-47E1-B0A2-B6412CAFE4F9}"/>
    <cellStyle name="20% - Énfasis2 2 2 2 4" xfId="870" xr:uid="{B09C9C13-E862-40EB-9D9B-54DC4DD86764}"/>
    <cellStyle name="20% - Énfasis2 2 2 3" xfId="268" xr:uid="{05656C0D-6052-4295-92DB-0F0410293D34}"/>
    <cellStyle name="20% - Énfasis2 2 2 3 2" xfId="612" xr:uid="{6C16E542-C732-4984-B766-A5B524C725D6}"/>
    <cellStyle name="20% - Énfasis2 2 2 3 2 2" xfId="1300" xr:uid="{8B4CD4C1-50F6-4EAE-AF0A-F5731EFAB2FA}"/>
    <cellStyle name="20% - Énfasis2 2 2 3 3" xfId="956" xr:uid="{701DA1CC-B225-46A4-806B-4DC56C2BFB51}"/>
    <cellStyle name="20% - Énfasis2 2 2 4" xfId="440" xr:uid="{C5AB2422-1DB5-4435-B155-605531D77359}"/>
    <cellStyle name="20% - Énfasis2 2 2 4 2" xfId="1128" xr:uid="{9C2FB38C-2938-4B0D-BFE0-E71B24AD976F}"/>
    <cellStyle name="20% - Énfasis2 2 2 5" xfId="784" xr:uid="{4451F82E-E827-426F-9CC8-246270B9D82A}"/>
    <cellStyle name="20% - Énfasis2 2 3" xfId="139" xr:uid="{F191D4E4-962F-429F-BF6F-5A1F7B654460}"/>
    <cellStyle name="20% - Énfasis2 2 3 2" xfId="311" xr:uid="{E0B123C1-7BB3-45D5-9BA2-34A4AC882B38}"/>
    <cellStyle name="20% - Énfasis2 2 3 2 2" xfId="655" xr:uid="{A280253A-3C40-4B78-BAC2-B3403D5AA54B}"/>
    <cellStyle name="20% - Énfasis2 2 3 2 2 2" xfId="1343" xr:uid="{829E674C-7FD0-43CE-AE5B-3B877C4F847D}"/>
    <cellStyle name="20% - Énfasis2 2 3 2 3" xfId="999" xr:uid="{3D7AF77A-429F-4352-8DD1-A2CA6F7CDBD0}"/>
    <cellStyle name="20% - Énfasis2 2 3 3" xfId="483" xr:uid="{8480622A-771F-44F2-B3FD-A260FBA2128B}"/>
    <cellStyle name="20% - Énfasis2 2 3 3 2" xfId="1171" xr:uid="{C1229F1A-6A31-4EC8-A2CF-10DB70F38BE9}"/>
    <cellStyle name="20% - Énfasis2 2 3 4" xfId="827" xr:uid="{AEC4E18C-2083-4AE9-A145-76B96129343F}"/>
    <cellStyle name="20% - Énfasis2 2 4" xfId="225" xr:uid="{605C1462-121E-427F-87A0-FB273A394307}"/>
    <cellStyle name="20% - Énfasis2 2 4 2" xfId="569" xr:uid="{D97387FB-5FC2-42CE-BA4D-BB8C6AD31AC5}"/>
    <cellStyle name="20% - Énfasis2 2 4 2 2" xfId="1257" xr:uid="{7521BC59-437D-4CA5-8AA7-1DA3821422BF}"/>
    <cellStyle name="20% - Énfasis2 2 4 3" xfId="913" xr:uid="{35346818-36B5-49EB-97A1-3295B1EE5084}"/>
    <cellStyle name="20% - Énfasis2 2 5" xfId="397" xr:uid="{9C77DF8C-7345-4A7D-8C7E-40D63B9EC330}"/>
    <cellStyle name="20% - Énfasis2 2 5 2" xfId="1085" xr:uid="{11E7C8D5-F3C1-4A04-9E0C-66AFAA8A43DE}"/>
    <cellStyle name="20% - Énfasis2 2 6" xfId="741" xr:uid="{CD82C631-9B27-4E51-8D5D-F34BE37587A1}"/>
    <cellStyle name="20% - Énfasis2 3" xfId="67" xr:uid="{00000000-0005-0000-0000-000005000000}"/>
    <cellStyle name="20% - Énfasis2 3 2" xfId="110" xr:uid="{7366EC88-0118-4F8A-9AC2-369A74678C4D}"/>
    <cellStyle name="20% - Énfasis2 3 2 2" xfId="196" xr:uid="{0B265A26-7946-460A-86B5-6ABC8E71B166}"/>
    <cellStyle name="20% - Énfasis2 3 2 2 2" xfId="368" xr:uid="{10A5B7E7-D95B-42D8-BAEE-221561CEBA36}"/>
    <cellStyle name="20% - Énfasis2 3 2 2 2 2" xfId="712" xr:uid="{8868B9E4-7C36-4A01-AE27-2B6BC7CEBC06}"/>
    <cellStyle name="20% - Énfasis2 3 2 2 2 2 2" xfId="1400" xr:uid="{6970BD9B-F2E0-4A9B-A06C-4B3F8D892890}"/>
    <cellStyle name="20% - Énfasis2 3 2 2 2 3" xfId="1056" xr:uid="{9DCC69EF-7DD6-4842-938E-5EAC3B7125BF}"/>
    <cellStyle name="20% - Énfasis2 3 2 2 3" xfId="540" xr:uid="{F8E68E6E-933B-4203-A22B-6FE86843E45A}"/>
    <cellStyle name="20% - Énfasis2 3 2 2 3 2" xfId="1228" xr:uid="{7EEE1B10-A217-482A-99B7-31607D4AA4DF}"/>
    <cellStyle name="20% - Énfasis2 3 2 2 4" xfId="884" xr:uid="{FBAE85F4-D07F-4723-A150-575E2085A255}"/>
    <cellStyle name="20% - Énfasis2 3 2 3" xfId="282" xr:uid="{ECCF69A4-EECF-4B25-A25E-D635F01F1FC3}"/>
    <cellStyle name="20% - Énfasis2 3 2 3 2" xfId="626" xr:uid="{16AC1214-189D-4F86-87EF-8AB9BB60377A}"/>
    <cellStyle name="20% - Énfasis2 3 2 3 2 2" xfId="1314" xr:uid="{DBC5FC6C-A9DD-4B53-BB7C-4FD503F31946}"/>
    <cellStyle name="20% - Énfasis2 3 2 3 3" xfId="970" xr:uid="{B4F26E69-EF90-47CA-9389-870D06C39E74}"/>
    <cellStyle name="20% - Énfasis2 3 2 4" xfId="454" xr:uid="{17A97C07-4054-480C-874D-BC115BB7847C}"/>
    <cellStyle name="20% - Énfasis2 3 2 4 2" xfId="1142" xr:uid="{717EF2D9-D12A-4AEE-8ED1-B776CF774F87}"/>
    <cellStyle name="20% - Énfasis2 3 2 5" xfId="798" xr:uid="{5FC6C405-9BC4-4AFF-AC15-3E52921EF598}"/>
    <cellStyle name="20% - Énfasis2 3 3" xfId="153" xr:uid="{48EC18D4-2B18-4456-95B4-2E3447AD36F3}"/>
    <cellStyle name="20% - Énfasis2 3 3 2" xfId="325" xr:uid="{0407B619-C389-4D96-95C7-F5B55686AF56}"/>
    <cellStyle name="20% - Énfasis2 3 3 2 2" xfId="669" xr:uid="{41A40A4F-23F0-4FB6-BBB1-2A55DE218571}"/>
    <cellStyle name="20% - Énfasis2 3 3 2 2 2" xfId="1357" xr:uid="{0A2083E1-EEB3-4A6F-8165-DB1BB4991648}"/>
    <cellStyle name="20% - Énfasis2 3 3 2 3" xfId="1013" xr:uid="{A0936B6C-DA23-48A3-896F-357596BD6611}"/>
    <cellStyle name="20% - Énfasis2 3 3 3" xfId="497" xr:uid="{5809C0CA-46D4-4A08-96AD-5891CDE77532}"/>
    <cellStyle name="20% - Énfasis2 3 3 3 2" xfId="1185" xr:uid="{63A8068C-C244-4372-94D6-452D4C9616C5}"/>
    <cellStyle name="20% - Énfasis2 3 3 4" xfId="841" xr:uid="{65C338C3-E3C0-413C-A43A-76737605E466}"/>
    <cellStyle name="20% - Énfasis2 3 4" xfId="239" xr:uid="{65D895EE-7FB1-4388-8782-4E98E902E311}"/>
    <cellStyle name="20% - Énfasis2 3 4 2" xfId="583" xr:uid="{62DF9A02-4DD9-4CBD-B353-EE8F65A259CB}"/>
    <cellStyle name="20% - Énfasis2 3 4 2 2" xfId="1271" xr:uid="{6D25972E-A284-46DF-9E25-A0B92FFE7630}"/>
    <cellStyle name="20% - Énfasis2 3 4 3" xfId="927" xr:uid="{9D419744-BDDC-4906-AD7E-E93EE94EEFDB}"/>
    <cellStyle name="20% - Énfasis2 3 5" xfId="411" xr:uid="{80A486BC-5207-40A5-ACC1-4D2C738A27D3}"/>
    <cellStyle name="20% - Énfasis2 3 5 2" xfId="1099" xr:uid="{88FEA3CC-9D19-416F-9EEE-C289959F70EE}"/>
    <cellStyle name="20% - Énfasis2 3 6" xfId="755" xr:uid="{D5DD8CAD-E68B-40FD-BAEB-A68B2C8D6A39}"/>
    <cellStyle name="20% - Énfasis2 4" xfId="80" xr:uid="{F3DEB6B0-2045-4942-93C4-D8BED7CF9BE2}"/>
    <cellStyle name="20% - Énfasis2 4 2" xfId="166" xr:uid="{F5CB87C1-4610-430F-BF3A-51CD2C0FE9E2}"/>
    <cellStyle name="20% - Énfasis2 4 2 2" xfId="338" xr:uid="{54BFAA13-D0B8-492E-AB04-5367D6A09330}"/>
    <cellStyle name="20% - Énfasis2 4 2 2 2" xfId="682" xr:uid="{D3D177A5-DDB5-4416-81BB-09BACD7AB81C}"/>
    <cellStyle name="20% - Énfasis2 4 2 2 2 2" xfId="1370" xr:uid="{DA071331-D0FC-4798-ABC7-FD6F4697C5D1}"/>
    <cellStyle name="20% - Énfasis2 4 2 2 3" xfId="1026" xr:uid="{54BAE3CB-96B4-4DD7-818D-E0CA5F36EE44}"/>
    <cellStyle name="20% - Énfasis2 4 2 3" xfId="510" xr:uid="{D0E392D5-02B6-4B91-9B0E-B88C64FD8C1B}"/>
    <cellStyle name="20% - Énfasis2 4 2 3 2" xfId="1198" xr:uid="{224D506D-9194-421B-AE41-C903A8121C3A}"/>
    <cellStyle name="20% - Énfasis2 4 2 4" xfId="854" xr:uid="{8332BFFC-EF29-438E-9A05-92D874D1CFFD}"/>
    <cellStyle name="20% - Énfasis2 4 3" xfId="252" xr:uid="{6BA442C1-C402-487F-AE76-FCA9B009ECDB}"/>
    <cellStyle name="20% - Énfasis2 4 3 2" xfId="596" xr:uid="{9794583C-3A89-414A-8389-E299CC67B249}"/>
    <cellStyle name="20% - Énfasis2 4 3 2 2" xfId="1284" xr:uid="{4B88A3F6-B005-4369-9222-4314130EB8BC}"/>
    <cellStyle name="20% - Énfasis2 4 3 3" xfId="940" xr:uid="{FC3F7ED9-67E9-4A61-A442-4E31B0865AAE}"/>
    <cellStyle name="20% - Énfasis2 4 4" xfId="424" xr:uid="{AEFFE20B-6E66-4A55-8A81-942F3B674EAF}"/>
    <cellStyle name="20% - Énfasis2 4 4 2" xfId="1112" xr:uid="{B4FCD99D-02D2-4EBF-B089-7AE50D0EF70C}"/>
    <cellStyle name="20% - Énfasis2 4 5" xfId="768" xr:uid="{667F48DA-6967-4B39-85D7-FF4E50AF1450}"/>
    <cellStyle name="20% - Énfasis2 5" xfId="123" xr:uid="{C71D4BDD-5DF9-48A1-87DD-591BF5463BD6}"/>
    <cellStyle name="20% - Énfasis2 5 2" xfId="295" xr:uid="{A2986608-6D1B-4AC3-8206-EADCCEA4D84A}"/>
    <cellStyle name="20% - Énfasis2 5 2 2" xfId="639" xr:uid="{68E68D76-0C68-4873-AD68-C3787FC93269}"/>
    <cellStyle name="20% - Énfasis2 5 2 2 2" xfId="1327" xr:uid="{EC18E55F-5A22-45CB-8A3A-D6B1901B1D13}"/>
    <cellStyle name="20% - Énfasis2 5 2 3" xfId="983" xr:uid="{75F6D5F4-B84D-43BE-AF61-0A86FD6FB4DD}"/>
    <cellStyle name="20% - Énfasis2 5 3" xfId="467" xr:uid="{255B76A8-3F80-4087-AF6D-6BA630133279}"/>
    <cellStyle name="20% - Énfasis2 5 3 2" xfId="1155" xr:uid="{A9CB0570-7058-4934-B742-F0566D39A9D2}"/>
    <cellStyle name="20% - Énfasis2 5 4" xfId="811" xr:uid="{7A9C9448-576D-4CA8-A815-FFB0D8B70BD0}"/>
    <cellStyle name="20% - Énfasis2 6" xfId="209" xr:uid="{C8057297-0C12-4451-8B1D-18CCFC48A7C9}"/>
    <cellStyle name="20% - Énfasis2 6 2" xfId="553" xr:uid="{3A162575-0ADB-4645-AC5B-05189AF0AC0B}"/>
    <cellStyle name="20% - Énfasis2 6 2 2" xfId="1241" xr:uid="{F1327B9F-FD29-47F2-8527-56FE1027C269}"/>
    <cellStyle name="20% - Énfasis2 6 3" xfId="897" xr:uid="{2C6D95D5-25EA-4F72-80D8-08D80056D193}"/>
    <cellStyle name="20% - Énfasis2 7" xfId="381" xr:uid="{ACA5E987-78AB-4A75-94B7-687001484FDF}"/>
    <cellStyle name="20% - Énfasis2 7 2" xfId="1069" xr:uid="{B465E347-9F9D-4976-BCDB-C6D518391CAC}"/>
    <cellStyle name="20% - Énfasis2 8" xfId="725" xr:uid="{06FB299B-FB38-4479-9579-6F9C4BD6B02B}"/>
    <cellStyle name="20% - Énfasis3" xfId="28" builtinId="38" customBuiltin="1"/>
    <cellStyle name="20% - Énfasis3 2" xfId="55" xr:uid="{00000000-0005-0000-0000-000007000000}"/>
    <cellStyle name="20% - Énfasis3 2 2" xfId="98" xr:uid="{84DA9F44-363F-4236-B3B2-8AA49F886209}"/>
    <cellStyle name="20% - Énfasis3 2 2 2" xfId="184" xr:uid="{35D304A3-5CD9-4C02-9822-47FF69396B0F}"/>
    <cellStyle name="20% - Énfasis3 2 2 2 2" xfId="356" xr:uid="{F0F88F6B-D91A-4001-8911-7F67F39031EC}"/>
    <cellStyle name="20% - Énfasis3 2 2 2 2 2" xfId="700" xr:uid="{11D2BAF8-94E6-4505-BF94-1B2E9E148AF8}"/>
    <cellStyle name="20% - Énfasis3 2 2 2 2 2 2" xfId="1388" xr:uid="{A6EF4FA1-58DD-4700-8C14-535470BD6BF6}"/>
    <cellStyle name="20% - Énfasis3 2 2 2 2 3" xfId="1044" xr:uid="{0079C6E6-84C3-4D69-8660-2939C0C4314B}"/>
    <cellStyle name="20% - Énfasis3 2 2 2 3" xfId="528" xr:uid="{13832448-9417-4260-9B5D-989A07258ECB}"/>
    <cellStyle name="20% - Énfasis3 2 2 2 3 2" xfId="1216" xr:uid="{6C4F8F82-2AE5-4906-BB25-797573DF9932}"/>
    <cellStyle name="20% - Énfasis3 2 2 2 4" xfId="872" xr:uid="{15C916B1-C316-4E36-8E54-2FE16124754D}"/>
    <cellStyle name="20% - Énfasis3 2 2 3" xfId="270" xr:uid="{36C76E5E-4137-4609-BDA0-0156AA51F3C4}"/>
    <cellStyle name="20% - Énfasis3 2 2 3 2" xfId="614" xr:uid="{56BEED7C-09DF-4878-8532-4EA31A94178F}"/>
    <cellStyle name="20% - Énfasis3 2 2 3 2 2" xfId="1302" xr:uid="{25EAFA2B-3475-48AF-A0DD-04A97A425297}"/>
    <cellStyle name="20% - Énfasis3 2 2 3 3" xfId="958" xr:uid="{D66A65FF-300A-44E1-9D09-119209CACBDE}"/>
    <cellStyle name="20% - Énfasis3 2 2 4" xfId="442" xr:uid="{C334518E-0DEA-4FFC-B7B3-182221CAB100}"/>
    <cellStyle name="20% - Énfasis3 2 2 4 2" xfId="1130" xr:uid="{F33B791E-C0BA-4FFA-9893-1F6ADB0B583D}"/>
    <cellStyle name="20% - Énfasis3 2 2 5" xfId="786" xr:uid="{F02CE771-CA7E-4C40-B1EF-97E56C1A07C5}"/>
    <cellStyle name="20% - Énfasis3 2 3" xfId="141" xr:uid="{1844C85E-2291-402E-B37A-F6359E0D44D9}"/>
    <cellStyle name="20% - Énfasis3 2 3 2" xfId="313" xr:uid="{F4095B6B-DEB6-45B2-B98C-BBBE7D7DA8D5}"/>
    <cellStyle name="20% - Énfasis3 2 3 2 2" xfId="657" xr:uid="{36FAF53E-B461-4528-98F7-0135023BE7F1}"/>
    <cellStyle name="20% - Énfasis3 2 3 2 2 2" xfId="1345" xr:uid="{26D26976-01F8-45FB-A2F1-F766313EDE36}"/>
    <cellStyle name="20% - Énfasis3 2 3 2 3" xfId="1001" xr:uid="{58E5D876-A507-4B38-912E-692E6BBB78FA}"/>
    <cellStyle name="20% - Énfasis3 2 3 3" xfId="485" xr:uid="{2959E62B-0BF4-42A1-9C32-8CA98F4991F8}"/>
    <cellStyle name="20% - Énfasis3 2 3 3 2" xfId="1173" xr:uid="{2517DE75-07E0-4EB7-B96D-5F4411B1ACD2}"/>
    <cellStyle name="20% - Énfasis3 2 3 4" xfId="829" xr:uid="{F46DD37B-AF4F-4694-A208-FF4442CAB55F}"/>
    <cellStyle name="20% - Énfasis3 2 4" xfId="227" xr:uid="{51414316-776B-480D-A59D-BE1959F62273}"/>
    <cellStyle name="20% - Énfasis3 2 4 2" xfId="571" xr:uid="{F2B44ED4-A30F-475F-9DB9-A0F403FB857F}"/>
    <cellStyle name="20% - Énfasis3 2 4 2 2" xfId="1259" xr:uid="{68245663-8A43-40BE-AD88-63FF645B625B}"/>
    <cellStyle name="20% - Énfasis3 2 4 3" xfId="915" xr:uid="{5EAE1CBC-0575-49AE-A124-46F7158E5FAA}"/>
    <cellStyle name="20% - Énfasis3 2 5" xfId="399" xr:uid="{CEB56660-0274-4DFC-A02C-E193F360A536}"/>
    <cellStyle name="20% - Énfasis3 2 5 2" xfId="1087" xr:uid="{8B403E35-E69E-4AE3-A079-C10A6D437079}"/>
    <cellStyle name="20% - Énfasis3 2 6" xfId="743" xr:uid="{DE0382CF-9018-4756-9ECA-5DB3F9ED52A0}"/>
    <cellStyle name="20% - Énfasis3 3" xfId="69" xr:uid="{00000000-0005-0000-0000-000008000000}"/>
    <cellStyle name="20% - Énfasis3 3 2" xfId="112" xr:uid="{E90C1016-3DB8-4CAE-B21B-4F4D8DA4608C}"/>
    <cellStyle name="20% - Énfasis3 3 2 2" xfId="198" xr:uid="{4D7ECB0D-3AEA-49C2-8E33-0E6AE0EB1140}"/>
    <cellStyle name="20% - Énfasis3 3 2 2 2" xfId="370" xr:uid="{36FFC7E9-0341-4A9C-A065-7A1088FADCCE}"/>
    <cellStyle name="20% - Énfasis3 3 2 2 2 2" xfId="714" xr:uid="{DEF5DFDB-957F-4E5D-AF35-1534DC9EF9BC}"/>
    <cellStyle name="20% - Énfasis3 3 2 2 2 2 2" xfId="1402" xr:uid="{DF3E8EB6-9F38-47AB-968A-7D9345A14CEE}"/>
    <cellStyle name="20% - Énfasis3 3 2 2 2 3" xfId="1058" xr:uid="{8A036B3B-82C1-485D-B8DE-FD25D8FFACF2}"/>
    <cellStyle name="20% - Énfasis3 3 2 2 3" xfId="542" xr:uid="{3F835D06-15F8-4220-836F-4F2D667AF941}"/>
    <cellStyle name="20% - Énfasis3 3 2 2 3 2" xfId="1230" xr:uid="{6E0375BB-B70E-4F9B-BAC1-03651FFA3CCC}"/>
    <cellStyle name="20% - Énfasis3 3 2 2 4" xfId="886" xr:uid="{D8EC3649-0A89-46C7-8128-0CEF6088FB74}"/>
    <cellStyle name="20% - Énfasis3 3 2 3" xfId="284" xr:uid="{0795DA90-FE15-4CAD-A1EC-60FC33BC9900}"/>
    <cellStyle name="20% - Énfasis3 3 2 3 2" xfId="628" xr:uid="{3AFE1860-960B-47FC-8433-E28D60E07F28}"/>
    <cellStyle name="20% - Énfasis3 3 2 3 2 2" xfId="1316" xr:uid="{0C19CE01-99DC-4D63-B5FE-07584385134D}"/>
    <cellStyle name="20% - Énfasis3 3 2 3 3" xfId="972" xr:uid="{BCF22ECA-5086-4C47-B3E0-53E81D02582C}"/>
    <cellStyle name="20% - Énfasis3 3 2 4" xfId="456" xr:uid="{894CC0B6-F28F-48A7-A5D3-E7FE49D0ADEB}"/>
    <cellStyle name="20% - Énfasis3 3 2 4 2" xfId="1144" xr:uid="{ADD0BB15-E22F-4959-B6B1-6F95E9E78EA6}"/>
    <cellStyle name="20% - Énfasis3 3 2 5" xfId="800" xr:uid="{529886F9-C38B-4AC0-9D30-086978D70840}"/>
    <cellStyle name="20% - Énfasis3 3 3" xfId="155" xr:uid="{ED190F8A-F936-407E-9A52-5DB1FEE8163F}"/>
    <cellStyle name="20% - Énfasis3 3 3 2" xfId="327" xr:uid="{6459C2FD-70E8-4D1D-A80F-BBC7D303C62A}"/>
    <cellStyle name="20% - Énfasis3 3 3 2 2" xfId="671" xr:uid="{8B362E5B-C9DD-4B8F-947D-B4EE0B8D4255}"/>
    <cellStyle name="20% - Énfasis3 3 3 2 2 2" xfId="1359" xr:uid="{8F7A722C-ABD5-4B06-A954-33D84794EABC}"/>
    <cellStyle name="20% - Énfasis3 3 3 2 3" xfId="1015" xr:uid="{B19F8722-97D9-4A63-B92C-9AC117625710}"/>
    <cellStyle name="20% - Énfasis3 3 3 3" xfId="499" xr:uid="{BA82C101-C5A7-4300-8184-B289FBA9555F}"/>
    <cellStyle name="20% - Énfasis3 3 3 3 2" xfId="1187" xr:uid="{C6FB3BF1-176C-4811-9F18-0DD85E483F83}"/>
    <cellStyle name="20% - Énfasis3 3 3 4" xfId="843" xr:uid="{DC157ECE-6194-471D-8054-EE774F4114D9}"/>
    <cellStyle name="20% - Énfasis3 3 4" xfId="241" xr:uid="{4D9C3103-F831-4CCA-9218-2AF90BCB8568}"/>
    <cellStyle name="20% - Énfasis3 3 4 2" xfId="585" xr:uid="{362970A6-C9B9-452D-B38C-16DFE8927276}"/>
    <cellStyle name="20% - Énfasis3 3 4 2 2" xfId="1273" xr:uid="{7CE3A04A-9676-4612-A7CC-22DC5EE77E84}"/>
    <cellStyle name="20% - Énfasis3 3 4 3" xfId="929" xr:uid="{5A1E9C69-1D85-4F3B-955F-C17C839AFD43}"/>
    <cellStyle name="20% - Énfasis3 3 5" xfId="413" xr:uid="{071395BD-6614-4B8D-8651-17DEE8B15877}"/>
    <cellStyle name="20% - Énfasis3 3 5 2" xfId="1101" xr:uid="{8A11749B-4239-4F70-816E-FEF881F1AA99}"/>
    <cellStyle name="20% - Énfasis3 3 6" xfId="757" xr:uid="{8FC5FB7F-9ECC-42E3-A841-9E3C93436F7E}"/>
    <cellStyle name="20% - Énfasis3 4" xfId="82" xr:uid="{7A6368E0-31C8-449F-8167-A981917FFEA2}"/>
    <cellStyle name="20% - Énfasis3 4 2" xfId="168" xr:uid="{AB13F20F-9292-435C-A512-B9C3DBBCE817}"/>
    <cellStyle name="20% - Énfasis3 4 2 2" xfId="340" xr:uid="{F30D45B3-BFF5-4220-BA17-F32BFEECED7D}"/>
    <cellStyle name="20% - Énfasis3 4 2 2 2" xfId="684" xr:uid="{4D6F49C2-73C2-496B-8BEA-A360AB5C856B}"/>
    <cellStyle name="20% - Énfasis3 4 2 2 2 2" xfId="1372" xr:uid="{6AD14177-FE6C-40D7-8B83-407F70DFEB55}"/>
    <cellStyle name="20% - Énfasis3 4 2 2 3" xfId="1028" xr:uid="{B8BB055F-216C-4C78-AE21-7ECBB14E4619}"/>
    <cellStyle name="20% - Énfasis3 4 2 3" xfId="512" xr:uid="{4377F523-CBC2-4D75-9AEE-B85A57153228}"/>
    <cellStyle name="20% - Énfasis3 4 2 3 2" xfId="1200" xr:uid="{D8E1B3BC-BDFE-47F1-9995-BF56870454FB}"/>
    <cellStyle name="20% - Énfasis3 4 2 4" xfId="856" xr:uid="{8EDCB228-DEC4-4B9E-95DC-8048D70FDB16}"/>
    <cellStyle name="20% - Énfasis3 4 3" xfId="254" xr:uid="{3AA4A799-AEFF-4757-83C8-BF5D149598BE}"/>
    <cellStyle name="20% - Énfasis3 4 3 2" xfId="598" xr:uid="{03212B7D-1FFE-4986-B3A7-6BCB969FBFFB}"/>
    <cellStyle name="20% - Énfasis3 4 3 2 2" xfId="1286" xr:uid="{A58DB7AD-BD2A-487D-9F55-5B4EB638DB81}"/>
    <cellStyle name="20% - Énfasis3 4 3 3" xfId="942" xr:uid="{FB9C70CF-14D0-4CBD-812B-69B04C101E7C}"/>
    <cellStyle name="20% - Énfasis3 4 4" xfId="426" xr:uid="{973CF47A-A289-4452-9B84-F7D213F0DA40}"/>
    <cellStyle name="20% - Énfasis3 4 4 2" xfId="1114" xr:uid="{13A6CC20-0EA9-460D-B757-4A5F3E9B3F4F}"/>
    <cellStyle name="20% - Énfasis3 4 5" xfId="770" xr:uid="{BBB46A90-9838-406B-93D1-1D68AE089FA0}"/>
    <cellStyle name="20% - Énfasis3 5" xfId="125" xr:uid="{21FFC456-469B-4C8C-8CA2-E0D4A5E5E87B}"/>
    <cellStyle name="20% - Énfasis3 5 2" xfId="297" xr:uid="{EFD93A32-5BE7-4C1C-AFBB-28DDFCADC85B}"/>
    <cellStyle name="20% - Énfasis3 5 2 2" xfId="641" xr:uid="{FED7C361-5650-4C84-85BE-2687D0510E2B}"/>
    <cellStyle name="20% - Énfasis3 5 2 2 2" xfId="1329" xr:uid="{F6C8C311-34CA-41FF-ACBD-54F0EBC2F614}"/>
    <cellStyle name="20% - Énfasis3 5 2 3" xfId="985" xr:uid="{5D6BE23A-9A9B-429A-8906-E0511132E402}"/>
    <cellStyle name="20% - Énfasis3 5 3" xfId="469" xr:uid="{25FC8551-61F6-49D1-8C61-F21E756A6B41}"/>
    <cellStyle name="20% - Énfasis3 5 3 2" xfId="1157" xr:uid="{702D2426-B16C-4F79-BE07-B92B6F99C460}"/>
    <cellStyle name="20% - Énfasis3 5 4" xfId="813" xr:uid="{002ADD8A-9100-4790-83E3-68C3EB4C8A4A}"/>
    <cellStyle name="20% - Énfasis3 6" xfId="211" xr:uid="{9FF3A614-F4BB-4DA3-83DC-51F8124BCC89}"/>
    <cellStyle name="20% - Énfasis3 6 2" xfId="555" xr:uid="{2467AE25-45C1-492D-9BCE-2DBCE035E5DE}"/>
    <cellStyle name="20% - Énfasis3 6 2 2" xfId="1243" xr:uid="{8F14FB55-44A3-455D-B027-E50ED10C6C1F}"/>
    <cellStyle name="20% - Énfasis3 6 3" xfId="899" xr:uid="{13C3AB0E-8523-476D-8A2A-82A4CF9D1AEF}"/>
    <cellStyle name="20% - Énfasis3 7" xfId="383" xr:uid="{0B9022DF-0056-4F89-9E39-B018C35DD75A}"/>
    <cellStyle name="20% - Énfasis3 7 2" xfId="1071" xr:uid="{D54975F7-31EF-458A-88D4-36F4104CE57F}"/>
    <cellStyle name="20% - Énfasis3 8" xfId="727" xr:uid="{01CD28FF-A932-4752-86A0-2602D0D9C350}"/>
    <cellStyle name="20% - Énfasis4" xfId="31" builtinId="42" customBuiltin="1"/>
    <cellStyle name="20% - Énfasis4 2" xfId="57" xr:uid="{00000000-0005-0000-0000-00000A000000}"/>
    <cellStyle name="20% - Énfasis4 2 2" xfId="100" xr:uid="{0775C886-C75C-42A4-BEA1-7882D1E51D3B}"/>
    <cellStyle name="20% - Énfasis4 2 2 2" xfId="186" xr:uid="{44605E8C-A028-4A62-A7A6-12FEABB447CE}"/>
    <cellStyle name="20% - Énfasis4 2 2 2 2" xfId="358" xr:uid="{B79C0D04-E0B1-43CA-8986-1BF9DF7F9392}"/>
    <cellStyle name="20% - Énfasis4 2 2 2 2 2" xfId="702" xr:uid="{90712C2C-804F-4BB7-8FA2-ADA202B279DA}"/>
    <cellStyle name="20% - Énfasis4 2 2 2 2 2 2" xfId="1390" xr:uid="{A24D7996-A043-419C-8A22-42D3F5969F98}"/>
    <cellStyle name="20% - Énfasis4 2 2 2 2 3" xfId="1046" xr:uid="{AC50A167-4756-4B9C-B5D5-3C178780B02A}"/>
    <cellStyle name="20% - Énfasis4 2 2 2 3" xfId="530" xr:uid="{528BD979-EAA9-4368-AE0C-D6E4CE2CACB5}"/>
    <cellStyle name="20% - Énfasis4 2 2 2 3 2" xfId="1218" xr:uid="{27B4974B-EF46-466A-885C-525AF719DDEC}"/>
    <cellStyle name="20% - Énfasis4 2 2 2 4" xfId="874" xr:uid="{3CC14F01-A405-4AEB-B851-595409E85C49}"/>
    <cellStyle name="20% - Énfasis4 2 2 3" xfId="272" xr:uid="{75F84526-E178-4019-A9B4-3C323EF7CE74}"/>
    <cellStyle name="20% - Énfasis4 2 2 3 2" xfId="616" xr:uid="{F1AF06F6-AD62-4ACD-B168-C43352D3FC70}"/>
    <cellStyle name="20% - Énfasis4 2 2 3 2 2" xfId="1304" xr:uid="{A9031944-D705-4FF5-8D95-5CCE8597D586}"/>
    <cellStyle name="20% - Énfasis4 2 2 3 3" xfId="960" xr:uid="{7A3B97E0-E113-46DC-A2F9-8EDBC3C6A705}"/>
    <cellStyle name="20% - Énfasis4 2 2 4" xfId="444" xr:uid="{2AFDE99D-703B-4553-B373-C2E7A0E23576}"/>
    <cellStyle name="20% - Énfasis4 2 2 4 2" xfId="1132" xr:uid="{DFB62D38-762D-47AA-A632-A3E1A2761775}"/>
    <cellStyle name="20% - Énfasis4 2 2 5" xfId="788" xr:uid="{98159524-2D74-4C3B-B121-A8CC6955E221}"/>
    <cellStyle name="20% - Énfasis4 2 3" xfId="143" xr:uid="{46BD13F3-E665-4D1F-9658-83F52315C6D1}"/>
    <cellStyle name="20% - Énfasis4 2 3 2" xfId="315" xr:uid="{170DC333-6501-4530-B78C-9FCF6BB07ED9}"/>
    <cellStyle name="20% - Énfasis4 2 3 2 2" xfId="659" xr:uid="{720787BF-A3FA-4613-8A28-46FF7AD123CC}"/>
    <cellStyle name="20% - Énfasis4 2 3 2 2 2" xfId="1347" xr:uid="{E153FB66-5D04-4C46-881E-3C9DAF475F63}"/>
    <cellStyle name="20% - Énfasis4 2 3 2 3" xfId="1003" xr:uid="{22FB8EB5-CC0A-498E-A40A-A9E9A6AE736C}"/>
    <cellStyle name="20% - Énfasis4 2 3 3" xfId="487" xr:uid="{E9D8A30B-3802-4551-BA65-36700DCA7F9C}"/>
    <cellStyle name="20% - Énfasis4 2 3 3 2" xfId="1175" xr:uid="{4453A59B-9574-4E91-96B3-7EA092CC50EA}"/>
    <cellStyle name="20% - Énfasis4 2 3 4" xfId="831" xr:uid="{932CB603-0E86-4C96-939B-35EB5ACB1151}"/>
    <cellStyle name="20% - Énfasis4 2 4" xfId="229" xr:uid="{7BF0EB68-C0D0-4418-809E-F288E6532185}"/>
    <cellStyle name="20% - Énfasis4 2 4 2" xfId="573" xr:uid="{633BD6CA-5D60-46BF-8F86-AE3916F8951A}"/>
    <cellStyle name="20% - Énfasis4 2 4 2 2" xfId="1261" xr:uid="{BEF7EEFC-FE6C-4A6B-A8CD-88A554C71B42}"/>
    <cellStyle name="20% - Énfasis4 2 4 3" xfId="917" xr:uid="{1F17EE0E-4EC3-42D6-AA82-DC09CF3345E5}"/>
    <cellStyle name="20% - Énfasis4 2 5" xfId="401" xr:uid="{CC253FA6-950F-4760-AEB0-27C10F7A4BAD}"/>
    <cellStyle name="20% - Énfasis4 2 5 2" xfId="1089" xr:uid="{DE8851F8-C4F5-4E14-9C87-9234B66F07E3}"/>
    <cellStyle name="20% - Énfasis4 2 6" xfId="745" xr:uid="{12A0DA25-6E68-4197-AFA7-EB245CA86477}"/>
    <cellStyle name="20% - Énfasis4 3" xfId="71" xr:uid="{00000000-0005-0000-0000-00000B000000}"/>
    <cellStyle name="20% - Énfasis4 3 2" xfId="114" xr:uid="{510560C3-130C-446E-B1A9-80523581137B}"/>
    <cellStyle name="20% - Énfasis4 3 2 2" xfId="200" xr:uid="{2BB6746F-2E8C-40E2-BA90-BF872597B8C0}"/>
    <cellStyle name="20% - Énfasis4 3 2 2 2" xfId="372" xr:uid="{F9E178FC-9429-4068-B174-4A14CC393DCC}"/>
    <cellStyle name="20% - Énfasis4 3 2 2 2 2" xfId="716" xr:uid="{B9B494E4-AF62-4C93-AA1F-03310C9D7E60}"/>
    <cellStyle name="20% - Énfasis4 3 2 2 2 2 2" xfId="1404" xr:uid="{58123A4C-C84B-4A4D-9DFE-D71BF8E32723}"/>
    <cellStyle name="20% - Énfasis4 3 2 2 2 3" xfId="1060" xr:uid="{AEF9350B-4467-4061-BD04-B4067EAB4A15}"/>
    <cellStyle name="20% - Énfasis4 3 2 2 3" xfId="544" xr:uid="{4477320D-5DA7-4328-BFB1-437C890690EE}"/>
    <cellStyle name="20% - Énfasis4 3 2 2 3 2" xfId="1232" xr:uid="{E53061A1-6D25-453A-8B67-ADE2DCEBC08E}"/>
    <cellStyle name="20% - Énfasis4 3 2 2 4" xfId="888" xr:uid="{81891978-977C-4520-B92D-834DDFB67E40}"/>
    <cellStyle name="20% - Énfasis4 3 2 3" xfId="286" xr:uid="{00169EEE-B5AC-42FE-BF5F-161F61996FA4}"/>
    <cellStyle name="20% - Énfasis4 3 2 3 2" xfId="630" xr:uid="{9B70C41B-C0BD-4629-8F72-C5F3B2E2CECE}"/>
    <cellStyle name="20% - Énfasis4 3 2 3 2 2" xfId="1318" xr:uid="{2D467225-E75A-46B7-B354-13FB2ACC27EA}"/>
    <cellStyle name="20% - Énfasis4 3 2 3 3" xfId="974" xr:uid="{A6A58DFA-418F-4A2F-83BD-4FB33A63BDBB}"/>
    <cellStyle name="20% - Énfasis4 3 2 4" xfId="458" xr:uid="{B5E60A6E-E430-4563-814D-C0B0DC15EAC4}"/>
    <cellStyle name="20% - Énfasis4 3 2 4 2" xfId="1146" xr:uid="{4F1197F0-0D02-4D5E-AAE6-DFF14B2C6A1B}"/>
    <cellStyle name="20% - Énfasis4 3 2 5" xfId="802" xr:uid="{FFA56214-3CBA-4292-A72E-1858D8D898C0}"/>
    <cellStyle name="20% - Énfasis4 3 3" xfId="157" xr:uid="{47D014D3-D21C-4EDB-9208-FC74BF499DF9}"/>
    <cellStyle name="20% - Énfasis4 3 3 2" xfId="329" xr:uid="{70C72DE4-311E-4329-B263-09AB041C8147}"/>
    <cellStyle name="20% - Énfasis4 3 3 2 2" xfId="673" xr:uid="{12600096-946A-418D-8D6B-0512D3C7A5D4}"/>
    <cellStyle name="20% - Énfasis4 3 3 2 2 2" xfId="1361" xr:uid="{05C81BD3-22C6-417E-AD5F-ECD7824F6049}"/>
    <cellStyle name="20% - Énfasis4 3 3 2 3" xfId="1017" xr:uid="{5BB032E2-C5C9-4A7D-9F3A-34ECDAD2F296}"/>
    <cellStyle name="20% - Énfasis4 3 3 3" xfId="501" xr:uid="{F68C3C2F-C2EF-43AC-B5B4-457D530EE692}"/>
    <cellStyle name="20% - Énfasis4 3 3 3 2" xfId="1189" xr:uid="{F8B23ED2-CD57-454F-8B52-6546041FB363}"/>
    <cellStyle name="20% - Énfasis4 3 3 4" xfId="845" xr:uid="{7E0C7EA2-386A-4018-94F6-D515F3414CB5}"/>
    <cellStyle name="20% - Énfasis4 3 4" xfId="243" xr:uid="{AACE7246-5BCF-4FC8-A88F-1F4183DAF0D9}"/>
    <cellStyle name="20% - Énfasis4 3 4 2" xfId="587" xr:uid="{2F8DCE40-DF64-47CC-933D-69E92417E917}"/>
    <cellStyle name="20% - Énfasis4 3 4 2 2" xfId="1275" xr:uid="{35734AB9-B3FF-46CD-B7DE-EAAA6325FC95}"/>
    <cellStyle name="20% - Énfasis4 3 4 3" xfId="931" xr:uid="{D61BF925-6AD2-4E79-A675-BD0469C278A3}"/>
    <cellStyle name="20% - Énfasis4 3 5" xfId="415" xr:uid="{C604BFE5-FCF2-406E-A5C2-6377B14C3549}"/>
    <cellStyle name="20% - Énfasis4 3 5 2" xfId="1103" xr:uid="{590BA117-3B3E-49C6-86EA-BF38AE245443}"/>
    <cellStyle name="20% - Énfasis4 3 6" xfId="759" xr:uid="{8C179F2E-AE0A-44FE-8371-E32E0E3E1C6B}"/>
    <cellStyle name="20% - Énfasis4 4" xfId="84" xr:uid="{01D1F7B7-6ED8-4316-81C1-A730DBA61AD1}"/>
    <cellStyle name="20% - Énfasis4 4 2" xfId="170" xr:uid="{23EDC23D-FD53-4E8F-A900-14CC75620F49}"/>
    <cellStyle name="20% - Énfasis4 4 2 2" xfId="342" xr:uid="{5A22C2C0-A019-41BD-8DA0-450B806CF655}"/>
    <cellStyle name="20% - Énfasis4 4 2 2 2" xfId="686" xr:uid="{2AD6A56B-BBC5-492C-B87C-F732B630D223}"/>
    <cellStyle name="20% - Énfasis4 4 2 2 2 2" xfId="1374" xr:uid="{86822543-A9AC-4942-A146-56D5B42D741B}"/>
    <cellStyle name="20% - Énfasis4 4 2 2 3" xfId="1030" xr:uid="{D9EED400-84E5-4A7E-BABB-CF42DFE58E5C}"/>
    <cellStyle name="20% - Énfasis4 4 2 3" xfId="514" xr:uid="{36EA224C-085D-4BA0-AF71-9A685556EE21}"/>
    <cellStyle name="20% - Énfasis4 4 2 3 2" xfId="1202" xr:uid="{8C6AC62F-E665-4E0C-9C97-19C32C707258}"/>
    <cellStyle name="20% - Énfasis4 4 2 4" xfId="858" xr:uid="{3B7A1E76-FDB3-4D9E-A414-29D97BB4C26F}"/>
    <cellStyle name="20% - Énfasis4 4 3" xfId="256" xr:uid="{F2A9F90E-7AEF-4AA0-8427-28E761800A1E}"/>
    <cellStyle name="20% - Énfasis4 4 3 2" xfId="600" xr:uid="{D68C189C-5952-4997-B7DE-2951AC649601}"/>
    <cellStyle name="20% - Énfasis4 4 3 2 2" xfId="1288" xr:uid="{EFD55D27-C447-4699-A21E-5698EB65F7E0}"/>
    <cellStyle name="20% - Énfasis4 4 3 3" xfId="944" xr:uid="{2FB411FC-06BE-471E-8B3A-559F0EB562FF}"/>
    <cellStyle name="20% - Énfasis4 4 4" xfId="428" xr:uid="{687737A9-AE9F-462A-8B84-1A0926C2C629}"/>
    <cellStyle name="20% - Énfasis4 4 4 2" xfId="1116" xr:uid="{72A1A61C-3E38-4C9A-8DF6-FF951B1FD26D}"/>
    <cellStyle name="20% - Énfasis4 4 5" xfId="772" xr:uid="{E98F19B1-4453-405C-94E4-65A1C01C2C9D}"/>
    <cellStyle name="20% - Énfasis4 5" xfId="127" xr:uid="{53EEF88A-E20A-4D5B-97A5-360AD3E3FB00}"/>
    <cellStyle name="20% - Énfasis4 5 2" xfId="299" xr:uid="{89134D19-6E65-4C00-95C0-299C688B6E96}"/>
    <cellStyle name="20% - Énfasis4 5 2 2" xfId="643" xr:uid="{E9F5C17A-779B-4F9A-B038-6B511A27CA36}"/>
    <cellStyle name="20% - Énfasis4 5 2 2 2" xfId="1331" xr:uid="{53E5A4A3-A34B-4146-B928-3FA22F30C801}"/>
    <cellStyle name="20% - Énfasis4 5 2 3" xfId="987" xr:uid="{CAFF049B-D3BC-48D1-B439-151BDF79C03D}"/>
    <cellStyle name="20% - Énfasis4 5 3" xfId="471" xr:uid="{BFEBFADC-FD9A-4E70-BF10-5F583EFEFDEC}"/>
    <cellStyle name="20% - Énfasis4 5 3 2" xfId="1159" xr:uid="{1F234A62-721E-476C-BA78-1958F9D32BF3}"/>
    <cellStyle name="20% - Énfasis4 5 4" xfId="815" xr:uid="{8B38353D-9007-4A5C-B8B7-49F2D89E0C38}"/>
    <cellStyle name="20% - Énfasis4 6" xfId="213" xr:uid="{E820D8B1-3351-4482-9B81-85ADD10B85F3}"/>
    <cellStyle name="20% - Énfasis4 6 2" xfId="557" xr:uid="{8D0B28E0-974D-4D9F-8718-674E0805BBC1}"/>
    <cellStyle name="20% - Énfasis4 6 2 2" xfId="1245" xr:uid="{B7F1E9BA-DB04-4262-A6FD-3166DA330801}"/>
    <cellStyle name="20% - Énfasis4 6 3" xfId="901" xr:uid="{CDED6EC6-4B82-40C9-AD20-6A2AF9E1C3F3}"/>
    <cellStyle name="20% - Énfasis4 7" xfId="385" xr:uid="{7C882085-385A-44C7-A004-964455E3A2AA}"/>
    <cellStyle name="20% - Énfasis4 7 2" xfId="1073" xr:uid="{4054A96C-1C15-4CAB-9F10-852C98FC2063}"/>
    <cellStyle name="20% - Énfasis4 8" xfId="729" xr:uid="{B8B1BBBB-6A74-4336-8F3B-8D4CD4958EB9}"/>
    <cellStyle name="20% - Énfasis5" xfId="34" builtinId="46" customBuiltin="1"/>
    <cellStyle name="20% - Énfasis5 2" xfId="59" xr:uid="{00000000-0005-0000-0000-00000D000000}"/>
    <cellStyle name="20% - Énfasis5 2 2" xfId="102" xr:uid="{2C162735-54BD-41E2-9A9D-45CBCAACFDF1}"/>
    <cellStyle name="20% - Énfasis5 2 2 2" xfId="188" xr:uid="{1143950E-1899-4739-9671-33574E8A98F8}"/>
    <cellStyle name="20% - Énfasis5 2 2 2 2" xfId="360" xr:uid="{E6E544B0-A037-4935-840D-898CEA47CAE7}"/>
    <cellStyle name="20% - Énfasis5 2 2 2 2 2" xfId="704" xr:uid="{4BA3B792-E394-46A8-99E9-226479A4B957}"/>
    <cellStyle name="20% - Énfasis5 2 2 2 2 2 2" xfId="1392" xr:uid="{0B781E8B-F789-454A-96BF-3958652ECB20}"/>
    <cellStyle name="20% - Énfasis5 2 2 2 2 3" xfId="1048" xr:uid="{D1571409-87F9-4BEF-AA1A-37ED515FAE81}"/>
    <cellStyle name="20% - Énfasis5 2 2 2 3" xfId="532" xr:uid="{1D9C0BF5-4F23-4E0F-A12A-07D09D0ADF5F}"/>
    <cellStyle name="20% - Énfasis5 2 2 2 3 2" xfId="1220" xr:uid="{512ABFF2-3C46-4770-A1F7-2D6E7D1E58AC}"/>
    <cellStyle name="20% - Énfasis5 2 2 2 4" xfId="876" xr:uid="{4F254E0F-3050-4FE4-9C9E-B2A089DBDA59}"/>
    <cellStyle name="20% - Énfasis5 2 2 3" xfId="274" xr:uid="{94AC84FC-4F6F-4746-A58F-DD5E85D8D831}"/>
    <cellStyle name="20% - Énfasis5 2 2 3 2" xfId="618" xr:uid="{2D9AED5C-B2D7-4BEE-A2D2-7DC528D72D61}"/>
    <cellStyle name="20% - Énfasis5 2 2 3 2 2" xfId="1306" xr:uid="{47146654-A5B2-48B3-9727-5FDE3E809B4F}"/>
    <cellStyle name="20% - Énfasis5 2 2 3 3" xfId="962" xr:uid="{5A145E1B-4224-4810-998F-E4451D98E498}"/>
    <cellStyle name="20% - Énfasis5 2 2 4" xfId="446" xr:uid="{7C87E686-69BA-4DE5-8EA3-2085E0AB9B06}"/>
    <cellStyle name="20% - Énfasis5 2 2 4 2" xfId="1134" xr:uid="{4CDD70BE-1C72-4205-8017-65CC9069FBEE}"/>
    <cellStyle name="20% - Énfasis5 2 2 5" xfId="790" xr:uid="{3A900499-669C-47D9-8FB7-C3C40CADCB70}"/>
    <cellStyle name="20% - Énfasis5 2 3" xfId="145" xr:uid="{BE09165D-5E1D-4E7F-8085-34A3C6194E5A}"/>
    <cellStyle name="20% - Énfasis5 2 3 2" xfId="317" xr:uid="{37D68E37-F365-4B91-BF87-0951091D1F54}"/>
    <cellStyle name="20% - Énfasis5 2 3 2 2" xfId="661" xr:uid="{DB61EBB7-1ED3-4166-ADE6-6A1C988A4955}"/>
    <cellStyle name="20% - Énfasis5 2 3 2 2 2" xfId="1349" xr:uid="{98E0E1EC-8626-4C1C-88C2-B05CFEFCADAE}"/>
    <cellStyle name="20% - Énfasis5 2 3 2 3" xfId="1005" xr:uid="{709450E4-5D1C-4881-A1C0-3EEA0CF3DA98}"/>
    <cellStyle name="20% - Énfasis5 2 3 3" xfId="489" xr:uid="{B6539C39-235D-430D-BE8E-027014E91F86}"/>
    <cellStyle name="20% - Énfasis5 2 3 3 2" xfId="1177" xr:uid="{C9E36478-BB7F-49C8-9B7F-DBD5CAB6D896}"/>
    <cellStyle name="20% - Énfasis5 2 3 4" xfId="833" xr:uid="{4266ED98-6664-458D-9E13-C84C9A3FBFF1}"/>
    <cellStyle name="20% - Énfasis5 2 4" xfId="231" xr:uid="{D07FBBF6-BA29-4F10-B717-FCDF199F0BF0}"/>
    <cellStyle name="20% - Énfasis5 2 4 2" xfId="575" xr:uid="{7F45393D-042A-47A8-BB24-885F0E5B0199}"/>
    <cellStyle name="20% - Énfasis5 2 4 2 2" xfId="1263" xr:uid="{B135F746-FAB4-4EF5-A52C-8057FFA08679}"/>
    <cellStyle name="20% - Énfasis5 2 4 3" xfId="919" xr:uid="{CFF82064-61FF-40D4-9E26-30EEC0520258}"/>
    <cellStyle name="20% - Énfasis5 2 5" xfId="403" xr:uid="{0B9FF1DC-EE11-470F-9200-569354A62171}"/>
    <cellStyle name="20% - Énfasis5 2 5 2" xfId="1091" xr:uid="{7853E454-9E8B-431A-BC6A-1939D83F9172}"/>
    <cellStyle name="20% - Énfasis5 2 6" xfId="747" xr:uid="{535838AB-4EB1-43CF-8562-9980C7E9B80F}"/>
    <cellStyle name="20% - Énfasis5 3" xfId="73" xr:uid="{00000000-0005-0000-0000-00000E000000}"/>
    <cellStyle name="20% - Énfasis5 3 2" xfId="116" xr:uid="{4DB54189-1001-4115-AD6C-8A3D8A2D84A6}"/>
    <cellStyle name="20% - Énfasis5 3 2 2" xfId="202" xr:uid="{89B090BE-DF6B-42A6-97AC-76DEAA26C353}"/>
    <cellStyle name="20% - Énfasis5 3 2 2 2" xfId="374" xr:uid="{1E51ECC6-BA7E-403C-9E37-46DFA59695BF}"/>
    <cellStyle name="20% - Énfasis5 3 2 2 2 2" xfId="718" xr:uid="{530557F1-EF86-4621-A06A-A195FDA47DE3}"/>
    <cellStyle name="20% - Énfasis5 3 2 2 2 2 2" xfId="1406" xr:uid="{8B6A8B1C-5145-499D-958D-F928B06BFCB1}"/>
    <cellStyle name="20% - Énfasis5 3 2 2 2 3" xfId="1062" xr:uid="{048584E4-5FBE-4D9B-B27A-065135E2C2E2}"/>
    <cellStyle name="20% - Énfasis5 3 2 2 3" xfId="546" xr:uid="{FC0253F9-D207-4459-9ABF-68AAFB30AE49}"/>
    <cellStyle name="20% - Énfasis5 3 2 2 3 2" xfId="1234" xr:uid="{9B4D244B-3589-4094-A2E8-E4359F15AD28}"/>
    <cellStyle name="20% - Énfasis5 3 2 2 4" xfId="890" xr:uid="{D9B9FCBA-89BF-4B9B-AF20-7EE35527D334}"/>
    <cellStyle name="20% - Énfasis5 3 2 3" xfId="288" xr:uid="{7ABDEEDB-CC42-4B64-8A46-6E0946DC366B}"/>
    <cellStyle name="20% - Énfasis5 3 2 3 2" xfId="632" xr:uid="{DB73A5AC-309F-47E4-81C6-AAF451DFD9D5}"/>
    <cellStyle name="20% - Énfasis5 3 2 3 2 2" xfId="1320" xr:uid="{5A358D11-A2A9-4230-9D69-DAD6761DA6A5}"/>
    <cellStyle name="20% - Énfasis5 3 2 3 3" xfId="976" xr:uid="{0DE58AE0-E95F-46C0-B02A-7A88117A013A}"/>
    <cellStyle name="20% - Énfasis5 3 2 4" xfId="460" xr:uid="{F041165F-2CF3-44FE-A44C-51FD98265A0E}"/>
    <cellStyle name="20% - Énfasis5 3 2 4 2" xfId="1148" xr:uid="{D6809BC8-3A64-48F3-8B9F-3ECC64147CEE}"/>
    <cellStyle name="20% - Énfasis5 3 2 5" xfId="804" xr:uid="{7467ED4F-D213-437D-8301-BE210EC38399}"/>
    <cellStyle name="20% - Énfasis5 3 3" xfId="159" xr:uid="{B3EE10FC-395A-4E38-98C4-EA855F723593}"/>
    <cellStyle name="20% - Énfasis5 3 3 2" xfId="331" xr:uid="{9E74AA70-C9CC-4B25-815A-65B51BE06378}"/>
    <cellStyle name="20% - Énfasis5 3 3 2 2" xfId="675" xr:uid="{63BD70BF-2373-49A6-B461-9D7310BA957D}"/>
    <cellStyle name="20% - Énfasis5 3 3 2 2 2" xfId="1363" xr:uid="{33021A5A-16B0-4EEB-9955-775803D1592D}"/>
    <cellStyle name="20% - Énfasis5 3 3 2 3" xfId="1019" xr:uid="{5D56493B-584E-4465-82B6-BF4FBEF0239A}"/>
    <cellStyle name="20% - Énfasis5 3 3 3" xfId="503" xr:uid="{0F2739C4-3691-4781-8CAD-8A3E387C9B63}"/>
    <cellStyle name="20% - Énfasis5 3 3 3 2" xfId="1191" xr:uid="{97CF7D08-E654-41F8-83EF-7C01B9034F49}"/>
    <cellStyle name="20% - Énfasis5 3 3 4" xfId="847" xr:uid="{D2D57645-A161-4C34-81CF-D09330955CCF}"/>
    <cellStyle name="20% - Énfasis5 3 4" xfId="245" xr:uid="{3CF52C7A-42E7-4AA0-9B19-73A0E66F39A7}"/>
    <cellStyle name="20% - Énfasis5 3 4 2" xfId="589" xr:uid="{D48AB07D-8A28-4B2D-A731-34108AB89643}"/>
    <cellStyle name="20% - Énfasis5 3 4 2 2" xfId="1277" xr:uid="{4F4EB485-9C29-494E-9E1C-8AD66AB129E2}"/>
    <cellStyle name="20% - Énfasis5 3 4 3" xfId="933" xr:uid="{16587E18-B737-4C29-B127-4967651C1F55}"/>
    <cellStyle name="20% - Énfasis5 3 5" xfId="417" xr:uid="{31F4C5A1-BF0F-43A8-99D3-6F1076AA42F6}"/>
    <cellStyle name="20% - Énfasis5 3 5 2" xfId="1105" xr:uid="{751AAC3A-3CD9-4869-A385-8055F2A0DC77}"/>
    <cellStyle name="20% - Énfasis5 3 6" xfId="761" xr:uid="{80040488-1416-4213-B8BD-FE6DBFC343C6}"/>
    <cellStyle name="20% - Énfasis5 4" xfId="86" xr:uid="{08B6490B-7BF1-457D-AB7C-839DABE3549B}"/>
    <cellStyle name="20% - Énfasis5 4 2" xfId="172" xr:uid="{3FDD9326-43E6-42B6-AE52-2B8135264B98}"/>
    <cellStyle name="20% - Énfasis5 4 2 2" xfId="344" xr:uid="{78705BC8-C01E-49D1-B247-0358C0101C00}"/>
    <cellStyle name="20% - Énfasis5 4 2 2 2" xfId="688" xr:uid="{4218D8BF-2C9B-43AD-B3A1-661182A98A02}"/>
    <cellStyle name="20% - Énfasis5 4 2 2 2 2" xfId="1376" xr:uid="{AB500CAD-ADBE-4205-A292-3F29FAE8E7B2}"/>
    <cellStyle name="20% - Énfasis5 4 2 2 3" xfId="1032" xr:uid="{A1F49912-7076-4919-A666-AAC098CA77C9}"/>
    <cellStyle name="20% - Énfasis5 4 2 3" xfId="516" xr:uid="{72CF9060-08A2-443E-8B50-69C0DFEB3C2D}"/>
    <cellStyle name="20% - Énfasis5 4 2 3 2" xfId="1204" xr:uid="{C0898A5E-77C3-4746-AEFE-F21BC9BEA363}"/>
    <cellStyle name="20% - Énfasis5 4 2 4" xfId="860" xr:uid="{F42F7440-6778-4B65-AC2D-AFE99C613BFF}"/>
    <cellStyle name="20% - Énfasis5 4 3" xfId="258" xr:uid="{0A269B4F-2E9A-4159-A4A9-60E6F2209907}"/>
    <cellStyle name="20% - Énfasis5 4 3 2" xfId="602" xr:uid="{28806E2C-A84E-4C88-9BC8-480ABD8799D3}"/>
    <cellStyle name="20% - Énfasis5 4 3 2 2" xfId="1290" xr:uid="{44A7F79E-656C-4215-8160-3CCC3D9D172F}"/>
    <cellStyle name="20% - Énfasis5 4 3 3" xfId="946" xr:uid="{01DFC6C8-315D-457D-849E-0D5DF465A909}"/>
    <cellStyle name="20% - Énfasis5 4 4" xfId="430" xr:uid="{771FBEA0-F64C-4B50-A628-0FAEFDF98EFC}"/>
    <cellStyle name="20% - Énfasis5 4 4 2" xfId="1118" xr:uid="{386166C7-6A3C-4264-965A-16858D96EDFB}"/>
    <cellStyle name="20% - Énfasis5 4 5" xfId="774" xr:uid="{3B014416-F151-4302-B570-3DFC8BD8A974}"/>
    <cellStyle name="20% - Énfasis5 5" xfId="129" xr:uid="{68CBF6D1-0D06-43B7-AFFA-54A2DD3285F1}"/>
    <cellStyle name="20% - Énfasis5 5 2" xfId="301" xr:uid="{7B057613-E9B6-4F08-87A5-CB99B0EBA1C7}"/>
    <cellStyle name="20% - Énfasis5 5 2 2" xfId="645" xr:uid="{4A9B94CF-CD68-4E16-A2E7-A0855A23028E}"/>
    <cellStyle name="20% - Énfasis5 5 2 2 2" xfId="1333" xr:uid="{54372F49-1C48-4C56-8EC5-1ACAF42471B1}"/>
    <cellStyle name="20% - Énfasis5 5 2 3" xfId="989" xr:uid="{80524DC8-8BD1-4EE1-A384-9124630B6D14}"/>
    <cellStyle name="20% - Énfasis5 5 3" xfId="473" xr:uid="{04801EEB-759C-4D84-BD14-A9B1DD62C924}"/>
    <cellStyle name="20% - Énfasis5 5 3 2" xfId="1161" xr:uid="{BBA3787B-F3C5-404E-968E-316CAEBD8AB2}"/>
    <cellStyle name="20% - Énfasis5 5 4" xfId="817" xr:uid="{72C7B63E-F652-40E1-ADD9-05E9D010BC6F}"/>
    <cellStyle name="20% - Énfasis5 6" xfId="215" xr:uid="{EF850433-526B-4A9C-813F-A05E8EC0486A}"/>
    <cellStyle name="20% - Énfasis5 6 2" xfId="559" xr:uid="{F77E4854-2537-4A19-B09E-1A81EB5F10A9}"/>
    <cellStyle name="20% - Énfasis5 6 2 2" xfId="1247" xr:uid="{9D8B89E0-BBFE-4595-ADF3-CDA5CC09A72E}"/>
    <cellStyle name="20% - Énfasis5 6 3" xfId="903" xr:uid="{126FC71B-47C2-4E81-B0D6-8D1CBCC991BB}"/>
    <cellStyle name="20% - Énfasis5 7" xfId="387" xr:uid="{1B7CCB5A-1B0E-43B2-AFFC-C14503168509}"/>
    <cellStyle name="20% - Énfasis5 7 2" xfId="1075" xr:uid="{BEAB2092-5C87-440D-946B-625243B8C5EB}"/>
    <cellStyle name="20% - Énfasis5 8" xfId="731" xr:uid="{E6E80666-5C1B-4303-93D0-FED0DF00758F}"/>
    <cellStyle name="20% - Énfasis6" xfId="37" builtinId="50" customBuiltin="1"/>
    <cellStyle name="20% - Énfasis6 2" xfId="61" xr:uid="{00000000-0005-0000-0000-000010000000}"/>
    <cellStyle name="20% - Énfasis6 2 2" xfId="104" xr:uid="{FCAECE5C-8456-468D-8FA0-F9FB3619C68A}"/>
    <cellStyle name="20% - Énfasis6 2 2 2" xfId="190" xr:uid="{5A6C77A7-89CB-4025-BEE1-D061196AFB4F}"/>
    <cellStyle name="20% - Énfasis6 2 2 2 2" xfId="362" xr:uid="{6C7873E1-ECD5-4743-8777-C1A711422C74}"/>
    <cellStyle name="20% - Énfasis6 2 2 2 2 2" xfId="706" xr:uid="{DA93A69F-CF0A-45E0-9A35-D91B99287C46}"/>
    <cellStyle name="20% - Énfasis6 2 2 2 2 2 2" xfId="1394" xr:uid="{3EA62732-A2B6-495A-ADE0-F29F7917C56A}"/>
    <cellStyle name="20% - Énfasis6 2 2 2 2 3" xfId="1050" xr:uid="{2D2221E7-284E-429C-AA6E-36D982EFD816}"/>
    <cellStyle name="20% - Énfasis6 2 2 2 3" xfId="534" xr:uid="{6FD465C6-2B2D-4542-A89D-16AB9B857DDE}"/>
    <cellStyle name="20% - Énfasis6 2 2 2 3 2" xfId="1222" xr:uid="{4E28017B-CD48-4E5E-A643-F666ABE0CA4D}"/>
    <cellStyle name="20% - Énfasis6 2 2 2 4" xfId="878" xr:uid="{945513A7-BE2E-4BEB-8347-C7F8158D48B5}"/>
    <cellStyle name="20% - Énfasis6 2 2 3" xfId="276" xr:uid="{C2E28BA4-F29C-4B8E-8E91-C955ABC9562F}"/>
    <cellStyle name="20% - Énfasis6 2 2 3 2" xfId="620" xr:uid="{E97DADE5-2774-4312-BA30-9D863D976959}"/>
    <cellStyle name="20% - Énfasis6 2 2 3 2 2" xfId="1308" xr:uid="{C8E99269-0019-4968-A2AB-4F7CC7071757}"/>
    <cellStyle name="20% - Énfasis6 2 2 3 3" xfId="964" xr:uid="{54F77BAB-6785-4082-AAE4-8B41F28E2BD5}"/>
    <cellStyle name="20% - Énfasis6 2 2 4" xfId="448" xr:uid="{122FE4A7-050E-4B08-A33D-99A4528B104F}"/>
    <cellStyle name="20% - Énfasis6 2 2 4 2" xfId="1136" xr:uid="{620C97E7-215C-4070-A255-4A9A51133158}"/>
    <cellStyle name="20% - Énfasis6 2 2 5" xfId="792" xr:uid="{0805EF90-6FB3-4E7A-9A4A-7F7947712484}"/>
    <cellStyle name="20% - Énfasis6 2 3" xfId="147" xr:uid="{D35AD55D-3F82-4120-B36F-98C2852FE477}"/>
    <cellStyle name="20% - Énfasis6 2 3 2" xfId="319" xr:uid="{E877E79D-CB8E-417F-B00B-15A8A7866F39}"/>
    <cellStyle name="20% - Énfasis6 2 3 2 2" xfId="663" xr:uid="{D6A48396-45F1-4524-B4DB-C109C5C7F5AD}"/>
    <cellStyle name="20% - Énfasis6 2 3 2 2 2" xfId="1351" xr:uid="{48B79D3A-7C8E-4C9E-A565-4A469BEC66C4}"/>
    <cellStyle name="20% - Énfasis6 2 3 2 3" xfId="1007" xr:uid="{08AB268A-467D-4ABE-AC4D-304AB7D552CD}"/>
    <cellStyle name="20% - Énfasis6 2 3 3" xfId="491" xr:uid="{066E8791-E9E6-4EA9-9C5A-4371BFD83962}"/>
    <cellStyle name="20% - Énfasis6 2 3 3 2" xfId="1179" xr:uid="{5649CCD8-7D6D-4F91-A837-BC005F2D1506}"/>
    <cellStyle name="20% - Énfasis6 2 3 4" xfId="835" xr:uid="{F0709058-1082-47E6-9B0A-308BAEE672D1}"/>
    <cellStyle name="20% - Énfasis6 2 4" xfId="233" xr:uid="{1B87E2F1-FA2C-49E2-A74C-1C1FF6282AD1}"/>
    <cellStyle name="20% - Énfasis6 2 4 2" xfId="577" xr:uid="{6C643047-ECB4-45EE-98A1-58384E94DBC8}"/>
    <cellStyle name="20% - Énfasis6 2 4 2 2" xfId="1265" xr:uid="{3E973F5F-C3CA-4993-A74D-1EE4065C5F80}"/>
    <cellStyle name="20% - Énfasis6 2 4 3" xfId="921" xr:uid="{7BC727BD-5469-44F5-952C-C038F38B124F}"/>
    <cellStyle name="20% - Énfasis6 2 5" xfId="405" xr:uid="{0B96B833-46E2-4E64-B458-A2957DB30A1D}"/>
    <cellStyle name="20% - Énfasis6 2 5 2" xfId="1093" xr:uid="{35023343-2B22-486C-A815-009AFD344A49}"/>
    <cellStyle name="20% - Énfasis6 2 6" xfId="749" xr:uid="{BB5CFB6F-9E38-41CF-BA5B-A2B39409EFE3}"/>
    <cellStyle name="20% - Énfasis6 3" xfId="75" xr:uid="{00000000-0005-0000-0000-000011000000}"/>
    <cellStyle name="20% - Énfasis6 3 2" xfId="118" xr:uid="{9FA3E646-2959-4442-8148-1031F3DCB7E9}"/>
    <cellStyle name="20% - Énfasis6 3 2 2" xfId="204" xr:uid="{DF3791F3-1E87-4B3D-A7A8-97E6D7239A68}"/>
    <cellStyle name="20% - Énfasis6 3 2 2 2" xfId="376" xr:uid="{6BB5D1A8-AC78-4A6A-9E48-42DD15658876}"/>
    <cellStyle name="20% - Énfasis6 3 2 2 2 2" xfId="720" xr:uid="{453492BE-E19A-45CA-B179-864E6F1B4256}"/>
    <cellStyle name="20% - Énfasis6 3 2 2 2 2 2" xfId="1408" xr:uid="{6AEE543F-48BD-42FB-8D6C-614DDB5B72AF}"/>
    <cellStyle name="20% - Énfasis6 3 2 2 2 3" xfId="1064" xr:uid="{587EB567-ED0B-4282-AA19-82B9687269D3}"/>
    <cellStyle name="20% - Énfasis6 3 2 2 3" xfId="548" xr:uid="{9F20DB25-703B-4D4E-9BC3-E0F46400855F}"/>
    <cellStyle name="20% - Énfasis6 3 2 2 3 2" xfId="1236" xr:uid="{BF80FB9D-3105-4648-9334-CA57402D8C8C}"/>
    <cellStyle name="20% - Énfasis6 3 2 2 4" xfId="892" xr:uid="{97F9F406-211E-4C0F-9495-86683B8DE943}"/>
    <cellStyle name="20% - Énfasis6 3 2 3" xfId="290" xr:uid="{59855B4C-72B9-406E-A981-E2C152182984}"/>
    <cellStyle name="20% - Énfasis6 3 2 3 2" xfId="634" xr:uid="{1D95A71A-DABF-4B43-A4B8-59B823A89BED}"/>
    <cellStyle name="20% - Énfasis6 3 2 3 2 2" xfId="1322" xr:uid="{CABB0B0A-3F6D-497D-A5FE-12B421365B0F}"/>
    <cellStyle name="20% - Énfasis6 3 2 3 3" xfId="978" xr:uid="{50E349D5-6577-4A00-A8B4-41D9064BDDCF}"/>
    <cellStyle name="20% - Énfasis6 3 2 4" xfId="462" xr:uid="{F0240641-846D-4A6B-B7C1-5E632C59A7AF}"/>
    <cellStyle name="20% - Énfasis6 3 2 4 2" xfId="1150" xr:uid="{B5BD3236-36C9-460B-A426-F5C01E759764}"/>
    <cellStyle name="20% - Énfasis6 3 2 5" xfId="806" xr:uid="{A65183AC-8823-40FE-96D5-8644473EB78B}"/>
    <cellStyle name="20% - Énfasis6 3 3" xfId="161" xr:uid="{CE6C3622-713C-4640-A68A-695ED0858435}"/>
    <cellStyle name="20% - Énfasis6 3 3 2" xfId="333" xr:uid="{27704E86-EF37-4BF5-AF3D-CBEF43AAB3C8}"/>
    <cellStyle name="20% - Énfasis6 3 3 2 2" xfId="677" xr:uid="{8893808C-27EB-4DF4-8037-82B66DD2FD80}"/>
    <cellStyle name="20% - Énfasis6 3 3 2 2 2" xfId="1365" xr:uid="{7996A044-2D46-46ED-AB4A-C0D8F77F37CE}"/>
    <cellStyle name="20% - Énfasis6 3 3 2 3" xfId="1021" xr:uid="{58AFF1D0-E682-494D-8F36-4BB1B2F10B76}"/>
    <cellStyle name="20% - Énfasis6 3 3 3" xfId="505" xr:uid="{90BF2B1F-9AA5-4009-A389-774090CC6979}"/>
    <cellStyle name="20% - Énfasis6 3 3 3 2" xfId="1193" xr:uid="{435D3FBF-F6C8-4E6C-A16D-BDCAEC965006}"/>
    <cellStyle name="20% - Énfasis6 3 3 4" xfId="849" xr:uid="{AD7C4B12-C154-43EB-9D62-5B3983F70484}"/>
    <cellStyle name="20% - Énfasis6 3 4" xfId="247" xr:uid="{06F57497-A12A-4B48-8102-64DC0D115597}"/>
    <cellStyle name="20% - Énfasis6 3 4 2" xfId="591" xr:uid="{A9D85D1E-038D-4448-B721-2925626C1010}"/>
    <cellStyle name="20% - Énfasis6 3 4 2 2" xfId="1279" xr:uid="{3FC2BA17-9DC4-4DFF-9DF2-C4FB2AA94E70}"/>
    <cellStyle name="20% - Énfasis6 3 4 3" xfId="935" xr:uid="{A7699E3D-BEA7-4D22-8688-9EC271E04C30}"/>
    <cellStyle name="20% - Énfasis6 3 5" xfId="419" xr:uid="{0F1C1F57-5430-476F-9C7F-A6668FC39B55}"/>
    <cellStyle name="20% - Énfasis6 3 5 2" xfId="1107" xr:uid="{15140BB0-7F7B-45AE-A6DC-6DCCCA540302}"/>
    <cellStyle name="20% - Énfasis6 3 6" xfId="763" xr:uid="{A9045F05-2AEE-46D4-B216-0E1C76A4FA13}"/>
    <cellStyle name="20% - Énfasis6 4" xfId="88" xr:uid="{76E7462C-2152-4CE7-AB5C-C6843868860E}"/>
    <cellStyle name="20% - Énfasis6 4 2" xfId="174" xr:uid="{C7224826-FAF1-48B9-8AAE-7B42F838F90C}"/>
    <cellStyle name="20% - Énfasis6 4 2 2" xfId="346" xr:uid="{1C0EE39E-8E13-4431-8A5C-79B844D028BC}"/>
    <cellStyle name="20% - Énfasis6 4 2 2 2" xfId="690" xr:uid="{B4599F14-58A3-416A-9348-5BC13F03EC85}"/>
    <cellStyle name="20% - Énfasis6 4 2 2 2 2" xfId="1378" xr:uid="{4A35DEC4-4AD1-4F7D-9B71-E281E0B5E845}"/>
    <cellStyle name="20% - Énfasis6 4 2 2 3" xfId="1034" xr:uid="{D2B213F1-C248-407F-B1E7-7997E6DCE72E}"/>
    <cellStyle name="20% - Énfasis6 4 2 3" xfId="518" xr:uid="{39162B99-75D9-492F-B0D2-3F87AF0E60C6}"/>
    <cellStyle name="20% - Énfasis6 4 2 3 2" xfId="1206" xr:uid="{5935FB32-CD74-4C7F-9D8E-144E38E689C9}"/>
    <cellStyle name="20% - Énfasis6 4 2 4" xfId="862" xr:uid="{FBC8AB4E-5830-419F-8ED9-9FBAE2D47871}"/>
    <cellStyle name="20% - Énfasis6 4 3" xfId="260" xr:uid="{9635A804-8F1A-426B-833E-00437A6F2092}"/>
    <cellStyle name="20% - Énfasis6 4 3 2" xfId="604" xr:uid="{3446D56C-09A0-43C5-8760-6835C903E0F5}"/>
    <cellStyle name="20% - Énfasis6 4 3 2 2" xfId="1292" xr:uid="{DAD6461D-ECFE-4961-91BE-6316E1EF48C4}"/>
    <cellStyle name="20% - Énfasis6 4 3 3" xfId="948" xr:uid="{46BB8358-103F-4581-AB37-E217B902BA97}"/>
    <cellStyle name="20% - Énfasis6 4 4" xfId="432" xr:uid="{E2E1A72F-320E-451F-A5FC-504AE3CEB241}"/>
    <cellStyle name="20% - Énfasis6 4 4 2" xfId="1120" xr:uid="{E0315A23-E116-4DF0-B515-B6A5008E6C65}"/>
    <cellStyle name="20% - Énfasis6 4 5" xfId="776" xr:uid="{9BBF6C47-D33C-406B-AF46-3C0223AAE7AC}"/>
    <cellStyle name="20% - Énfasis6 5" xfId="131" xr:uid="{5C5F2DA3-5746-454F-97FB-FA90DC7658E8}"/>
    <cellStyle name="20% - Énfasis6 5 2" xfId="303" xr:uid="{F51C3465-C589-4E1C-8F48-EF41267F0A05}"/>
    <cellStyle name="20% - Énfasis6 5 2 2" xfId="647" xr:uid="{710C2246-C546-4A20-B978-A777265D30C6}"/>
    <cellStyle name="20% - Énfasis6 5 2 2 2" xfId="1335" xr:uid="{A0301FDE-5E05-4E91-B984-95B67F6CD60B}"/>
    <cellStyle name="20% - Énfasis6 5 2 3" xfId="991" xr:uid="{F6E5CB32-9AD1-4552-90FC-8F7CF48E6043}"/>
    <cellStyle name="20% - Énfasis6 5 3" xfId="475" xr:uid="{400F55E5-8696-40CE-9950-BE86F0588374}"/>
    <cellStyle name="20% - Énfasis6 5 3 2" xfId="1163" xr:uid="{A881A376-935C-4063-AC98-923DCD82821D}"/>
    <cellStyle name="20% - Énfasis6 5 4" xfId="819" xr:uid="{6BAC723D-51ED-45F3-996D-5333796A6ACC}"/>
    <cellStyle name="20% - Énfasis6 6" xfId="217" xr:uid="{FC11217D-0EBA-4B61-9B4E-D4A82E82FA1A}"/>
    <cellStyle name="20% - Énfasis6 6 2" xfId="561" xr:uid="{DD17A24A-F6FB-4745-AB95-40664B6C1157}"/>
    <cellStyle name="20% - Énfasis6 6 2 2" xfId="1249" xr:uid="{725E300C-3385-4710-BA36-623301A8B507}"/>
    <cellStyle name="20% - Énfasis6 6 3" xfId="905" xr:uid="{06317D3E-0EEC-4F20-80EA-5218CAE841DD}"/>
    <cellStyle name="20% - Énfasis6 7" xfId="389" xr:uid="{15F25456-4A70-4984-9AAB-7999744F1268}"/>
    <cellStyle name="20% - Énfasis6 7 2" xfId="1077" xr:uid="{9E7278F1-57E2-47E1-A7D2-ACE40D29673C}"/>
    <cellStyle name="20% - Énfasis6 8" xfId="733" xr:uid="{FA3D9ED6-CAC2-4A07-A90C-644C91B14F83}"/>
    <cellStyle name="40% - Énfasis1" xfId="23" builtinId="31" customBuiltin="1"/>
    <cellStyle name="40% - Énfasis1 2" xfId="52" xr:uid="{00000000-0005-0000-0000-000013000000}"/>
    <cellStyle name="40% - Énfasis1 2 2" xfId="95" xr:uid="{3B1600B1-3C30-4D87-946C-86A681AA2E41}"/>
    <cellStyle name="40% - Énfasis1 2 2 2" xfId="181" xr:uid="{3281E80E-F186-4A16-AE67-FF7A980583A8}"/>
    <cellStyle name="40% - Énfasis1 2 2 2 2" xfId="353" xr:uid="{474696A9-FD53-45F9-A1CA-E54E7E0B16BD}"/>
    <cellStyle name="40% - Énfasis1 2 2 2 2 2" xfId="697" xr:uid="{6E8348F4-02FB-41D4-AD84-B7CFFF6CC566}"/>
    <cellStyle name="40% - Énfasis1 2 2 2 2 2 2" xfId="1385" xr:uid="{8FD01B43-5D81-47F1-A0DA-1CA5DB7C9577}"/>
    <cellStyle name="40% - Énfasis1 2 2 2 2 3" xfId="1041" xr:uid="{56B7846D-DA70-4451-8A11-31F270A74900}"/>
    <cellStyle name="40% - Énfasis1 2 2 2 3" xfId="525" xr:uid="{23BD4685-1ADE-4983-8155-F77E65552421}"/>
    <cellStyle name="40% - Énfasis1 2 2 2 3 2" xfId="1213" xr:uid="{59CF45A1-4309-4207-8B5B-B3CFE91F8FA4}"/>
    <cellStyle name="40% - Énfasis1 2 2 2 4" xfId="869" xr:uid="{68C1C5AF-48A8-4692-9978-BD6B0FBDBEF4}"/>
    <cellStyle name="40% - Énfasis1 2 2 3" xfId="267" xr:uid="{BD6ABCCA-93E6-4A7E-848D-05E7135FF003}"/>
    <cellStyle name="40% - Énfasis1 2 2 3 2" xfId="611" xr:uid="{D28E7C78-8ADD-4B2B-AF85-C1ECD43DD198}"/>
    <cellStyle name="40% - Énfasis1 2 2 3 2 2" xfId="1299" xr:uid="{852C1DFC-1919-4BCC-83FD-725754EA0D16}"/>
    <cellStyle name="40% - Énfasis1 2 2 3 3" xfId="955" xr:uid="{11B2EE51-2BCE-4037-9C1C-50B1707C22D3}"/>
    <cellStyle name="40% - Énfasis1 2 2 4" xfId="439" xr:uid="{E4449645-1E68-4CBA-96C6-1D0545199CD5}"/>
    <cellStyle name="40% - Énfasis1 2 2 4 2" xfId="1127" xr:uid="{7189C510-FD05-44DE-AC00-019FEE140A38}"/>
    <cellStyle name="40% - Énfasis1 2 2 5" xfId="783" xr:uid="{C440E40B-68E8-4224-A791-E69F57478D33}"/>
    <cellStyle name="40% - Énfasis1 2 3" xfId="138" xr:uid="{AB03F2FF-DD8D-49E2-B2A7-2C697F6B0486}"/>
    <cellStyle name="40% - Énfasis1 2 3 2" xfId="310" xr:uid="{86F20492-1838-4F25-8DFA-33C288A7C634}"/>
    <cellStyle name="40% - Énfasis1 2 3 2 2" xfId="654" xr:uid="{EAF0F7F1-05CB-4740-86AB-10A19C170336}"/>
    <cellStyle name="40% - Énfasis1 2 3 2 2 2" xfId="1342" xr:uid="{8E5DAB9E-D4C8-434E-B8F4-702A7BBA15B7}"/>
    <cellStyle name="40% - Énfasis1 2 3 2 3" xfId="998" xr:uid="{FCFF3331-27BA-44BA-B0B0-C1D3B40E8504}"/>
    <cellStyle name="40% - Énfasis1 2 3 3" xfId="482" xr:uid="{7411C3BF-D332-4E53-9948-9272D0F7BC80}"/>
    <cellStyle name="40% - Énfasis1 2 3 3 2" xfId="1170" xr:uid="{F629EAB4-E1BA-4A38-8680-2516F4CB1EFC}"/>
    <cellStyle name="40% - Énfasis1 2 3 4" xfId="826" xr:uid="{F69883EB-BDC2-4A35-8959-E830512AAC94}"/>
    <cellStyle name="40% - Énfasis1 2 4" xfId="224" xr:uid="{D486A2A8-5EB7-4924-84F8-031E501C0EB9}"/>
    <cellStyle name="40% - Énfasis1 2 4 2" xfId="568" xr:uid="{CDEE3227-42D7-4E28-969B-8F0422747A1E}"/>
    <cellStyle name="40% - Énfasis1 2 4 2 2" xfId="1256" xr:uid="{31E3778C-5990-4A12-916F-78B463D5DBE1}"/>
    <cellStyle name="40% - Énfasis1 2 4 3" xfId="912" xr:uid="{292F5F41-676A-4741-9D68-AFE2FBC89E47}"/>
    <cellStyle name="40% - Énfasis1 2 5" xfId="396" xr:uid="{C394320D-CDA4-4E4A-9A81-6770F6F20788}"/>
    <cellStyle name="40% - Énfasis1 2 5 2" xfId="1084" xr:uid="{C44F83B4-22AE-47EA-A1EB-58E8A97FC2B8}"/>
    <cellStyle name="40% - Énfasis1 2 6" xfId="740" xr:uid="{BBD8B96C-052C-4DF2-BA77-A012008689DD}"/>
    <cellStyle name="40% - Énfasis1 3" xfId="66" xr:uid="{00000000-0005-0000-0000-000014000000}"/>
    <cellStyle name="40% - Énfasis1 3 2" xfId="109" xr:uid="{F28EF450-728F-4546-A894-4E95E6CCC586}"/>
    <cellStyle name="40% - Énfasis1 3 2 2" xfId="195" xr:uid="{B6826698-6590-4A41-99A5-D89A7F1F667B}"/>
    <cellStyle name="40% - Énfasis1 3 2 2 2" xfId="367" xr:uid="{C93B6DC6-270A-4AAF-82FD-F77434E4F98C}"/>
    <cellStyle name="40% - Énfasis1 3 2 2 2 2" xfId="711" xr:uid="{BA2969EE-B5B8-4346-8E7C-0F5DE442E11F}"/>
    <cellStyle name="40% - Énfasis1 3 2 2 2 2 2" xfId="1399" xr:uid="{FE43E985-A87E-4B1E-B306-28D58391DBE1}"/>
    <cellStyle name="40% - Énfasis1 3 2 2 2 3" xfId="1055" xr:uid="{A126E600-E36C-49D6-8B75-8836DCDFC2B3}"/>
    <cellStyle name="40% - Énfasis1 3 2 2 3" xfId="539" xr:uid="{EC173D5A-11BD-405D-B8F8-44D6C6DBDB8A}"/>
    <cellStyle name="40% - Énfasis1 3 2 2 3 2" xfId="1227" xr:uid="{F2DCDB4D-BEC1-422F-9FF4-DF50FB9DC966}"/>
    <cellStyle name="40% - Énfasis1 3 2 2 4" xfId="883" xr:uid="{90D803D3-11A0-455B-9AD5-E0BCDCA8D69D}"/>
    <cellStyle name="40% - Énfasis1 3 2 3" xfId="281" xr:uid="{6FB6AEA8-A99C-4ACF-919F-DB98355E6B3D}"/>
    <cellStyle name="40% - Énfasis1 3 2 3 2" xfId="625" xr:uid="{740E48DB-9FA0-412F-B731-C878E7CC4DEE}"/>
    <cellStyle name="40% - Énfasis1 3 2 3 2 2" xfId="1313" xr:uid="{296B59AA-82C3-43E7-AC1D-B0C2CB49FAFD}"/>
    <cellStyle name="40% - Énfasis1 3 2 3 3" xfId="969" xr:uid="{21060B68-A730-412F-AFF0-9AAF2C88EAE5}"/>
    <cellStyle name="40% - Énfasis1 3 2 4" xfId="453" xr:uid="{F5222717-2F9E-4591-8328-7E9BA772080F}"/>
    <cellStyle name="40% - Énfasis1 3 2 4 2" xfId="1141" xr:uid="{817B0156-CAFA-4DAC-A6CE-8265C579CB64}"/>
    <cellStyle name="40% - Énfasis1 3 2 5" xfId="797" xr:uid="{8051FA89-5801-4815-9AFD-341844728517}"/>
    <cellStyle name="40% - Énfasis1 3 3" xfId="152" xr:uid="{E99126FA-0825-4125-8634-0B25FBCF7334}"/>
    <cellStyle name="40% - Énfasis1 3 3 2" xfId="324" xr:uid="{135AB66C-69DD-498E-B95D-6559D2516BD9}"/>
    <cellStyle name="40% - Énfasis1 3 3 2 2" xfId="668" xr:uid="{526CE637-52C7-4FD6-9563-E2205E5742AF}"/>
    <cellStyle name="40% - Énfasis1 3 3 2 2 2" xfId="1356" xr:uid="{59FC779D-D073-4495-9C6E-81DFCE965298}"/>
    <cellStyle name="40% - Énfasis1 3 3 2 3" xfId="1012" xr:uid="{C4A6E19D-EBA2-4E84-B409-601AB2B51DE0}"/>
    <cellStyle name="40% - Énfasis1 3 3 3" xfId="496" xr:uid="{0EB76642-549D-453A-BABD-52D2A2E947EF}"/>
    <cellStyle name="40% - Énfasis1 3 3 3 2" xfId="1184" xr:uid="{526F54E5-D0CF-4CC7-ABD9-C40FE4C72309}"/>
    <cellStyle name="40% - Énfasis1 3 3 4" xfId="840" xr:uid="{9CC30849-8234-4539-9AB8-4EDED8CE771A}"/>
    <cellStyle name="40% - Énfasis1 3 4" xfId="238" xr:uid="{F6848740-0C85-4FCA-93F5-616D5A9B54F7}"/>
    <cellStyle name="40% - Énfasis1 3 4 2" xfId="582" xr:uid="{448EE06B-F115-4D12-8CC3-7DF961D80368}"/>
    <cellStyle name="40% - Énfasis1 3 4 2 2" xfId="1270" xr:uid="{8673A936-EC3A-49E2-9079-9C810498B430}"/>
    <cellStyle name="40% - Énfasis1 3 4 3" xfId="926" xr:uid="{857C1CE7-B341-4D79-AED9-FDA9989DB2A0}"/>
    <cellStyle name="40% - Énfasis1 3 5" xfId="410" xr:uid="{16D11433-F50E-49B7-AEE5-2AA8D92E1513}"/>
    <cellStyle name="40% - Énfasis1 3 5 2" xfId="1098" xr:uid="{4F979D35-565F-4348-89C3-FE73F523407E}"/>
    <cellStyle name="40% - Énfasis1 3 6" xfId="754" xr:uid="{5E9920B0-9D85-4387-AA57-B237F5F454A5}"/>
    <cellStyle name="40% - Énfasis1 4" xfId="79" xr:uid="{9F5476AE-BD37-4D13-A28D-948E5CE47640}"/>
    <cellStyle name="40% - Énfasis1 4 2" xfId="165" xr:uid="{BE5C91AB-F9A8-4769-919E-0FF6A35C938F}"/>
    <cellStyle name="40% - Énfasis1 4 2 2" xfId="337" xr:uid="{4E1A45CD-5FB2-498D-8A6C-124AE057348B}"/>
    <cellStyle name="40% - Énfasis1 4 2 2 2" xfId="681" xr:uid="{811B305B-3E27-48E1-A86C-8A9F06793510}"/>
    <cellStyle name="40% - Énfasis1 4 2 2 2 2" xfId="1369" xr:uid="{01496F40-2B0E-49F5-AC28-854F039AEAAC}"/>
    <cellStyle name="40% - Énfasis1 4 2 2 3" xfId="1025" xr:uid="{F4385C64-BA7E-46E8-834F-6136077561CF}"/>
    <cellStyle name="40% - Énfasis1 4 2 3" xfId="509" xr:uid="{961922B6-7050-4BD8-9EF6-7252D00A439F}"/>
    <cellStyle name="40% - Énfasis1 4 2 3 2" xfId="1197" xr:uid="{F62DC526-F9CB-4573-9CCA-4E9585CFF099}"/>
    <cellStyle name="40% - Énfasis1 4 2 4" xfId="853" xr:uid="{5A3E2288-55A3-4FE1-9338-B40F31289EA8}"/>
    <cellStyle name="40% - Énfasis1 4 3" xfId="251" xr:uid="{BE2D761E-6BB6-485B-9CFA-8E0AC7691E9C}"/>
    <cellStyle name="40% - Énfasis1 4 3 2" xfId="595" xr:uid="{BB0299D7-6DA6-4BFE-A54E-675AD0CFBA22}"/>
    <cellStyle name="40% - Énfasis1 4 3 2 2" xfId="1283" xr:uid="{68C065EE-9F40-4621-951A-5FBE54908EB8}"/>
    <cellStyle name="40% - Énfasis1 4 3 3" xfId="939" xr:uid="{FFC2E724-44BB-44BD-AA0B-2C01330C9A53}"/>
    <cellStyle name="40% - Énfasis1 4 4" xfId="423" xr:uid="{AB07BE40-9930-4E43-85A9-76C010D2A0D3}"/>
    <cellStyle name="40% - Énfasis1 4 4 2" xfId="1111" xr:uid="{DAA9E9F5-A513-4575-A16B-5210DC6E3C35}"/>
    <cellStyle name="40% - Énfasis1 4 5" xfId="767" xr:uid="{D938F633-CD51-4B03-BE36-EBAC261308B7}"/>
    <cellStyle name="40% - Énfasis1 5" xfId="122" xr:uid="{ACB54FDC-9719-46E7-BD37-9DD777AB081B}"/>
    <cellStyle name="40% - Énfasis1 5 2" xfId="294" xr:uid="{A37AB430-9892-41FD-A022-422E61965D70}"/>
    <cellStyle name="40% - Énfasis1 5 2 2" xfId="638" xr:uid="{DBE16C5E-E703-4706-A450-B163B7383FD8}"/>
    <cellStyle name="40% - Énfasis1 5 2 2 2" xfId="1326" xr:uid="{65689547-E288-4AAE-A1CE-D4F84A516DFA}"/>
    <cellStyle name="40% - Énfasis1 5 2 3" xfId="982" xr:uid="{B3C8FD60-83A5-47E1-9A0C-0720C5082F2D}"/>
    <cellStyle name="40% - Énfasis1 5 3" xfId="466" xr:uid="{6062C6CA-0B3A-4FC3-B52A-3B32187CF165}"/>
    <cellStyle name="40% - Énfasis1 5 3 2" xfId="1154" xr:uid="{77C96D3C-0009-4BCC-B3D7-76299ED1BCF2}"/>
    <cellStyle name="40% - Énfasis1 5 4" xfId="810" xr:uid="{A584C42C-5528-4D66-86DB-D95459E520D5}"/>
    <cellStyle name="40% - Énfasis1 6" xfId="208" xr:uid="{3B01E856-51D9-4F6D-A724-3F5AD5D87AE7}"/>
    <cellStyle name="40% - Énfasis1 6 2" xfId="552" xr:uid="{8C63A7A8-ED43-4C1C-91F6-6EBDBC173DC7}"/>
    <cellStyle name="40% - Énfasis1 6 2 2" xfId="1240" xr:uid="{83C02D10-938F-4DAC-A78D-17CF93BDE3F8}"/>
    <cellStyle name="40% - Énfasis1 6 3" xfId="896" xr:uid="{11028434-7047-4AAA-AC7A-49AE62945A4F}"/>
    <cellStyle name="40% - Énfasis1 7" xfId="380" xr:uid="{26177C56-D3DB-4155-940A-C590E4F934D5}"/>
    <cellStyle name="40% - Énfasis1 7 2" xfId="1068" xr:uid="{9B8E72DA-388D-495B-9BF5-161741CD1784}"/>
    <cellStyle name="40% - Énfasis1 8" xfId="724" xr:uid="{8DC2D7E6-9CBA-457B-B364-10E2A9E9B985}"/>
    <cellStyle name="40% - Énfasis2" xfId="26" builtinId="35" customBuiltin="1"/>
    <cellStyle name="40% - Énfasis2 2" xfId="54" xr:uid="{00000000-0005-0000-0000-000016000000}"/>
    <cellStyle name="40% - Énfasis2 2 2" xfId="97" xr:uid="{5FB36C8A-7E4E-4BDE-B28D-687426E31B81}"/>
    <cellStyle name="40% - Énfasis2 2 2 2" xfId="183" xr:uid="{BCF412C2-DEF7-4D21-B470-14005B40ECE5}"/>
    <cellStyle name="40% - Énfasis2 2 2 2 2" xfId="355" xr:uid="{512FE1F2-48B5-4AC7-911A-F77F4ABA64C5}"/>
    <cellStyle name="40% - Énfasis2 2 2 2 2 2" xfId="699" xr:uid="{168F9047-BB51-44B1-B794-6F3A4A2D400A}"/>
    <cellStyle name="40% - Énfasis2 2 2 2 2 2 2" xfId="1387" xr:uid="{816DBB86-C2F7-4AB4-9216-4F3C64539B32}"/>
    <cellStyle name="40% - Énfasis2 2 2 2 2 3" xfId="1043" xr:uid="{CD332361-EF16-4006-BC4E-8F194901EE30}"/>
    <cellStyle name="40% - Énfasis2 2 2 2 3" xfId="527" xr:uid="{72E1EC50-A39D-4118-813C-B493BCD635F0}"/>
    <cellStyle name="40% - Énfasis2 2 2 2 3 2" xfId="1215" xr:uid="{4080D19F-9600-4C74-9962-F96E08DC2AB0}"/>
    <cellStyle name="40% - Énfasis2 2 2 2 4" xfId="871" xr:uid="{0E26C9BB-47E0-4F5A-8BD6-A930BBC8BE3A}"/>
    <cellStyle name="40% - Énfasis2 2 2 3" xfId="269" xr:uid="{DECD3381-1B3F-417F-B6CF-8A588E9A2F14}"/>
    <cellStyle name="40% - Énfasis2 2 2 3 2" xfId="613" xr:uid="{CF816AA8-B3DF-48B3-9012-E8006BE4FFE1}"/>
    <cellStyle name="40% - Énfasis2 2 2 3 2 2" xfId="1301" xr:uid="{0EA474F8-C72B-4A6F-A63D-4EACDDE91CF0}"/>
    <cellStyle name="40% - Énfasis2 2 2 3 3" xfId="957" xr:uid="{95F10502-6FA5-4C7B-A942-9A1DB489D3E5}"/>
    <cellStyle name="40% - Énfasis2 2 2 4" xfId="441" xr:uid="{B6952C16-2D66-45A7-88FC-638CC48ECE39}"/>
    <cellStyle name="40% - Énfasis2 2 2 4 2" xfId="1129" xr:uid="{5CF728E2-A601-4D77-8F05-0E7F9EB80097}"/>
    <cellStyle name="40% - Énfasis2 2 2 5" xfId="785" xr:uid="{A938A68C-532B-4DFA-BA8A-8826BA76B7D4}"/>
    <cellStyle name="40% - Énfasis2 2 3" xfId="140" xr:uid="{B2146892-BAFD-4220-A043-0A147F3C2B4C}"/>
    <cellStyle name="40% - Énfasis2 2 3 2" xfId="312" xr:uid="{D7928162-C0EE-455B-AE52-DC985882A9BD}"/>
    <cellStyle name="40% - Énfasis2 2 3 2 2" xfId="656" xr:uid="{4CA89F84-7670-49D8-8327-CF00CA0A3A29}"/>
    <cellStyle name="40% - Énfasis2 2 3 2 2 2" xfId="1344" xr:uid="{88EF032B-6FF5-4AFC-AAE7-5BD4B731D847}"/>
    <cellStyle name="40% - Énfasis2 2 3 2 3" xfId="1000" xr:uid="{AC9C366E-C549-4F9A-9C46-1867E1BCDA9B}"/>
    <cellStyle name="40% - Énfasis2 2 3 3" xfId="484" xr:uid="{FC27D3C9-0988-45E9-8797-512023C89EB3}"/>
    <cellStyle name="40% - Énfasis2 2 3 3 2" xfId="1172" xr:uid="{47C19DAD-19E5-48EF-A90D-74A63DB8D8D1}"/>
    <cellStyle name="40% - Énfasis2 2 3 4" xfId="828" xr:uid="{7D7FF923-23B9-48F3-A51F-840B7DCA5D53}"/>
    <cellStyle name="40% - Énfasis2 2 4" xfId="226" xr:uid="{A71F1A96-53B2-4448-BE8E-B085DF2CEEB7}"/>
    <cellStyle name="40% - Énfasis2 2 4 2" xfId="570" xr:uid="{C6887152-A279-45BC-94BC-B344C9601B3B}"/>
    <cellStyle name="40% - Énfasis2 2 4 2 2" xfId="1258" xr:uid="{D0FE1523-FBEB-44DC-A378-8EB5CD8815DD}"/>
    <cellStyle name="40% - Énfasis2 2 4 3" xfId="914" xr:uid="{8EF20565-6F1D-453B-94DA-1A69A478580B}"/>
    <cellStyle name="40% - Énfasis2 2 5" xfId="398" xr:uid="{531E46D0-AEE0-4A6C-8E1E-063A8FA8C9DE}"/>
    <cellStyle name="40% - Énfasis2 2 5 2" xfId="1086" xr:uid="{CF4FE2B0-0D10-4777-AE5D-DEF19511ADDC}"/>
    <cellStyle name="40% - Énfasis2 2 6" xfId="742" xr:uid="{674574E1-7FB1-49D3-A36D-86860FB6E110}"/>
    <cellStyle name="40% - Énfasis2 3" xfId="68" xr:uid="{00000000-0005-0000-0000-000017000000}"/>
    <cellStyle name="40% - Énfasis2 3 2" xfId="111" xr:uid="{B95D4A1B-0D55-4280-ABE2-4C32694B421B}"/>
    <cellStyle name="40% - Énfasis2 3 2 2" xfId="197" xr:uid="{3FDEDF5E-BC9B-41B8-84F3-98F6E0628CBA}"/>
    <cellStyle name="40% - Énfasis2 3 2 2 2" xfId="369" xr:uid="{84F32104-57E7-45B6-B144-506CBEFDE35D}"/>
    <cellStyle name="40% - Énfasis2 3 2 2 2 2" xfId="713" xr:uid="{5EEBB270-06C7-4DF0-9E2A-6899BB6F4789}"/>
    <cellStyle name="40% - Énfasis2 3 2 2 2 2 2" xfId="1401" xr:uid="{A04F65EE-5F6F-4679-A052-0C8BDF8B58C0}"/>
    <cellStyle name="40% - Énfasis2 3 2 2 2 3" xfId="1057" xr:uid="{E6BFD0E5-DCD6-4B70-A54F-4161FE7E12A1}"/>
    <cellStyle name="40% - Énfasis2 3 2 2 3" xfId="541" xr:uid="{0A61558A-7CE9-4CE9-8E55-D2976283C091}"/>
    <cellStyle name="40% - Énfasis2 3 2 2 3 2" xfId="1229" xr:uid="{44098C2B-D74C-4AF2-AA24-94DF47192BA6}"/>
    <cellStyle name="40% - Énfasis2 3 2 2 4" xfId="885" xr:uid="{BB594A34-4B82-400A-B712-B9695C43B6E0}"/>
    <cellStyle name="40% - Énfasis2 3 2 3" xfId="283" xr:uid="{CB8162F5-AC54-4649-97CA-5AF3392B699E}"/>
    <cellStyle name="40% - Énfasis2 3 2 3 2" xfId="627" xr:uid="{D90FED4C-D1A1-4F91-80CD-235F97FE48BC}"/>
    <cellStyle name="40% - Énfasis2 3 2 3 2 2" xfId="1315" xr:uid="{24424C74-CDF0-4DAA-B400-962BE03591D9}"/>
    <cellStyle name="40% - Énfasis2 3 2 3 3" xfId="971" xr:uid="{F3269E85-E041-466B-B9BE-12F3BD11621C}"/>
    <cellStyle name="40% - Énfasis2 3 2 4" xfId="455" xr:uid="{F09B0F54-6249-4644-A263-141F7C1CA0DF}"/>
    <cellStyle name="40% - Énfasis2 3 2 4 2" xfId="1143" xr:uid="{A27FEE8C-9248-465E-BC53-6675F7D80FA9}"/>
    <cellStyle name="40% - Énfasis2 3 2 5" xfId="799" xr:uid="{8B2DE6D0-C997-4687-8F0F-4061080434AE}"/>
    <cellStyle name="40% - Énfasis2 3 3" xfId="154" xr:uid="{EF23F1CD-013C-42AA-A7FC-8639E09EE30F}"/>
    <cellStyle name="40% - Énfasis2 3 3 2" xfId="326" xr:uid="{F2D7C534-2F3A-4998-A9BC-0B6F038AACA8}"/>
    <cellStyle name="40% - Énfasis2 3 3 2 2" xfId="670" xr:uid="{96ADA82F-5F68-4969-AE47-5118F7FCB129}"/>
    <cellStyle name="40% - Énfasis2 3 3 2 2 2" xfId="1358" xr:uid="{D0C02B7B-1F4E-40CB-A98B-3AC7A7ADE2E0}"/>
    <cellStyle name="40% - Énfasis2 3 3 2 3" xfId="1014" xr:uid="{BFDD3B99-60AF-4BB4-812E-EDF89D8F37CF}"/>
    <cellStyle name="40% - Énfasis2 3 3 3" xfId="498" xr:uid="{673CB3DD-5A51-4B62-AE26-619722B47AD4}"/>
    <cellStyle name="40% - Énfasis2 3 3 3 2" xfId="1186" xr:uid="{77C8E54C-74D7-4F36-93E7-696490465175}"/>
    <cellStyle name="40% - Énfasis2 3 3 4" xfId="842" xr:uid="{AF1A84C9-5906-4EA2-9D8A-AF93AF544066}"/>
    <cellStyle name="40% - Énfasis2 3 4" xfId="240" xr:uid="{2529FDFE-3DEB-4C3A-81F1-BBB95ED595DD}"/>
    <cellStyle name="40% - Énfasis2 3 4 2" xfId="584" xr:uid="{B3222817-0F7F-4DD1-9C3D-F1FB48C02D74}"/>
    <cellStyle name="40% - Énfasis2 3 4 2 2" xfId="1272" xr:uid="{F0481517-DC02-4E66-880E-07052AE4BE4C}"/>
    <cellStyle name="40% - Énfasis2 3 4 3" xfId="928" xr:uid="{F4943A7B-B7B9-4E8B-A642-A0AC9868CBC3}"/>
    <cellStyle name="40% - Énfasis2 3 5" xfId="412" xr:uid="{6859F4A2-0021-4C2D-9F22-BDF02D01707E}"/>
    <cellStyle name="40% - Énfasis2 3 5 2" xfId="1100" xr:uid="{CD08CC69-FFBB-4B69-B6B5-905FD7134A49}"/>
    <cellStyle name="40% - Énfasis2 3 6" xfId="756" xr:uid="{0B889F10-8618-4DEB-ADB8-9E294FF78746}"/>
    <cellStyle name="40% - Énfasis2 4" xfId="81" xr:uid="{517E26AE-1654-459C-A02D-2C3724D15C1D}"/>
    <cellStyle name="40% - Énfasis2 4 2" xfId="167" xr:uid="{271D5EBB-5BD6-40FC-82A0-446F4FFB8949}"/>
    <cellStyle name="40% - Énfasis2 4 2 2" xfId="339" xr:uid="{273EE4F0-E53B-4B63-8D00-BE3D937B7BA0}"/>
    <cellStyle name="40% - Énfasis2 4 2 2 2" xfId="683" xr:uid="{5D491EA2-8C0F-473C-A3C0-5A02BC7872C8}"/>
    <cellStyle name="40% - Énfasis2 4 2 2 2 2" xfId="1371" xr:uid="{234EC371-177E-423A-8755-869C50040E71}"/>
    <cellStyle name="40% - Énfasis2 4 2 2 3" xfId="1027" xr:uid="{C189B000-48FD-4F71-A10C-CFF62EAF9F8A}"/>
    <cellStyle name="40% - Énfasis2 4 2 3" xfId="511" xr:uid="{2D3D823C-27E4-4216-8DA1-A492238A6D43}"/>
    <cellStyle name="40% - Énfasis2 4 2 3 2" xfId="1199" xr:uid="{4DB94712-BA04-4BC6-9EC5-1591844BB74A}"/>
    <cellStyle name="40% - Énfasis2 4 2 4" xfId="855" xr:uid="{5E26EF12-C030-4BA8-8434-283E745C8948}"/>
    <cellStyle name="40% - Énfasis2 4 3" xfId="253" xr:uid="{40F19CA3-2B26-4988-B5DD-368AFA8F9582}"/>
    <cellStyle name="40% - Énfasis2 4 3 2" xfId="597" xr:uid="{CAB47A5C-5EE9-43F5-AA6A-919A54CBD010}"/>
    <cellStyle name="40% - Énfasis2 4 3 2 2" xfId="1285" xr:uid="{0F873AAF-EC16-4246-A146-1E0F7DE70557}"/>
    <cellStyle name="40% - Énfasis2 4 3 3" xfId="941" xr:uid="{38C9F7A1-AB50-4BB2-BB94-7D2753143C73}"/>
    <cellStyle name="40% - Énfasis2 4 4" xfId="425" xr:uid="{B7C10D9D-668D-4D97-AF1A-804A3122A1BF}"/>
    <cellStyle name="40% - Énfasis2 4 4 2" xfId="1113" xr:uid="{7A7024AE-6468-480E-8FB4-010C34BBC5B9}"/>
    <cellStyle name="40% - Énfasis2 4 5" xfId="769" xr:uid="{54CCF29A-8F79-4F85-B5B0-9A1D1FBBD2DD}"/>
    <cellStyle name="40% - Énfasis2 5" xfId="124" xr:uid="{ED4B7708-2A3A-479C-810D-B536D9FAE161}"/>
    <cellStyle name="40% - Énfasis2 5 2" xfId="296" xr:uid="{528541E3-BE88-4214-8DEC-40301E7E019B}"/>
    <cellStyle name="40% - Énfasis2 5 2 2" xfId="640" xr:uid="{DD5903DC-AF62-46FB-879F-AE76A09CF098}"/>
    <cellStyle name="40% - Énfasis2 5 2 2 2" xfId="1328" xr:uid="{A948E489-351E-4EA7-BC85-E99C9465020B}"/>
    <cellStyle name="40% - Énfasis2 5 2 3" xfId="984" xr:uid="{D4CFA588-AC5D-46A3-9F5A-45AE9EB5D702}"/>
    <cellStyle name="40% - Énfasis2 5 3" xfId="468" xr:uid="{7919EFDF-F0F8-4A84-9653-C13902075497}"/>
    <cellStyle name="40% - Énfasis2 5 3 2" xfId="1156" xr:uid="{2670EFFC-433F-49F6-988B-D65470D7EE42}"/>
    <cellStyle name="40% - Énfasis2 5 4" xfId="812" xr:uid="{F2F95B57-D8DA-4B6C-A9D1-33E93913EB17}"/>
    <cellStyle name="40% - Énfasis2 6" xfId="210" xr:uid="{ED78736B-C052-4A57-8A27-F95B7F094F4C}"/>
    <cellStyle name="40% - Énfasis2 6 2" xfId="554" xr:uid="{E9203393-290B-4C3D-B9A3-8D6EB80B8AC6}"/>
    <cellStyle name="40% - Énfasis2 6 2 2" xfId="1242" xr:uid="{CDE9AAEC-5B5E-4B69-8FC4-423999E02806}"/>
    <cellStyle name="40% - Énfasis2 6 3" xfId="898" xr:uid="{E9F56137-0E17-4E54-8F0D-F5B79A66FE78}"/>
    <cellStyle name="40% - Énfasis2 7" xfId="382" xr:uid="{1602FDCB-00F9-4BF9-AEED-E839463E970C}"/>
    <cellStyle name="40% - Énfasis2 7 2" xfId="1070" xr:uid="{F9FD150B-75B6-47B1-98F1-4CF60802343C}"/>
    <cellStyle name="40% - Énfasis2 8" xfId="726" xr:uid="{A5FA2A79-D785-4154-BE92-38B07ACEA7C4}"/>
    <cellStyle name="40% - Énfasis3" xfId="29" builtinId="39" customBuiltin="1"/>
    <cellStyle name="40% - Énfasis3 2" xfId="56" xr:uid="{00000000-0005-0000-0000-000019000000}"/>
    <cellStyle name="40% - Énfasis3 2 2" xfId="99" xr:uid="{145AECA1-1C3A-4C3D-8D27-3F4B6104B1A0}"/>
    <cellStyle name="40% - Énfasis3 2 2 2" xfId="185" xr:uid="{D8BE4372-EBD3-4C2D-B78C-DDF2BBCAA3BA}"/>
    <cellStyle name="40% - Énfasis3 2 2 2 2" xfId="357" xr:uid="{445B978C-4CBD-4746-A2C1-E7236F6BF0B9}"/>
    <cellStyle name="40% - Énfasis3 2 2 2 2 2" xfId="701" xr:uid="{8284DCEE-DE94-4B5B-9497-627FA4848869}"/>
    <cellStyle name="40% - Énfasis3 2 2 2 2 2 2" xfId="1389" xr:uid="{0C2EEA11-1B03-47BC-91E5-827E056DC87C}"/>
    <cellStyle name="40% - Énfasis3 2 2 2 2 3" xfId="1045" xr:uid="{85FA2BE7-E10A-4C37-A2BC-B63DF051FEDD}"/>
    <cellStyle name="40% - Énfasis3 2 2 2 3" xfId="529" xr:uid="{614E2986-4196-4B15-884F-58FF97C60031}"/>
    <cellStyle name="40% - Énfasis3 2 2 2 3 2" xfId="1217" xr:uid="{654EBED0-FC12-477C-9EBD-D856CA3DFCAB}"/>
    <cellStyle name="40% - Énfasis3 2 2 2 4" xfId="873" xr:uid="{BD6EFBD1-9536-4797-90C9-AD1DC95AD349}"/>
    <cellStyle name="40% - Énfasis3 2 2 3" xfId="271" xr:uid="{C2F8E185-7452-471C-AEFD-F34FB750B06C}"/>
    <cellStyle name="40% - Énfasis3 2 2 3 2" xfId="615" xr:uid="{F18E4639-6A04-480A-93C3-0DD4143F27CC}"/>
    <cellStyle name="40% - Énfasis3 2 2 3 2 2" xfId="1303" xr:uid="{8FE9CA9A-F7BC-4500-8D80-1CB910AF729A}"/>
    <cellStyle name="40% - Énfasis3 2 2 3 3" xfId="959" xr:uid="{770D2ADE-800F-4335-A361-9B4125C66762}"/>
    <cellStyle name="40% - Énfasis3 2 2 4" xfId="443" xr:uid="{37065231-44A5-4684-BA14-CC98B3CA6BE4}"/>
    <cellStyle name="40% - Énfasis3 2 2 4 2" xfId="1131" xr:uid="{26BF0E87-0BB6-4195-8AC3-D52B2CD55E83}"/>
    <cellStyle name="40% - Énfasis3 2 2 5" xfId="787" xr:uid="{A0429246-99BC-454C-A01F-90F953983FE4}"/>
    <cellStyle name="40% - Énfasis3 2 3" xfId="142" xr:uid="{E2F8CFB2-51D9-4EE3-BCA1-2FCF42F49DE6}"/>
    <cellStyle name="40% - Énfasis3 2 3 2" xfId="314" xr:uid="{304AFD8A-BA0E-4505-A8AE-505847D0EB25}"/>
    <cellStyle name="40% - Énfasis3 2 3 2 2" xfId="658" xr:uid="{2BC4F466-C17B-45AE-854A-948E10CB4683}"/>
    <cellStyle name="40% - Énfasis3 2 3 2 2 2" xfId="1346" xr:uid="{336558F6-1EBE-4910-B7C7-17D0C430C08B}"/>
    <cellStyle name="40% - Énfasis3 2 3 2 3" xfId="1002" xr:uid="{524DAF9A-FE5A-4268-9015-DE80442B06DC}"/>
    <cellStyle name="40% - Énfasis3 2 3 3" xfId="486" xr:uid="{492B6A57-129E-40CF-A604-DFBF3821E9CF}"/>
    <cellStyle name="40% - Énfasis3 2 3 3 2" xfId="1174" xr:uid="{2A00FE11-DA73-4F06-9DD0-43824ECF3B92}"/>
    <cellStyle name="40% - Énfasis3 2 3 4" xfId="830" xr:uid="{24A5C9BE-7119-40E4-9E9E-CD8708BB5C7C}"/>
    <cellStyle name="40% - Énfasis3 2 4" xfId="228" xr:uid="{3CC49613-3BC2-4EB9-A415-B3DECC3770EF}"/>
    <cellStyle name="40% - Énfasis3 2 4 2" xfId="572" xr:uid="{86D8C0DD-BE16-4BD8-B546-BD4E4377240A}"/>
    <cellStyle name="40% - Énfasis3 2 4 2 2" xfId="1260" xr:uid="{BBCBCD21-8C22-4745-82EB-FEB199029A56}"/>
    <cellStyle name="40% - Énfasis3 2 4 3" xfId="916" xr:uid="{4037EBEA-5D40-4B2F-8622-2F335AF5870D}"/>
    <cellStyle name="40% - Énfasis3 2 5" xfId="400" xr:uid="{AE6E3D37-A02C-4151-891F-7AFC805328FC}"/>
    <cellStyle name="40% - Énfasis3 2 5 2" xfId="1088" xr:uid="{D4C480AB-E9CB-47E9-BEA6-BE48101A77D3}"/>
    <cellStyle name="40% - Énfasis3 2 6" xfId="744" xr:uid="{F95A40CA-B803-43F1-AF24-FA22535DAE9F}"/>
    <cellStyle name="40% - Énfasis3 3" xfId="70" xr:uid="{00000000-0005-0000-0000-00001A000000}"/>
    <cellStyle name="40% - Énfasis3 3 2" xfId="113" xr:uid="{E5796AB1-C257-4CF1-91BB-F601EE8AE9D4}"/>
    <cellStyle name="40% - Énfasis3 3 2 2" xfId="199" xr:uid="{26B076CE-8F07-483F-8710-A9B64AC7111F}"/>
    <cellStyle name="40% - Énfasis3 3 2 2 2" xfId="371" xr:uid="{FC0E34B0-9ADC-4A08-B857-6F98A7309122}"/>
    <cellStyle name="40% - Énfasis3 3 2 2 2 2" xfId="715" xr:uid="{C35963EE-F3F2-47C4-95EF-9865F139401E}"/>
    <cellStyle name="40% - Énfasis3 3 2 2 2 2 2" xfId="1403" xr:uid="{1D225C75-D61B-4F84-B629-80E959D6B52D}"/>
    <cellStyle name="40% - Énfasis3 3 2 2 2 3" xfId="1059" xr:uid="{4AF6B65A-4EB2-44C4-83C8-151CA95D2B43}"/>
    <cellStyle name="40% - Énfasis3 3 2 2 3" xfId="543" xr:uid="{CC7F1CA7-A5AA-418E-BE9B-4F9882A8C5CC}"/>
    <cellStyle name="40% - Énfasis3 3 2 2 3 2" xfId="1231" xr:uid="{68FB0F27-7E50-4517-97BB-D2358F72788B}"/>
    <cellStyle name="40% - Énfasis3 3 2 2 4" xfId="887" xr:uid="{3E33EBFC-AE92-472A-8168-62BA28235636}"/>
    <cellStyle name="40% - Énfasis3 3 2 3" xfId="285" xr:uid="{9443878A-47B6-4AFC-AF81-9040495B824D}"/>
    <cellStyle name="40% - Énfasis3 3 2 3 2" xfId="629" xr:uid="{2A36C68E-AAA5-448B-8B5A-24EEF51776C3}"/>
    <cellStyle name="40% - Énfasis3 3 2 3 2 2" xfId="1317" xr:uid="{43D5856C-6102-4715-B7BC-D0B6EE4F8EC8}"/>
    <cellStyle name="40% - Énfasis3 3 2 3 3" xfId="973" xr:uid="{FA5025AE-C4A4-4148-B349-25DD6FCD04EA}"/>
    <cellStyle name="40% - Énfasis3 3 2 4" xfId="457" xr:uid="{F4BCFE7C-3373-457B-A308-459F91E0B4B2}"/>
    <cellStyle name="40% - Énfasis3 3 2 4 2" xfId="1145" xr:uid="{D3493221-8BE3-46EE-A332-A77E6495051C}"/>
    <cellStyle name="40% - Énfasis3 3 2 5" xfId="801" xr:uid="{6998C3E6-12FB-49E1-8B63-E9B4ACA66E3A}"/>
    <cellStyle name="40% - Énfasis3 3 3" xfId="156" xr:uid="{DEDD1154-0D65-42A3-A223-FB5796CE7EBC}"/>
    <cellStyle name="40% - Énfasis3 3 3 2" xfId="328" xr:uid="{BB6970D2-0179-4282-AFF6-65A4334AE5A0}"/>
    <cellStyle name="40% - Énfasis3 3 3 2 2" xfId="672" xr:uid="{AFCFD89F-D764-4239-A3BA-C192247E1688}"/>
    <cellStyle name="40% - Énfasis3 3 3 2 2 2" xfId="1360" xr:uid="{1E97EDF6-8746-4C2F-AFCF-0A842F57BA64}"/>
    <cellStyle name="40% - Énfasis3 3 3 2 3" xfId="1016" xr:uid="{73B92437-A535-4E5D-96A5-81CD90837D7E}"/>
    <cellStyle name="40% - Énfasis3 3 3 3" xfId="500" xr:uid="{5E96B8AE-52B6-46E5-8CA1-05D871C81728}"/>
    <cellStyle name="40% - Énfasis3 3 3 3 2" xfId="1188" xr:uid="{7668AEC5-FD90-402D-9DF1-43A340CCD70A}"/>
    <cellStyle name="40% - Énfasis3 3 3 4" xfId="844" xr:uid="{CE8D8ADE-3BA6-4A5F-93EE-49365D32DF44}"/>
    <cellStyle name="40% - Énfasis3 3 4" xfId="242" xr:uid="{B338D800-A764-4794-979B-E0AA8B041AF7}"/>
    <cellStyle name="40% - Énfasis3 3 4 2" xfId="586" xr:uid="{4410B64E-7055-4060-A515-2B373C532262}"/>
    <cellStyle name="40% - Énfasis3 3 4 2 2" xfId="1274" xr:uid="{2CA90011-5565-462D-9D8F-571B4BA43D4F}"/>
    <cellStyle name="40% - Énfasis3 3 4 3" xfId="930" xr:uid="{91FB129E-AFEC-40D9-ACF9-A06DB75605DB}"/>
    <cellStyle name="40% - Énfasis3 3 5" xfId="414" xr:uid="{EDFDB65A-C934-4DFF-8196-3B73C378B53C}"/>
    <cellStyle name="40% - Énfasis3 3 5 2" xfId="1102" xr:uid="{B597B67D-75A8-4CC5-B005-782E9E07FCAC}"/>
    <cellStyle name="40% - Énfasis3 3 6" xfId="758" xr:uid="{F160F9A6-83A7-4038-B119-237A47FC5E85}"/>
    <cellStyle name="40% - Énfasis3 4" xfId="83" xr:uid="{A5D0B2F8-BB25-4C30-8A80-0FC3D9BF50D4}"/>
    <cellStyle name="40% - Énfasis3 4 2" xfId="169" xr:uid="{4EFA15C1-A6B7-4A8F-A26F-1B30B21E8A3D}"/>
    <cellStyle name="40% - Énfasis3 4 2 2" xfId="341" xr:uid="{7479829D-2260-4867-9552-C2E0B0A42C4C}"/>
    <cellStyle name="40% - Énfasis3 4 2 2 2" xfId="685" xr:uid="{B88F6B2E-7DE3-46B9-A1B9-83051B2E59A4}"/>
    <cellStyle name="40% - Énfasis3 4 2 2 2 2" xfId="1373" xr:uid="{75615BDF-FB90-43EC-B84E-BDBA5AD1424F}"/>
    <cellStyle name="40% - Énfasis3 4 2 2 3" xfId="1029" xr:uid="{95A5F409-56A2-4046-BCB4-8BBF5B3A75CA}"/>
    <cellStyle name="40% - Énfasis3 4 2 3" xfId="513" xr:uid="{832A50B6-776F-4E5D-8FD0-3F76F89BFF47}"/>
    <cellStyle name="40% - Énfasis3 4 2 3 2" xfId="1201" xr:uid="{C4EA2E66-94AA-44B9-B62E-D3C766C59F14}"/>
    <cellStyle name="40% - Énfasis3 4 2 4" xfId="857" xr:uid="{04F69DC3-0242-4237-BBE1-DD458345948D}"/>
    <cellStyle name="40% - Énfasis3 4 3" xfId="255" xr:uid="{1652822B-BF21-432D-B15D-3E4AB44CF63E}"/>
    <cellStyle name="40% - Énfasis3 4 3 2" xfId="599" xr:uid="{7721E96E-B38E-449D-87A3-25350D272AE4}"/>
    <cellStyle name="40% - Énfasis3 4 3 2 2" xfId="1287" xr:uid="{31C04A1A-FFEE-4320-BD05-B5C474404B99}"/>
    <cellStyle name="40% - Énfasis3 4 3 3" xfId="943" xr:uid="{29CA1552-3ABF-4701-A22C-DB59A78C4685}"/>
    <cellStyle name="40% - Énfasis3 4 4" xfId="427" xr:uid="{239CA61D-9692-4164-940E-1AA6BD1C0D07}"/>
    <cellStyle name="40% - Énfasis3 4 4 2" xfId="1115" xr:uid="{3236BA1B-326C-4712-A1F3-B4CA727EB19F}"/>
    <cellStyle name="40% - Énfasis3 4 5" xfId="771" xr:uid="{923B98A5-B718-48B9-AE4D-9CC2D473767A}"/>
    <cellStyle name="40% - Énfasis3 5" xfId="126" xr:uid="{34227A77-A144-4439-89C4-FB5FBE3A2772}"/>
    <cellStyle name="40% - Énfasis3 5 2" xfId="298" xr:uid="{E681A507-3506-4B1E-A840-1570FC253D75}"/>
    <cellStyle name="40% - Énfasis3 5 2 2" xfId="642" xr:uid="{83E68BE2-BE19-4A53-9A26-D5E3D2F2F2CA}"/>
    <cellStyle name="40% - Énfasis3 5 2 2 2" xfId="1330" xr:uid="{595665DB-68A5-44E1-8E83-E665911EDC4B}"/>
    <cellStyle name="40% - Énfasis3 5 2 3" xfId="986" xr:uid="{52F90275-58A6-490C-9D48-13D26CB57D23}"/>
    <cellStyle name="40% - Énfasis3 5 3" xfId="470" xr:uid="{6F74E90C-AF61-4E84-B95D-B239CA2534DC}"/>
    <cellStyle name="40% - Énfasis3 5 3 2" xfId="1158" xr:uid="{D6CBA2FB-BA4E-42B4-B28E-637DF3C331EC}"/>
    <cellStyle name="40% - Énfasis3 5 4" xfId="814" xr:uid="{559E8CDB-9755-44B5-87B9-2F8E004B5B17}"/>
    <cellStyle name="40% - Énfasis3 6" xfId="212" xr:uid="{F09F8495-7EB1-40F5-B084-2ACC4FAA090F}"/>
    <cellStyle name="40% - Énfasis3 6 2" xfId="556" xr:uid="{9CA7D709-0D8A-427E-B249-483CF156742A}"/>
    <cellStyle name="40% - Énfasis3 6 2 2" xfId="1244" xr:uid="{94E9CCC3-7FB8-4F0D-AF65-79CC500C439F}"/>
    <cellStyle name="40% - Énfasis3 6 3" xfId="900" xr:uid="{B0FB7297-842B-43C5-BAF5-BE035D81B0E9}"/>
    <cellStyle name="40% - Énfasis3 7" xfId="384" xr:uid="{467CFE94-60B3-4419-893E-11590AE80BC2}"/>
    <cellStyle name="40% - Énfasis3 7 2" xfId="1072" xr:uid="{26196E76-3EB3-4032-BA04-68D6F772E0A8}"/>
    <cellStyle name="40% - Énfasis3 8" xfId="728" xr:uid="{402B1516-D88C-49F3-A3D3-C5A687E934ED}"/>
    <cellStyle name="40% - Énfasis4" xfId="32" builtinId="43" customBuiltin="1"/>
    <cellStyle name="40% - Énfasis4 2" xfId="58" xr:uid="{00000000-0005-0000-0000-00001C000000}"/>
    <cellStyle name="40% - Énfasis4 2 2" xfId="101" xr:uid="{E6C7140B-636C-4D13-9F6C-1EE82CCDB10B}"/>
    <cellStyle name="40% - Énfasis4 2 2 2" xfId="187" xr:uid="{26F7E25C-D6EF-4E5D-B854-36616305AA32}"/>
    <cellStyle name="40% - Énfasis4 2 2 2 2" xfId="359" xr:uid="{DFF06E74-7AF1-4947-B51F-82FED78DCCAA}"/>
    <cellStyle name="40% - Énfasis4 2 2 2 2 2" xfId="703" xr:uid="{1643277B-0C64-4BA3-9B22-27376EC50814}"/>
    <cellStyle name="40% - Énfasis4 2 2 2 2 2 2" xfId="1391" xr:uid="{6D8342D9-2CFD-4EA3-A901-6C1FF1F355D8}"/>
    <cellStyle name="40% - Énfasis4 2 2 2 2 3" xfId="1047" xr:uid="{90180194-F554-488A-9173-14C325BEFDFC}"/>
    <cellStyle name="40% - Énfasis4 2 2 2 3" xfId="531" xr:uid="{C9C20B33-06E8-47C4-8CD4-7F8CD2032D70}"/>
    <cellStyle name="40% - Énfasis4 2 2 2 3 2" xfId="1219" xr:uid="{CBDD144A-650E-44D7-AC9B-9CABC08BF6AE}"/>
    <cellStyle name="40% - Énfasis4 2 2 2 4" xfId="875" xr:uid="{1A62145E-D513-458C-BDAF-49900637C2D2}"/>
    <cellStyle name="40% - Énfasis4 2 2 3" xfId="273" xr:uid="{A0BD2689-0D8F-4A88-B8B1-EE4A430A5D52}"/>
    <cellStyle name="40% - Énfasis4 2 2 3 2" xfId="617" xr:uid="{3762CD63-20B3-4445-930D-3C313F4601D7}"/>
    <cellStyle name="40% - Énfasis4 2 2 3 2 2" xfId="1305" xr:uid="{A50A0FAF-0ED6-4C73-97EB-CAA392BE2D78}"/>
    <cellStyle name="40% - Énfasis4 2 2 3 3" xfId="961" xr:uid="{7ADB2102-3927-4813-81B3-E1AE3B4D23AE}"/>
    <cellStyle name="40% - Énfasis4 2 2 4" xfId="445" xr:uid="{1E3ADAEE-C82C-4203-AEA5-8FAE8D86C8BA}"/>
    <cellStyle name="40% - Énfasis4 2 2 4 2" xfId="1133" xr:uid="{C30DE4CC-9832-4A8C-8C7F-B9381528DF91}"/>
    <cellStyle name="40% - Énfasis4 2 2 5" xfId="789" xr:uid="{502F0F38-4059-4E19-9FB2-4A9957087832}"/>
    <cellStyle name="40% - Énfasis4 2 3" xfId="144" xr:uid="{91AC12A5-B3F9-4F43-991F-5B3D4C60B971}"/>
    <cellStyle name="40% - Énfasis4 2 3 2" xfId="316" xr:uid="{A5B87C36-2E52-490F-9133-68D168F99BD5}"/>
    <cellStyle name="40% - Énfasis4 2 3 2 2" xfId="660" xr:uid="{18C6AA0D-A17E-467B-B71C-857893A10BAF}"/>
    <cellStyle name="40% - Énfasis4 2 3 2 2 2" xfId="1348" xr:uid="{62492CBC-2193-4B2A-8BA1-F5770D132D13}"/>
    <cellStyle name="40% - Énfasis4 2 3 2 3" xfId="1004" xr:uid="{DBAE948D-7700-4947-B664-4072AF73FC3D}"/>
    <cellStyle name="40% - Énfasis4 2 3 3" xfId="488" xr:uid="{2A9E1093-7166-42E2-9AE1-BBD14393CBDA}"/>
    <cellStyle name="40% - Énfasis4 2 3 3 2" xfId="1176" xr:uid="{33A2FEED-CD69-4111-BB3D-131BCAC431FF}"/>
    <cellStyle name="40% - Énfasis4 2 3 4" xfId="832" xr:uid="{20A68241-0C43-4E13-BEAD-849435F8A325}"/>
    <cellStyle name="40% - Énfasis4 2 4" xfId="230" xr:uid="{ADE588BB-5E6E-4EAE-B322-5296D0F70E54}"/>
    <cellStyle name="40% - Énfasis4 2 4 2" xfId="574" xr:uid="{3B4DBD9F-541E-4C92-A5BB-D90E93F5C1F9}"/>
    <cellStyle name="40% - Énfasis4 2 4 2 2" xfId="1262" xr:uid="{26DF0A50-C334-4EFE-941D-FDDCF04F4B62}"/>
    <cellStyle name="40% - Énfasis4 2 4 3" xfId="918" xr:uid="{AAB36DDA-B37C-4690-B55F-6AF47E833688}"/>
    <cellStyle name="40% - Énfasis4 2 5" xfId="402" xr:uid="{3BA0C497-F673-4541-8D0C-DEBC105453EC}"/>
    <cellStyle name="40% - Énfasis4 2 5 2" xfId="1090" xr:uid="{529DDAC2-7C20-4311-AEAC-353AA547158A}"/>
    <cellStyle name="40% - Énfasis4 2 6" xfId="746" xr:uid="{72B5A6E5-0E25-42C6-8EBD-0494EF0D4D89}"/>
    <cellStyle name="40% - Énfasis4 3" xfId="72" xr:uid="{00000000-0005-0000-0000-00001D000000}"/>
    <cellStyle name="40% - Énfasis4 3 2" xfId="115" xr:uid="{FCB1928B-AE1B-4068-A77F-BCFCE59FA6BF}"/>
    <cellStyle name="40% - Énfasis4 3 2 2" xfId="201" xr:uid="{428E9BA6-C939-407B-B92F-7B8C91E5BD56}"/>
    <cellStyle name="40% - Énfasis4 3 2 2 2" xfId="373" xr:uid="{99040660-A4D3-47A8-B333-850D9D9E8AA0}"/>
    <cellStyle name="40% - Énfasis4 3 2 2 2 2" xfId="717" xr:uid="{797C07A0-8030-4F2D-A76A-30D859E56F02}"/>
    <cellStyle name="40% - Énfasis4 3 2 2 2 2 2" xfId="1405" xr:uid="{AB72EE5E-F30A-4A48-9059-2DB1C60240EE}"/>
    <cellStyle name="40% - Énfasis4 3 2 2 2 3" xfId="1061" xr:uid="{7F4BA3B8-573D-4628-B711-908198159DB9}"/>
    <cellStyle name="40% - Énfasis4 3 2 2 3" xfId="545" xr:uid="{33E34A3D-D84E-4040-AFFB-22C2AC7E8918}"/>
    <cellStyle name="40% - Énfasis4 3 2 2 3 2" xfId="1233" xr:uid="{BF300066-6A12-4911-9B29-180EB214C26E}"/>
    <cellStyle name="40% - Énfasis4 3 2 2 4" xfId="889" xr:uid="{777A1DC7-43F2-486F-8BB0-78F56F904ECE}"/>
    <cellStyle name="40% - Énfasis4 3 2 3" xfId="287" xr:uid="{D7DEACC5-176D-41CD-8C0D-BEA14D570AF8}"/>
    <cellStyle name="40% - Énfasis4 3 2 3 2" xfId="631" xr:uid="{F8B37D8C-6704-41C2-96A8-4024D0A7C2AE}"/>
    <cellStyle name="40% - Énfasis4 3 2 3 2 2" xfId="1319" xr:uid="{492F6BD5-2E6B-4B61-BD52-8EF21B9FB740}"/>
    <cellStyle name="40% - Énfasis4 3 2 3 3" xfId="975" xr:uid="{A770779E-E12A-402A-9E9D-FB7C582B7870}"/>
    <cellStyle name="40% - Énfasis4 3 2 4" xfId="459" xr:uid="{3B8894E7-92E0-4717-8763-581D8A1219F4}"/>
    <cellStyle name="40% - Énfasis4 3 2 4 2" xfId="1147" xr:uid="{8CF5045A-5CD2-44C3-9773-2E881D560283}"/>
    <cellStyle name="40% - Énfasis4 3 2 5" xfId="803" xr:uid="{04E153B3-F913-4A05-B4B8-8F900DF10849}"/>
    <cellStyle name="40% - Énfasis4 3 3" xfId="158" xr:uid="{69759737-D9B2-4999-B42D-B6177F29EEA2}"/>
    <cellStyle name="40% - Énfasis4 3 3 2" xfId="330" xr:uid="{7F7C02E3-09CC-4AE5-A661-A9AF17150109}"/>
    <cellStyle name="40% - Énfasis4 3 3 2 2" xfId="674" xr:uid="{1A0B79B5-1213-455B-92EE-7D208FA7C9ED}"/>
    <cellStyle name="40% - Énfasis4 3 3 2 2 2" xfId="1362" xr:uid="{E92074F5-8EB7-4B5F-8A84-8503DFECE741}"/>
    <cellStyle name="40% - Énfasis4 3 3 2 3" xfId="1018" xr:uid="{CCFF8A24-05E8-4852-8F2D-B3D969AA275B}"/>
    <cellStyle name="40% - Énfasis4 3 3 3" xfId="502" xr:uid="{D5285B9C-9DEB-4B9B-87A8-6F0D7775B70C}"/>
    <cellStyle name="40% - Énfasis4 3 3 3 2" xfId="1190" xr:uid="{1690B75D-C042-485A-89C6-83DEC761EDE1}"/>
    <cellStyle name="40% - Énfasis4 3 3 4" xfId="846" xr:uid="{069E63D2-1C54-4BE0-AC9D-F221206C7E1B}"/>
    <cellStyle name="40% - Énfasis4 3 4" xfId="244" xr:uid="{C714D6FE-F88B-4CBA-A928-1C5463A3D6AB}"/>
    <cellStyle name="40% - Énfasis4 3 4 2" xfId="588" xr:uid="{D710ACE6-0F2E-474C-A249-75D9C4F95CFA}"/>
    <cellStyle name="40% - Énfasis4 3 4 2 2" xfId="1276" xr:uid="{4A67AB76-F8AD-48BE-A684-F4A046EF837D}"/>
    <cellStyle name="40% - Énfasis4 3 4 3" xfId="932" xr:uid="{0987BBC0-E353-4FFD-95E5-387910B21136}"/>
    <cellStyle name="40% - Énfasis4 3 5" xfId="416" xr:uid="{FD9D6824-8F43-4296-AA72-A9ED4F2B9FFE}"/>
    <cellStyle name="40% - Énfasis4 3 5 2" xfId="1104" xr:uid="{E264BBE2-7EDE-422E-B4AD-1592F588EA54}"/>
    <cellStyle name="40% - Énfasis4 3 6" xfId="760" xr:uid="{3F0AC511-796E-4489-B7BB-D92A6EB49600}"/>
    <cellStyle name="40% - Énfasis4 4" xfId="85" xr:uid="{F157EBC4-F306-4729-A53A-50F08D23D483}"/>
    <cellStyle name="40% - Énfasis4 4 2" xfId="171" xr:uid="{B76D621C-B80F-426C-9B35-9D10B5092615}"/>
    <cellStyle name="40% - Énfasis4 4 2 2" xfId="343" xr:uid="{01E3D60F-97E1-4C72-B49D-65C38D24CFA4}"/>
    <cellStyle name="40% - Énfasis4 4 2 2 2" xfId="687" xr:uid="{C3E6EB06-9304-4EC8-B1AB-17D42229BBA9}"/>
    <cellStyle name="40% - Énfasis4 4 2 2 2 2" xfId="1375" xr:uid="{EBC1AFC7-9352-4543-8B77-7678D1835A2F}"/>
    <cellStyle name="40% - Énfasis4 4 2 2 3" xfId="1031" xr:uid="{3F6D65F9-A27A-44FD-98DD-2608EF62085A}"/>
    <cellStyle name="40% - Énfasis4 4 2 3" xfId="515" xr:uid="{23A80C91-5048-4A3D-97B4-153E142E9F75}"/>
    <cellStyle name="40% - Énfasis4 4 2 3 2" xfId="1203" xr:uid="{19535C1D-5559-4A74-BF3B-69E177861E81}"/>
    <cellStyle name="40% - Énfasis4 4 2 4" xfId="859" xr:uid="{83583FFF-D2BA-4856-9698-C5EA000489CA}"/>
    <cellStyle name="40% - Énfasis4 4 3" xfId="257" xr:uid="{B112EAB5-79EA-493F-A951-141145FF7CC1}"/>
    <cellStyle name="40% - Énfasis4 4 3 2" xfId="601" xr:uid="{28F481B5-0F68-4DF6-B512-7063B8EAD323}"/>
    <cellStyle name="40% - Énfasis4 4 3 2 2" xfId="1289" xr:uid="{3B9180EA-C2BB-4F58-A4C3-C62944321F9B}"/>
    <cellStyle name="40% - Énfasis4 4 3 3" xfId="945" xr:uid="{90CF4C5A-7EDD-4427-B383-35B7BCB1DABF}"/>
    <cellStyle name="40% - Énfasis4 4 4" xfId="429" xr:uid="{FC7D4B83-3E6A-4BD9-B201-BDDC00EC0758}"/>
    <cellStyle name="40% - Énfasis4 4 4 2" xfId="1117" xr:uid="{CD246351-2B91-45AE-B0D6-C837A7C38412}"/>
    <cellStyle name="40% - Énfasis4 4 5" xfId="773" xr:uid="{91488C3F-C710-4C40-B0FF-284E2892C417}"/>
    <cellStyle name="40% - Énfasis4 5" xfId="128" xr:uid="{70702B48-D52E-457C-810E-7FEE57087F3D}"/>
    <cellStyle name="40% - Énfasis4 5 2" xfId="300" xr:uid="{745E298A-9C27-4D5C-9328-B28BC84E556E}"/>
    <cellStyle name="40% - Énfasis4 5 2 2" xfId="644" xr:uid="{60F1B08A-B906-4C85-81DC-27072E9E7263}"/>
    <cellStyle name="40% - Énfasis4 5 2 2 2" xfId="1332" xr:uid="{4BD83FD6-A6E1-4123-B55C-40F68F77502C}"/>
    <cellStyle name="40% - Énfasis4 5 2 3" xfId="988" xr:uid="{42DB5E28-C7CF-4F02-8D81-8C7FFD5E0C79}"/>
    <cellStyle name="40% - Énfasis4 5 3" xfId="472" xr:uid="{05913AFB-446F-4774-8BC9-74AE6B5B22F3}"/>
    <cellStyle name="40% - Énfasis4 5 3 2" xfId="1160" xr:uid="{150B37E4-B0E1-48A7-8CA1-490E9FB0DDA0}"/>
    <cellStyle name="40% - Énfasis4 5 4" xfId="816" xr:uid="{9165E19A-1D1E-44BC-B291-9C4707A02EE2}"/>
    <cellStyle name="40% - Énfasis4 6" xfId="214" xr:uid="{C20C5946-0657-4AA3-A82D-41D66BEAE4D9}"/>
    <cellStyle name="40% - Énfasis4 6 2" xfId="558" xr:uid="{62C64D1C-40D2-4387-8C83-FBF6AD899AC4}"/>
    <cellStyle name="40% - Énfasis4 6 2 2" xfId="1246" xr:uid="{9C29E206-6B70-4657-A1DA-B18A9E3575EE}"/>
    <cellStyle name="40% - Énfasis4 6 3" xfId="902" xr:uid="{C5554841-8CDA-4557-B800-697A4F380087}"/>
    <cellStyle name="40% - Énfasis4 7" xfId="386" xr:uid="{A7A6DB4E-F108-4AA4-8D8D-21306ACFFB1B}"/>
    <cellStyle name="40% - Énfasis4 7 2" xfId="1074" xr:uid="{DC399D8E-22D4-4F4A-89D0-DD3B30B66644}"/>
    <cellStyle name="40% - Énfasis4 8" xfId="730" xr:uid="{E7F35FD0-D48A-4658-A363-0E078788D18B}"/>
    <cellStyle name="40% - Énfasis5" xfId="35" builtinId="47" customBuiltin="1"/>
    <cellStyle name="40% - Énfasis5 2" xfId="60" xr:uid="{00000000-0005-0000-0000-00001F000000}"/>
    <cellStyle name="40% - Énfasis5 2 2" xfId="103" xr:uid="{8AD55E1A-B34E-4215-B95C-16A2051C792B}"/>
    <cellStyle name="40% - Énfasis5 2 2 2" xfId="189" xr:uid="{2EB5797E-80C8-4438-B6BE-97580E808C26}"/>
    <cellStyle name="40% - Énfasis5 2 2 2 2" xfId="361" xr:uid="{34CFCF07-B337-448A-B7DB-D0D9F9C28563}"/>
    <cellStyle name="40% - Énfasis5 2 2 2 2 2" xfId="705" xr:uid="{03628ADF-A7EE-4A9A-BBFD-1191DC1D5B4A}"/>
    <cellStyle name="40% - Énfasis5 2 2 2 2 2 2" xfId="1393" xr:uid="{518E4677-3DF7-4273-B916-E00EADD1C483}"/>
    <cellStyle name="40% - Énfasis5 2 2 2 2 3" xfId="1049" xr:uid="{23D14AEB-3CB4-4A46-AE97-68134EBDE167}"/>
    <cellStyle name="40% - Énfasis5 2 2 2 3" xfId="533" xr:uid="{5361B68C-81A5-4B29-9820-93A82CACA8D4}"/>
    <cellStyle name="40% - Énfasis5 2 2 2 3 2" xfId="1221" xr:uid="{22F1D3D1-FBBE-40DF-9ABD-0266C81F0BAD}"/>
    <cellStyle name="40% - Énfasis5 2 2 2 4" xfId="877" xr:uid="{861149B4-2383-4E3C-A7B2-181C27EF56CC}"/>
    <cellStyle name="40% - Énfasis5 2 2 3" xfId="275" xr:uid="{832D4BF4-4638-4361-8250-303C239D7432}"/>
    <cellStyle name="40% - Énfasis5 2 2 3 2" xfId="619" xr:uid="{AAA133DE-923F-4C4D-B7A9-46EA026CDC4E}"/>
    <cellStyle name="40% - Énfasis5 2 2 3 2 2" xfId="1307" xr:uid="{D4F2AEF5-141B-4332-B212-4627CC1FAD25}"/>
    <cellStyle name="40% - Énfasis5 2 2 3 3" xfId="963" xr:uid="{95AA75F3-12CC-41E4-AF1F-EA4BFA127CAA}"/>
    <cellStyle name="40% - Énfasis5 2 2 4" xfId="447" xr:uid="{3F5FB3CC-87DF-462B-86C2-F12BD3100DDD}"/>
    <cellStyle name="40% - Énfasis5 2 2 4 2" xfId="1135" xr:uid="{F82D8A70-8F7F-44E2-8B4D-C68B6A7B2549}"/>
    <cellStyle name="40% - Énfasis5 2 2 5" xfId="791" xr:uid="{4CB13140-549D-4937-ADB0-3A2B0E03DA39}"/>
    <cellStyle name="40% - Énfasis5 2 3" xfId="146" xr:uid="{B4D67777-11DB-4EEF-8E1B-D0CBED6D83E4}"/>
    <cellStyle name="40% - Énfasis5 2 3 2" xfId="318" xr:uid="{9D6B573A-5D2C-4A63-9B4F-A88EED76B5F6}"/>
    <cellStyle name="40% - Énfasis5 2 3 2 2" xfId="662" xr:uid="{56043519-790A-4524-90D5-8B9854776B0A}"/>
    <cellStyle name="40% - Énfasis5 2 3 2 2 2" xfId="1350" xr:uid="{0B2911A4-A086-4879-9A7A-DC38F7EBF512}"/>
    <cellStyle name="40% - Énfasis5 2 3 2 3" xfId="1006" xr:uid="{DFCC263E-97B3-4F0E-89F3-9B7387AC8991}"/>
    <cellStyle name="40% - Énfasis5 2 3 3" xfId="490" xr:uid="{9CF26814-5053-45B7-8FC1-153F1DC2DF49}"/>
    <cellStyle name="40% - Énfasis5 2 3 3 2" xfId="1178" xr:uid="{96617BC2-C4E5-4DB8-8384-DB45A272DF6B}"/>
    <cellStyle name="40% - Énfasis5 2 3 4" xfId="834" xr:uid="{44B828F6-AD03-4024-8C1F-F46A6B83FD07}"/>
    <cellStyle name="40% - Énfasis5 2 4" xfId="232" xr:uid="{C686204D-248A-459E-AF35-CC6EAE562F3A}"/>
    <cellStyle name="40% - Énfasis5 2 4 2" xfId="576" xr:uid="{EECE56E3-7897-4DC7-8F9A-719AA5EB981E}"/>
    <cellStyle name="40% - Énfasis5 2 4 2 2" xfId="1264" xr:uid="{CF4880D6-3C15-4A23-9608-DAC0312478B3}"/>
    <cellStyle name="40% - Énfasis5 2 4 3" xfId="920" xr:uid="{BFC7B9F7-C46E-42B9-81F1-E48BFB565153}"/>
    <cellStyle name="40% - Énfasis5 2 5" xfId="404" xr:uid="{E723DA33-4EE8-4F9F-86B4-CCCAEEA3AF98}"/>
    <cellStyle name="40% - Énfasis5 2 5 2" xfId="1092" xr:uid="{17874044-DF76-42F8-B096-BD2A1AFCD275}"/>
    <cellStyle name="40% - Énfasis5 2 6" xfId="748" xr:uid="{6C15D252-4611-4B06-B486-0D98F447DF3F}"/>
    <cellStyle name="40% - Énfasis5 3" xfId="74" xr:uid="{00000000-0005-0000-0000-000020000000}"/>
    <cellStyle name="40% - Énfasis5 3 2" xfId="117" xr:uid="{42FE7D79-EA8B-4B92-8449-0305AA3233C9}"/>
    <cellStyle name="40% - Énfasis5 3 2 2" xfId="203" xr:uid="{CBD4D044-DFF5-4389-AFD7-BCEC6C2DDFC8}"/>
    <cellStyle name="40% - Énfasis5 3 2 2 2" xfId="375" xr:uid="{23C6F7BD-A2C1-4E86-9622-B5C6AD125C0F}"/>
    <cellStyle name="40% - Énfasis5 3 2 2 2 2" xfId="719" xr:uid="{8B59D377-8E64-4795-9D71-A52451A44DDF}"/>
    <cellStyle name="40% - Énfasis5 3 2 2 2 2 2" xfId="1407" xr:uid="{A2DBA6F5-D489-4CB7-84B1-4A26BAFC15F7}"/>
    <cellStyle name="40% - Énfasis5 3 2 2 2 3" xfId="1063" xr:uid="{6AC23B53-2BAD-402A-8034-CCA9E0E7008A}"/>
    <cellStyle name="40% - Énfasis5 3 2 2 3" xfId="547" xr:uid="{741FDAD1-9C50-4658-9A8E-0FE33A17C7E7}"/>
    <cellStyle name="40% - Énfasis5 3 2 2 3 2" xfId="1235" xr:uid="{9900D2F3-DF9E-4145-8E40-F3EB8947018C}"/>
    <cellStyle name="40% - Énfasis5 3 2 2 4" xfId="891" xr:uid="{33AC0CB9-C6C7-477F-B13F-37DC6B6C03AA}"/>
    <cellStyle name="40% - Énfasis5 3 2 3" xfId="289" xr:uid="{77EF238F-207B-4033-A26F-2597185AAB5F}"/>
    <cellStyle name="40% - Énfasis5 3 2 3 2" xfId="633" xr:uid="{6A19F975-8393-46CE-9F11-436EDB72D1A2}"/>
    <cellStyle name="40% - Énfasis5 3 2 3 2 2" xfId="1321" xr:uid="{A1407A5E-677B-4AEC-B7B6-3CF87F90A840}"/>
    <cellStyle name="40% - Énfasis5 3 2 3 3" xfId="977" xr:uid="{2BAA0B13-5219-4793-A45F-C3E4F8B0FA45}"/>
    <cellStyle name="40% - Énfasis5 3 2 4" xfId="461" xr:uid="{359FE288-5202-45F1-92DC-B92AC3F05711}"/>
    <cellStyle name="40% - Énfasis5 3 2 4 2" xfId="1149" xr:uid="{2EDE410C-0BB1-4D88-9300-CB7F247BA6A0}"/>
    <cellStyle name="40% - Énfasis5 3 2 5" xfId="805" xr:uid="{36B07D7F-8C9A-416B-A460-341B46697FDF}"/>
    <cellStyle name="40% - Énfasis5 3 3" xfId="160" xr:uid="{75BAA2FE-C6CD-4321-900A-53ACB38D0CBE}"/>
    <cellStyle name="40% - Énfasis5 3 3 2" xfId="332" xr:uid="{01F7B04F-11E8-48A0-BAC4-BABD30400604}"/>
    <cellStyle name="40% - Énfasis5 3 3 2 2" xfId="676" xr:uid="{A1328040-CC07-4F45-BB12-31774A8A47F6}"/>
    <cellStyle name="40% - Énfasis5 3 3 2 2 2" xfId="1364" xr:uid="{E8C94159-DCCD-4A37-8ABB-8669EB91153F}"/>
    <cellStyle name="40% - Énfasis5 3 3 2 3" xfId="1020" xr:uid="{14436FC5-B359-4FE9-9970-20EE7303EE1C}"/>
    <cellStyle name="40% - Énfasis5 3 3 3" xfId="504" xr:uid="{32CB316C-A1A1-47F5-9A56-FD3EA6A03CD4}"/>
    <cellStyle name="40% - Énfasis5 3 3 3 2" xfId="1192" xr:uid="{9C69B489-5B24-4A3A-B670-1CA62E54AB90}"/>
    <cellStyle name="40% - Énfasis5 3 3 4" xfId="848" xr:uid="{A10EB9C0-5A1D-4C24-8020-6EC6F71CA700}"/>
    <cellStyle name="40% - Énfasis5 3 4" xfId="246" xr:uid="{7D4B1A28-1558-4983-82B1-D320B1F3C515}"/>
    <cellStyle name="40% - Énfasis5 3 4 2" xfId="590" xr:uid="{BEB3D830-B11F-481E-89B3-D8D485B5A14B}"/>
    <cellStyle name="40% - Énfasis5 3 4 2 2" xfId="1278" xr:uid="{BB6C75DA-BFC1-4C3A-A07A-B4206439AB31}"/>
    <cellStyle name="40% - Énfasis5 3 4 3" xfId="934" xr:uid="{915B67B9-5014-4584-BE90-316F52C2FD2D}"/>
    <cellStyle name="40% - Énfasis5 3 5" xfId="418" xr:uid="{F2119933-6F9D-4C94-8420-1DD7F787317D}"/>
    <cellStyle name="40% - Énfasis5 3 5 2" xfId="1106" xr:uid="{DECE9734-AF52-43E7-A5AA-D795364F8064}"/>
    <cellStyle name="40% - Énfasis5 3 6" xfId="762" xr:uid="{A9395DA9-197E-42CD-8ED1-D1D50DF2A839}"/>
    <cellStyle name="40% - Énfasis5 4" xfId="87" xr:uid="{7E1F08EF-4E45-4214-A40D-2B76BF9E34AD}"/>
    <cellStyle name="40% - Énfasis5 4 2" xfId="173" xr:uid="{912B2CA6-0049-45C4-A0E1-D7CD2659398E}"/>
    <cellStyle name="40% - Énfasis5 4 2 2" xfId="345" xr:uid="{DC922429-70A6-4B99-BA33-A0E8228BAB43}"/>
    <cellStyle name="40% - Énfasis5 4 2 2 2" xfId="689" xr:uid="{D4E0D549-4D7D-4536-8750-49686850ED6C}"/>
    <cellStyle name="40% - Énfasis5 4 2 2 2 2" xfId="1377" xr:uid="{430DB6D7-D1C0-47B6-8ADB-7C3105AE2D43}"/>
    <cellStyle name="40% - Énfasis5 4 2 2 3" xfId="1033" xr:uid="{B8E57C9F-E09B-4800-BB46-921E795BBADE}"/>
    <cellStyle name="40% - Énfasis5 4 2 3" xfId="517" xr:uid="{244E8F71-83E3-46F8-8631-FCE162952576}"/>
    <cellStyle name="40% - Énfasis5 4 2 3 2" xfId="1205" xr:uid="{6216808D-422A-4614-A85F-18DF60DE594E}"/>
    <cellStyle name="40% - Énfasis5 4 2 4" xfId="861" xr:uid="{B233CE2D-7640-46E2-80D3-8BB5F72AF429}"/>
    <cellStyle name="40% - Énfasis5 4 3" xfId="259" xr:uid="{0AD81D59-5535-4C91-A463-09DE9F149AB3}"/>
    <cellStyle name="40% - Énfasis5 4 3 2" xfId="603" xr:uid="{A26ECA0F-C113-4515-B9A9-1BB799C4AB9D}"/>
    <cellStyle name="40% - Énfasis5 4 3 2 2" xfId="1291" xr:uid="{B7452978-318A-4F3C-88E5-3C43D24BAC7F}"/>
    <cellStyle name="40% - Énfasis5 4 3 3" xfId="947" xr:uid="{B9532849-AA51-4D2A-871D-62F5D0039C84}"/>
    <cellStyle name="40% - Énfasis5 4 4" xfId="431" xr:uid="{5B1B818A-77F3-444D-B435-DBBEE1455841}"/>
    <cellStyle name="40% - Énfasis5 4 4 2" xfId="1119" xr:uid="{54892FD0-9C49-4B25-93D0-9C39F7E0A1AE}"/>
    <cellStyle name="40% - Énfasis5 4 5" xfId="775" xr:uid="{285642CA-1B7D-4AE1-A383-65DE2C911CE3}"/>
    <cellStyle name="40% - Énfasis5 5" xfId="130" xr:uid="{B4E8452D-2933-4028-BB89-EF11DF9A539B}"/>
    <cellStyle name="40% - Énfasis5 5 2" xfId="302" xr:uid="{C1D68596-82BD-4C3F-AF1D-DED1A18AD592}"/>
    <cellStyle name="40% - Énfasis5 5 2 2" xfId="646" xr:uid="{47CD16E0-0E3B-4539-99F5-48FC0E004045}"/>
    <cellStyle name="40% - Énfasis5 5 2 2 2" xfId="1334" xr:uid="{85DABEDC-7AB5-4394-BACF-CD7B326EA4D0}"/>
    <cellStyle name="40% - Énfasis5 5 2 3" xfId="990" xr:uid="{C1222E05-1B00-447F-9A5E-CC18AF205EBC}"/>
    <cellStyle name="40% - Énfasis5 5 3" xfId="474" xr:uid="{755A6925-833A-4C3B-99CA-34878869FF2F}"/>
    <cellStyle name="40% - Énfasis5 5 3 2" xfId="1162" xr:uid="{660207C7-2C47-42C3-B7F4-E86C964C65F9}"/>
    <cellStyle name="40% - Énfasis5 5 4" xfId="818" xr:uid="{40474E41-E3A1-4687-BD26-7FB50AF9944B}"/>
    <cellStyle name="40% - Énfasis5 6" xfId="216" xr:uid="{D1A8DFE4-DE8D-48EB-8418-31A87F2F5341}"/>
    <cellStyle name="40% - Énfasis5 6 2" xfId="560" xr:uid="{29CE22A2-CCF8-4F43-A442-F461E0AF4E49}"/>
    <cellStyle name="40% - Énfasis5 6 2 2" xfId="1248" xr:uid="{166157C7-F207-43DC-A6AA-77273C6894B3}"/>
    <cellStyle name="40% - Énfasis5 6 3" xfId="904" xr:uid="{C1E71EB5-51A8-435E-B906-6449F5A0DBFC}"/>
    <cellStyle name="40% - Énfasis5 7" xfId="388" xr:uid="{04594BDD-8B30-4D62-B61E-FFA316A0946F}"/>
    <cellStyle name="40% - Énfasis5 7 2" xfId="1076" xr:uid="{34A1018F-7A8F-43CD-84DE-C78E5E6F47AB}"/>
    <cellStyle name="40% - Énfasis5 8" xfId="732" xr:uid="{558DEC13-5D32-4F8E-9987-DD46073508AA}"/>
    <cellStyle name="40% - Énfasis6" xfId="38" builtinId="51" customBuiltin="1"/>
    <cellStyle name="40% - Énfasis6 2" xfId="62" xr:uid="{00000000-0005-0000-0000-000022000000}"/>
    <cellStyle name="40% - Énfasis6 2 2" xfId="105" xr:uid="{87290F6F-488C-45E2-B7F4-8F5CB794E700}"/>
    <cellStyle name="40% - Énfasis6 2 2 2" xfId="191" xr:uid="{2C19C8B9-B1FE-4AE9-BE02-3F990B043752}"/>
    <cellStyle name="40% - Énfasis6 2 2 2 2" xfId="363" xr:uid="{E281C425-3FC7-47D5-80A4-B3819C9C2D73}"/>
    <cellStyle name="40% - Énfasis6 2 2 2 2 2" xfId="707" xr:uid="{02D4E8D1-4CE2-4F3F-89C6-32A3007ABD45}"/>
    <cellStyle name="40% - Énfasis6 2 2 2 2 2 2" xfId="1395" xr:uid="{8CE5E86C-FC7C-4F08-8748-24834F1154D3}"/>
    <cellStyle name="40% - Énfasis6 2 2 2 2 3" xfId="1051" xr:uid="{E4BDECEB-75D8-4832-BD38-900234C5D936}"/>
    <cellStyle name="40% - Énfasis6 2 2 2 3" xfId="535" xr:uid="{C8D09064-5E88-46EF-B2EC-1E710CFA422E}"/>
    <cellStyle name="40% - Énfasis6 2 2 2 3 2" xfId="1223" xr:uid="{5B676417-9857-4006-9576-A16D6C290F30}"/>
    <cellStyle name="40% - Énfasis6 2 2 2 4" xfId="879" xr:uid="{C1860F43-59E5-4F5E-831F-4EE6D293AC5F}"/>
    <cellStyle name="40% - Énfasis6 2 2 3" xfId="277" xr:uid="{2FC1EAE5-BA3F-4EF5-BA72-EA792907BB40}"/>
    <cellStyle name="40% - Énfasis6 2 2 3 2" xfId="621" xr:uid="{98F87474-7103-495B-8195-921554ACF9C2}"/>
    <cellStyle name="40% - Énfasis6 2 2 3 2 2" xfId="1309" xr:uid="{C51DEEE0-75B4-46E7-B25B-FCF266778164}"/>
    <cellStyle name="40% - Énfasis6 2 2 3 3" xfId="965" xr:uid="{888B3BAA-8167-4924-B6D4-AF89E24622EF}"/>
    <cellStyle name="40% - Énfasis6 2 2 4" xfId="449" xr:uid="{8D0DC5D5-F35D-48CD-AD44-0F06DCE3CFBA}"/>
    <cellStyle name="40% - Énfasis6 2 2 4 2" xfId="1137" xr:uid="{148BAB8E-4F40-4DCB-89B2-B13DF40C9370}"/>
    <cellStyle name="40% - Énfasis6 2 2 5" xfId="793" xr:uid="{390B4E7E-1AD9-499B-9614-F270DE274A92}"/>
    <cellStyle name="40% - Énfasis6 2 3" xfId="148" xr:uid="{3F188183-EAFC-43D3-8746-0CAD49183208}"/>
    <cellStyle name="40% - Énfasis6 2 3 2" xfId="320" xr:uid="{FE8804B7-952F-47A2-AF99-89460A0463E2}"/>
    <cellStyle name="40% - Énfasis6 2 3 2 2" xfId="664" xr:uid="{1A2D3AE1-54C9-4AE1-BC88-B3A8D9B1882E}"/>
    <cellStyle name="40% - Énfasis6 2 3 2 2 2" xfId="1352" xr:uid="{79544F80-22C1-475D-8873-C3D95E7A9CA5}"/>
    <cellStyle name="40% - Énfasis6 2 3 2 3" xfId="1008" xr:uid="{BD768635-7ABE-4BD8-AC64-7644200A21CD}"/>
    <cellStyle name="40% - Énfasis6 2 3 3" xfId="492" xr:uid="{CB93BBB5-7FC9-4DBD-A128-C8B273143C29}"/>
    <cellStyle name="40% - Énfasis6 2 3 3 2" xfId="1180" xr:uid="{D4F7DD03-89FC-4916-92C5-EC800D38D063}"/>
    <cellStyle name="40% - Énfasis6 2 3 4" xfId="836" xr:uid="{63B47C96-C01A-4028-ADDE-1CB120E903D4}"/>
    <cellStyle name="40% - Énfasis6 2 4" xfId="234" xr:uid="{F7114BB4-29E7-464C-81BC-72D77AD875FA}"/>
    <cellStyle name="40% - Énfasis6 2 4 2" xfId="578" xr:uid="{1597CDEF-492D-4537-B962-ACFBB7CD6CE3}"/>
    <cellStyle name="40% - Énfasis6 2 4 2 2" xfId="1266" xr:uid="{EC1BB6D4-21E5-4DA2-9E96-C3B63D928332}"/>
    <cellStyle name="40% - Énfasis6 2 4 3" xfId="922" xr:uid="{138D1889-C392-4C30-9AF5-2D9F23EC42BB}"/>
    <cellStyle name="40% - Énfasis6 2 5" xfId="406" xr:uid="{F58C5AF7-77D8-4AF2-9663-2B532DF2B597}"/>
    <cellStyle name="40% - Énfasis6 2 5 2" xfId="1094" xr:uid="{5484D8DB-0158-4F7C-9B26-22C82270D67E}"/>
    <cellStyle name="40% - Énfasis6 2 6" xfId="750" xr:uid="{4A4AAB22-99CB-4FA1-8F24-D1A1CCA6DC2F}"/>
    <cellStyle name="40% - Énfasis6 3" xfId="76" xr:uid="{00000000-0005-0000-0000-000023000000}"/>
    <cellStyle name="40% - Énfasis6 3 2" xfId="119" xr:uid="{C86B5F4E-7BDA-49A8-A7A9-837AF241967F}"/>
    <cellStyle name="40% - Énfasis6 3 2 2" xfId="205" xr:uid="{1E9EFC60-FFAD-40F5-B7DB-CA20E0C60AA3}"/>
    <cellStyle name="40% - Énfasis6 3 2 2 2" xfId="377" xr:uid="{870C0C4A-EA52-4A52-9076-A088D2780D18}"/>
    <cellStyle name="40% - Énfasis6 3 2 2 2 2" xfId="721" xr:uid="{61D3536B-6320-4C4F-B5A6-5D6C8766D6B1}"/>
    <cellStyle name="40% - Énfasis6 3 2 2 2 2 2" xfId="1409" xr:uid="{59318AB8-21A4-4819-B462-AFFFF95DEFFD}"/>
    <cellStyle name="40% - Énfasis6 3 2 2 2 3" xfId="1065" xr:uid="{9317CF4F-53E8-4139-A4D8-181CB6EC289C}"/>
    <cellStyle name="40% - Énfasis6 3 2 2 3" xfId="549" xr:uid="{BCFFFABF-E79C-4A4E-9659-B8D67E7FA935}"/>
    <cellStyle name="40% - Énfasis6 3 2 2 3 2" xfId="1237" xr:uid="{BDF18207-701A-4AF3-A9C2-EC41BFBC0125}"/>
    <cellStyle name="40% - Énfasis6 3 2 2 4" xfId="893" xr:uid="{215453CC-714A-4315-A317-1BE17C3454DE}"/>
    <cellStyle name="40% - Énfasis6 3 2 3" xfId="291" xr:uid="{FC32C263-A14E-4794-894B-E1AD92EDB13E}"/>
    <cellStyle name="40% - Énfasis6 3 2 3 2" xfId="635" xr:uid="{087F27CE-5177-4885-9A19-F4E5F8BC8067}"/>
    <cellStyle name="40% - Énfasis6 3 2 3 2 2" xfId="1323" xr:uid="{90B0D6E0-B143-4B02-A868-71FE820BE1C8}"/>
    <cellStyle name="40% - Énfasis6 3 2 3 3" xfId="979" xr:uid="{53819788-571B-42E2-9D46-63375CB35E36}"/>
    <cellStyle name="40% - Énfasis6 3 2 4" xfId="463" xr:uid="{C844F41D-5C25-4524-B614-7F47C3ACDEB5}"/>
    <cellStyle name="40% - Énfasis6 3 2 4 2" xfId="1151" xr:uid="{10844FF2-CA0E-4AE6-8FC8-B4ADFD2672EC}"/>
    <cellStyle name="40% - Énfasis6 3 2 5" xfId="807" xr:uid="{D2E270D6-C710-458E-8D22-FB8C4BD41A64}"/>
    <cellStyle name="40% - Énfasis6 3 3" xfId="162" xr:uid="{AFEFBC0B-4716-4BA5-B28B-95DABFFA53D2}"/>
    <cellStyle name="40% - Énfasis6 3 3 2" xfId="334" xr:uid="{3EAE3510-DBF2-4CF6-9A9A-5B2773C6B765}"/>
    <cellStyle name="40% - Énfasis6 3 3 2 2" xfId="678" xr:uid="{49A1A6F0-7C42-48B8-A5CD-0DC6940C6116}"/>
    <cellStyle name="40% - Énfasis6 3 3 2 2 2" xfId="1366" xr:uid="{B99666A4-A94C-4127-B8BB-A49508F750AB}"/>
    <cellStyle name="40% - Énfasis6 3 3 2 3" xfId="1022" xr:uid="{BCCE543A-91FC-4C25-9574-343471A0CE1A}"/>
    <cellStyle name="40% - Énfasis6 3 3 3" xfId="506" xr:uid="{81FA04AE-BCD8-47A9-800E-898BE897AE24}"/>
    <cellStyle name="40% - Énfasis6 3 3 3 2" xfId="1194" xr:uid="{F052925A-3CBF-46FB-B134-2E7CA131AE92}"/>
    <cellStyle name="40% - Énfasis6 3 3 4" xfId="850" xr:uid="{B40E34B3-D1A8-424E-BE8C-7DEB380079E7}"/>
    <cellStyle name="40% - Énfasis6 3 4" xfId="248" xr:uid="{64491EFE-0C43-4807-8B1D-89BDF1CAD5E7}"/>
    <cellStyle name="40% - Énfasis6 3 4 2" xfId="592" xr:uid="{50FF6DE9-E9D9-4D9F-9618-478971DFC8F1}"/>
    <cellStyle name="40% - Énfasis6 3 4 2 2" xfId="1280" xr:uid="{F3D579AD-6059-474F-A1B0-DDE4E61323C3}"/>
    <cellStyle name="40% - Énfasis6 3 4 3" xfId="936" xr:uid="{16B86F0C-27BF-4B3E-98F1-25F829834ABD}"/>
    <cellStyle name="40% - Énfasis6 3 5" xfId="420" xr:uid="{D727DE63-E23B-4F9F-9A73-54C9B10DB79B}"/>
    <cellStyle name="40% - Énfasis6 3 5 2" xfId="1108" xr:uid="{EAB9D59A-065F-470B-95E5-CDC139B5E4CD}"/>
    <cellStyle name="40% - Énfasis6 3 6" xfId="764" xr:uid="{FD3BBE6D-1884-413F-AB0D-AAD7FC5122F9}"/>
    <cellStyle name="40% - Énfasis6 4" xfId="89" xr:uid="{35BE3493-C65B-45BE-8CBD-BE138DDB9D67}"/>
    <cellStyle name="40% - Énfasis6 4 2" xfId="175" xr:uid="{96F8940C-27E9-475C-AF80-8CD3679B644D}"/>
    <cellStyle name="40% - Énfasis6 4 2 2" xfId="347" xr:uid="{EEBAA428-6760-4B12-A345-5CE5EE77D266}"/>
    <cellStyle name="40% - Énfasis6 4 2 2 2" xfId="691" xr:uid="{81426664-30A1-414E-A5F3-3A6AAB54F397}"/>
    <cellStyle name="40% - Énfasis6 4 2 2 2 2" xfId="1379" xr:uid="{739E3221-AA5E-4945-9152-2268F78D42BA}"/>
    <cellStyle name="40% - Énfasis6 4 2 2 3" xfId="1035" xr:uid="{AB869231-C455-4A08-87E7-B5F61F395D91}"/>
    <cellStyle name="40% - Énfasis6 4 2 3" xfId="519" xr:uid="{A4DD1E7C-56CD-4717-8522-3B34BB6A005B}"/>
    <cellStyle name="40% - Énfasis6 4 2 3 2" xfId="1207" xr:uid="{52F20745-86D5-4AF3-B97E-A99BFCC3F921}"/>
    <cellStyle name="40% - Énfasis6 4 2 4" xfId="863" xr:uid="{B3B21236-5B2F-447E-8A2D-E95177B12898}"/>
    <cellStyle name="40% - Énfasis6 4 3" xfId="261" xr:uid="{5050E296-A04E-4D8A-9641-C08A37D82819}"/>
    <cellStyle name="40% - Énfasis6 4 3 2" xfId="605" xr:uid="{039B7E1B-C6B3-4F2D-8334-5A03A9BABBE0}"/>
    <cellStyle name="40% - Énfasis6 4 3 2 2" xfId="1293" xr:uid="{0BE1C148-FDDE-46F9-9A2A-5A32ABEADAA2}"/>
    <cellStyle name="40% - Énfasis6 4 3 3" xfId="949" xr:uid="{6546EC9F-FDBC-4693-B6AF-3A72B4CC826C}"/>
    <cellStyle name="40% - Énfasis6 4 4" xfId="433" xr:uid="{EB03BD1D-72FF-4AB6-BB0B-D3813F717101}"/>
    <cellStyle name="40% - Énfasis6 4 4 2" xfId="1121" xr:uid="{5F154B24-314B-4F21-A6FD-9ACF7D3F43B5}"/>
    <cellStyle name="40% - Énfasis6 4 5" xfId="777" xr:uid="{3A55B20B-1C46-4901-8F95-566CEF54F587}"/>
    <cellStyle name="40% - Énfasis6 5" xfId="132" xr:uid="{EF7A3029-75B0-4146-8EF2-CE2877CAA950}"/>
    <cellStyle name="40% - Énfasis6 5 2" xfId="304" xr:uid="{22F6ADB5-D89A-46C5-9630-53C30F2BC93A}"/>
    <cellStyle name="40% - Énfasis6 5 2 2" xfId="648" xr:uid="{F1F75663-F979-498D-9FA9-366A8043877B}"/>
    <cellStyle name="40% - Énfasis6 5 2 2 2" xfId="1336" xr:uid="{7FBC0226-CB4F-48D6-BD45-0F10552ED759}"/>
    <cellStyle name="40% - Énfasis6 5 2 3" xfId="992" xr:uid="{D22B349F-20DA-499F-8A41-7C4504D56BD8}"/>
    <cellStyle name="40% - Énfasis6 5 3" xfId="476" xr:uid="{3D969A13-8C88-425D-994E-5EF3BC5D0C56}"/>
    <cellStyle name="40% - Énfasis6 5 3 2" xfId="1164" xr:uid="{7705DFB7-D974-4FDB-9EB9-F55E302EF793}"/>
    <cellStyle name="40% - Énfasis6 5 4" xfId="820" xr:uid="{70653433-E460-48FC-B363-98F1C4D90E99}"/>
    <cellStyle name="40% - Énfasis6 6" xfId="218" xr:uid="{C063ACA3-94EE-4548-BE90-235239C1E8A5}"/>
    <cellStyle name="40% - Énfasis6 6 2" xfId="562" xr:uid="{1FFBD375-BD8E-4C8E-A516-30E897363245}"/>
    <cellStyle name="40% - Énfasis6 6 2 2" xfId="1250" xr:uid="{612C6D29-00A6-4D9C-80C8-DBC115F78900}"/>
    <cellStyle name="40% - Énfasis6 6 3" xfId="906" xr:uid="{574FC09A-3B75-4B78-AA13-4101CE810E7F}"/>
    <cellStyle name="40% - Énfasis6 7" xfId="390" xr:uid="{BD91796C-BBFD-4964-8FBA-4DCAD7EDDD76}"/>
    <cellStyle name="40% - Énfasis6 7 2" xfId="1078" xr:uid="{106EF6AE-F70D-4567-AB7A-CCEA53C60A20}"/>
    <cellStyle name="40% - Énfasis6 8" xfId="734" xr:uid="{283B7080-8422-45E8-B2E4-F82F72A27167}"/>
    <cellStyle name="60% - Énfasis1 2" xfId="43" xr:uid="{00000000-0005-0000-0000-000024000000}"/>
    <cellStyle name="60% - Énfasis2 2" xfId="44" xr:uid="{00000000-0005-0000-0000-000025000000}"/>
    <cellStyle name="60% - Énfasis3 2" xfId="45" xr:uid="{00000000-0005-0000-0000-000026000000}"/>
    <cellStyle name="60% - Énfasis4 2" xfId="46" xr:uid="{00000000-0005-0000-0000-000027000000}"/>
    <cellStyle name="60% - Énfasis5 2" xfId="47" xr:uid="{00000000-0005-0000-0000-000028000000}"/>
    <cellStyle name="60% - Énfasis6 2" xfId="48" xr:uid="{00000000-0005-0000-0000-000029000000}"/>
    <cellStyle name="Bueno" xfId="11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7" builtinId="16" customBuiltin="1"/>
    <cellStyle name="Encabezado 4" xfId="10" builtinId="19" customBuiltin="1"/>
    <cellStyle name="Énfasis1" xfId="21" builtinId="29" customBuiltin="1"/>
    <cellStyle name="Énfasis2" xfId="24" builtinId="33" customBuiltin="1"/>
    <cellStyle name="Énfasis3" xfId="27" builtinId="37" customBuiltin="1"/>
    <cellStyle name="Énfasis4" xfId="30" builtinId="41" customBuiltin="1"/>
    <cellStyle name="Énfasis5" xfId="33" builtinId="45" customBuiltin="1"/>
    <cellStyle name="Énfasis6" xfId="36" builtinId="49" customBuiltin="1"/>
    <cellStyle name="Entrada" xfId="13" builtinId="20" customBuiltin="1"/>
    <cellStyle name="Euro" xfId="1" xr:uid="{00000000-0005-0000-0000-000037000000}"/>
    <cellStyle name="Incorrecto" xfId="12" builtinId="27" customBuiltin="1"/>
    <cellStyle name="Millares" xfId="2" builtinId="3"/>
    <cellStyle name="Millares [0]" xfId="3" builtinId="6"/>
    <cellStyle name="Neutral 2" xfId="41" xr:uid="{00000000-0005-0000-0000-00003C000000}"/>
    <cellStyle name="Normal" xfId="0" builtinId="0"/>
    <cellStyle name="Normal 2" xfId="5" xr:uid="{00000000-0005-0000-0000-00003E000000}"/>
    <cellStyle name="Normal 3" xfId="6" xr:uid="{00000000-0005-0000-0000-00003F000000}"/>
    <cellStyle name="Normal 4" xfId="39" xr:uid="{00000000-0005-0000-0000-000040000000}"/>
    <cellStyle name="Normal 4 2" xfId="90" xr:uid="{64A63CC1-68B4-4DF8-9208-DC12C77CC611}"/>
    <cellStyle name="Normal 4 2 2" xfId="176" xr:uid="{58B46776-114F-4ACB-B618-C199FB690BE3}"/>
    <cellStyle name="Normal 4 2 2 2" xfId="348" xr:uid="{FA90E9E6-0A33-4080-8449-A64D494B1914}"/>
    <cellStyle name="Normal 4 2 2 2 2" xfId="692" xr:uid="{E5B966BC-1501-464B-AE7A-32F14BB733AB}"/>
    <cellStyle name="Normal 4 2 2 2 2 2" xfId="1380" xr:uid="{220FE373-D958-433F-9ACA-388167C78CFE}"/>
    <cellStyle name="Normal 4 2 2 2 3" xfId="1036" xr:uid="{AD810086-594F-46BD-97A9-69EA2BD2E232}"/>
    <cellStyle name="Normal 4 2 2 3" xfId="520" xr:uid="{F3BD01E9-4581-4EA8-B9CA-EB813E029996}"/>
    <cellStyle name="Normal 4 2 2 3 2" xfId="1208" xr:uid="{F7D649D3-F07F-404B-BB84-2C3F879135B2}"/>
    <cellStyle name="Normal 4 2 2 4" xfId="864" xr:uid="{D37FAB5F-7EBD-4EB6-A857-F9B0566E86CC}"/>
    <cellStyle name="Normal 4 2 3" xfId="262" xr:uid="{E5FA2C08-973A-4864-8761-7108AA7ED7C1}"/>
    <cellStyle name="Normal 4 2 3 2" xfId="606" xr:uid="{6A49C96F-1BEF-4F04-940E-8F6863A9860B}"/>
    <cellStyle name="Normal 4 2 3 2 2" xfId="1294" xr:uid="{58C52CF1-FD6F-4029-9847-265BFE0FC593}"/>
    <cellStyle name="Normal 4 2 3 3" xfId="950" xr:uid="{5F5744D6-EA05-41FD-B922-6945C12BB354}"/>
    <cellStyle name="Normal 4 2 4" xfId="434" xr:uid="{147EE0C8-B76F-4B25-B7F5-9467EC0748F6}"/>
    <cellStyle name="Normal 4 2 4 2" xfId="1122" xr:uid="{83982CDD-4146-4E0E-8E3D-A3A231EF1437}"/>
    <cellStyle name="Normal 4 2 5" xfId="778" xr:uid="{42F5CCCB-EF7B-4179-A4CC-6886E9ADC77A}"/>
    <cellStyle name="Normal 4 3" xfId="133" xr:uid="{F9A1AEB6-B82B-45F3-A021-B148206E14D8}"/>
    <cellStyle name="Normal 4 3 2" xfId="305" xr:uid="{E43BD9F2-76BC-4F76-8978-852339C352E6}"/>
    <cellStyle name="Normal 4 3 2 2" xfId="649" xr:uid="{EF486B20-C02D-464F-B70B-8FCCE864BE37}"/>
    <cellStyle name="Normal 4 3 2 2 2" xfId="1337" xr:uid="{FDDC4B76-2EE5-4407-A4D2-8ECF078AA754}"/>
    <cellStyle name="Normal 4 3 2 3" xfId="993" xr:uid="{54B9F1B8-9690-459C-BB6E-7ADFF79D55C2}"/>
    <cellStyle name="Normal 4 3 3" xfId="477" xr:uid="{4B7E03F0-77F5-4C75-93F8-9E041F34669E}"/>
    <cellStyle name="Normal 4 3 3 2" xfId="1165" xr:uid="{773A6F0F-2BE3-4D28-AE9D-4F6242245354}"/>
    <cellStyle name="Normal 4 3 4" xfId="821" xr:uid="{6168BD74-DDD9-43E4-96E5-74BD769A2549}"/>
    <cellStyle name="Normal 4 4" xfId="219" xr:uid="{60951C0A-6181-4653-98DB-200A4A4AB2E1}"/>
    <cellStyle name="Normal 4 4 2" xfId="563" xr:uid="{CE4C1D57-7769-4D0A-A7A0-01F637237E73}"/>
    <cellStyle name="Normal 4 4 2 2" xfId="1251" xr:uid="{5A03DCD0-9A82-499B-96E9-348A513AB208}"/>
    <cellStyle name="Normal 4 4 3" xfId="907" xr:uid="{389B6D34-BB1A-4231-B137-4456EBF0AA93}"/>
    <cellStyle name="Normal 4 5" xfId="391" xr:uid="{B883226A-3621-4523-A8CE-574ABD5DD8DB}"/>
    <cellStyle name="Normal 4 5 2" xfId="1079" xr:uid="{610FF48A-F59C-40D8-A18D-93AFD34AAC8B}"/>
    <cellStyle name="Normal 4 6" xfId="735" xr:uid="{AF96694D-24AE-426B-9B52-CC65C09D7237}"/>
    <cellStyle name="Normal 5" xfId="49" xr:uid="{00000000-0005-0000-0000-000041000000}"/>
    <cellStyle name="Normal 5 2" xfId="92" xr:uid="{2FCD3CFD-5447-4139-B365-3CAF7309BEA5}"/>
    <cellStyle name="Normal 5 2 2" xfId="178" xr:uid="{3350B91E-5A5A-4078-906B-277CDFE57F64}"/>
    <cellStyle name="Normal 5 2 2 2" xfId="350" xr:uid="{9A389E3D-1935-4F41-8EC7-6B0B392A76B9}"/>
    <cellStyle name="Normal 5 2 2 2 2" xfId="694" xr:uid="{AC433382-144C-4DC5-B75D-2CE5B4A33084}"/>
    <cellStyle name="Normal 5 2 2 2 2 2" xfId="1382" xr:uid="{44389463-4A13-48BF-ACAE-481281BFBB46}"/>
    <cellStyle name="Normal 5 2 2 2 3" xfId="1038" xr:uid="{81450E6F-883B-40DA-8180-5D25EF1A7A7D}"/>
    <cellStyle name="Normal 5 2 2 3" xfId="522" xr:uid="{EC34E35E-F536-455A-81CC-F1873EFF58FA}"/>
    <cellStyle name="Normal 5 2 2 3 2" xfId="1210" xr:uid="{04F4ADB9-0E30-4384-9FC9-C48A501A3DA1}"/>
    <cellStyle name="Normal 5 2 2 4" xfId="866" xr:uid="{42762CE8-CAA0-4743-AC99-7603F3F92EA3}"/>
    <cellStyle name="Normal 5 2 3" xfId="264" xr:uid="{F871E358-5689-4EA8-B376-159DF21DEB56}"/>
    <cellStyle name="Normal 5 2 3 2" xfId="608" xr:uid="{C2D27BEB-E956-4E40-816D-B5796DFD2F3F}"/>
    <cellStyle name="Normal 5 2 3 2 2" xfId="1296" xr:uid="{E2ADBD14-AA33-410C-8809-6DCD698F4EAF}"/>
    <cellStyle name="Normal 5 2 3 3" xfId="952" xr:uid="{DBB84913-3EB3-4453-B97B-20D6B28CF022}"/>
    <cellStyle name="Normal 5 2 4" xfId="436" xr:uid="{9FC69AB1-A278-443A-83E7-4B81E5E103C4}"/>
    <cellStyle name="Normal 5 2 4 2" xfId="1124" xr:uid="{D016B227-A4E3-4659-BBD7-D26E6D02CC0E}"/>
    <cellStyle name="Normal 5 2 5" xfId="780" xr:uid="{EC9C2AE8-18FC-477E-830F-CA0B1D9E9F2E}"/>
    <cellStyle name="Normal 5 3" xfId="135" xr:uid="{0CC923D4-50FC-4CEE-B74A-896DF6580737}"/>
    <cellStyle name="Normal 5 3 2" xfId="307" xr:uid="{2D0F1B51-ADEE-4D67-BDC4-9A19F0FAD703}"/>
    <cellStyle name="Normal 5 3 2 2" xfId="651" xr:uid="{A385B772-EDB4-4F9E-9A3F-8B5EFCF4C187}"/>
    <cellStyle name="Normal 5 3 2 2 2" xfId="1339" xr:uid="{779B93BF-945A-4000-8776-06765EBCFD84}"/>
    <cellStyle name="Normal 5 3 2 3" xfId="995" xr:uid="{EB617506-9F3D-47CB-AE1A-D1F3801FFEE5}"/>
    <cellStyle name="Normal 5 3 3" xfId="479" xr:uid="{0E7DA471-AC2D-4534-B232-FDC21A2C3C77}"/>
    <cellStyle name="Normal 5 3 3 2" xfId="1167" xr:uid="{7D9F3088-269C-4DA1-BD9D-5E96C36726B0}"/>
    <cellStyle name="Normal 5 3 4" xfId="823" xr:uid="{0DA5BA3B-D8B9-4186-B343-903064FA5856}"/>
    <cellStyle name="Normal 5 4" xfId="221" xr:uid="{572B7D1E-4A37-4517-8D17-7B208C1AFE31}"/>
    <cellStyle name="Normal 5 4 2" xfId="565" xr:uid="{4C900860-7CAE-48BB-85D3-9642047FC392}"/>
    <cellStyle name="Normal 5 4 2 2" xfId="1253" xr:uid="{5C7CE2C0-935C-45DE-A8F7-0BDC5EDE0049}"/>
    <cellStyle name="Normal 5 4 3" xfId="909" xr:uid="{B80FECDC-F8E5-4D2F-A06B-1E79EFBEA6DA}"/>
    <cellStyle name="Normal 5 5" xfId="393" xr:uid="{5EB999CE-52EA-458E-8E80-3198854F1B74}"/>
    <cellStyle name="Normal 5 5 2" xfId="1081" xr:uid="{EF0F30D1-A967-4A2E-98E3-515798654A7F}"/>
    <cellStyle name="Normal 5 6" xfId="737" xr:uid="{8695F95E-8AAD-44ED-A79B-A8D53F863D2F}"/>
    <cellStyle name="Normal 6" xfId="63" xr:uid="{00000000-0005-0000-0000-000042000000}"/>
    <cellStyle name="Normal 6 2" xfId="106" xr:uid="{0B19AEE5-24C6-49D5-B17F-40CC856480C7}"/>
    <cellStyle name="Normal 6 2 2" xfId="192" xr:uid="{644FD793-9AD3-4A3A-A8D9-DB383F46A45B}"/>
    <cellStyle name="Normal 6 2 2 2" xfId="364" xr:uid="{DFEC1305-0BBA-4CF9-85DB-6CD8CF258FD9}"/>
    <cellStyle name="Normal 6 2 2 2 2" xfId="708" xr:uid="{3F45B8B6-A28E-48B7-A44E-1A67434B40C0}"/>
    <cellStyle name="Normal 6 2 2 2 2 2" xfId="1396" xr:uid="{70217858-C856-4737-9DFE-9EBAC152B5B9}"/>
    <cellStyle name="Normal 6 2 2 2 3" xfId="1052" xr:uid="{6A4C59AA-E2FB-4C95-B78D-FB0A10387E3A}"/>
    <cellStyle name="Normal 6 2 2 3" xfId="536" xr:uid="{9EF9E82B-C48B-4E77-84C7-9C2C6844A839}"/>
    <cellStyle name="Normal 6 2 2 3 2" xfId="1224" xr:uid="{BB58DB22-5E6D-4D37-935B-392A5A2934AB}"/>
    <cellStyle name="Normal 6 2 2 4" xfId="880" xr:uid="{F7607B30-6B93-4A7B-955E-EF840EF66905}"/>
    <cellStyle name="Normal 6 2 3" xfId="278" xr:uid="{98617C46-B80A-4DAC-BD4A-7F288DF1D0E0}"/>
    <cellStyle name="Normal 6 2 3 2" xfId="622" xr:uid="{A32AD083-1B7E-4821-9542-56F640E6FB68}"/>
    <cellStyle name="Normal 6 2 3 2 2" xfId="1310" xr:uid="{D124A324-B31D-4103-9B4D-D747F01B0B5E}"/>
    <cellStyle name="Normal 6 2 3 3" xfId="966" xr:uid="{0A1D285F-9035-401C-94E8-AA60AE46585E}"/>
    <cellStyle name="Normal 6 2 4" xfId="450" xr:uid="{EF183B27-9AF7-4998-B9E0-E1F296C62A6F}"/>
    <cellStyle name="Normal 6 2 4 2" xfId="1138" xr:uid="{58515500-887C-4A79-87A9-A1761133CF1E}"/>
    <cellStyle name="Normal 6 2 5" xfId="794" xr:uid="{73667D73-C1A9-4882-8F86-7FE970F14943}"/>
    <cellStyle name="Normal 6 3" xfId="149" xr:uid="{4C9D982D-49D1-412E-A3F3-1EF00539E705}"/>
    <cellStyle name="Normal 6 3 2" xfId="321" xr:uid="{C95AF7EF-BB56-4342-9E6B-2AE0E391C658}"/>
    <cellStyle name="Normal 6 3 2 2" xfId="665" xr:uid="{F26EB2C9-977B-4458-89B8-C5FA2FE52F60}"/>
    <cellStyle name="Normal 6 3 2 2 2" xfId="1353" xr:uid="{FABBADC5-B90D-4CE6-830A-FA89544C9B3C}"/>
    <cellStyle name="Normal 6 3 2 3" xfId="1009" xr:uid="{D15A0ED0-35D6-4C50-8CD5-272A7B944EAE}"/>
    <cellStyle name="Normal 6 3 3" xfId="493" xr:uid="{6251B52F-380B-4208-A836-2669CB08ADD5}"/>
    <cellStyle name="Normal 6 3 3 2" xfId="1181" xr:uid="{5A7AED3D-84C3-4557-8AB1-329DF6021F50}"/>
    <cellStyle name="Normal 6 3 4" xfId="837" xr:uid="{FBEEF796-4F3A-4E1C-8CF8-5FF8F506C3EA}"/>
    <cellStyle name="Normal 6 4" xfId="235" xr:uid="{53875EDC-A389-4A28-AB15-51C186C2E360}"/>
    <cellStyle name="Normal 6 4 2" xfId="579" xr:uid="{CF52637F-3791-4622-AC5F-68B2E5A8A8C0}"/>
    <cellStyle name="Normal 6 4 2 2" xfId="1267" xr:uid="{9E88EF62-3CF4-49FF-B657-776676C1E472}"/>
    <cellStyle name="Normal 6 4 3" xfId="923" xr:uid="{593B918D-4475-47BD-83E6-6EFD757F684E}"/>
    <cellStyle name="Normal 6 5" xfId="407" xr:uid="{25F39854-1225-4208-9216-9F3F7D48E3C9}"/>
    <cellStyle name="Normal 6 5 2" xfId="1095" xr:uid="{7D6CC71E-0DD4-43DC-9622-0C4101FB7639}"/>
    <cellStyle name="Normal 6 6" xfId="751" xr:uid="{7F539410-A6BC-43E9-A81C-CA242A5131AF}"/>
    <cellStyle name="Notas 2" xfId="42" xr:uid="{00000000-0005-0000-0000-000043000000}"/>
    <cellStyle name="Notas 2 2" xfId="91" xr:uid="{0A39872E-EEE1-45EC-A19C-20F8252E2140}"/>
    <cellStyle name="Notas 2 2 2" xfId="177" xr:uid="{683B9AB5-D620-400F-8407-9405DBDF5876}"/>
    <cellStyle name="Notas 2 2 2 2" xfId="349" xr:uid="{551003A4-74AB-4AE1-B197-B3EA13945BCB}"/>
    <cellStyle name="Notas 2 2 2 2 2" xfId="693" xr:uid="{8760B722-63FC-42CC-B03E-1B77C3201CA0}"/>
    <cellStyle name="Notas 2 2 2 2 2 2" xfId="1381" xr:uid="{CF5F721F-AB48-4386-B043-7363A306E4B8}"/>
    <cellStyle name="Notas 2 2 2 2 3" xfId="1037" xr:uid="{2AFE3516-D742-489E-B605-FD8702FC3537}"/>
    <cellStyle name="Notas 2 2 2 3" xfId="521" xr:uid="{B37CCC3F-4B5A-4982-AFDA-EA8B99C2583C}"/>
    <cellStyle name="Notas 2 2 2 3 2" xfId="1209" xr:uid="{29C8A5AA-703C-45BB-89ED-03AE40F28AC9}"/>
    <cellStyle name="Notas 2 2 2 4" xfId="865" xr:uid="{E0888E53-7547-4A5F-A9D2-2F773CBA16DA}"/>
    <cellStyle name="Notas 2 2 3" xfId="263" xr:uid="{BA0AD290-B245-4C8C-B087-EDF3885437E1}"/>
    <cellStyle name="Notas 2 2 3 2" xfId="607" xr:uid="{EE5E4F17-0942-4540-B7CD-188897B80E5A}"/>
    <cellStyle name="Notas 2 2 3 2 2" xfId="1295" xr:uid="{CE379212-0E21-474C-B3E2-9F3364454FF4}"/>
    <cellStyle name="Notas 2 2 3 3" xfId="951" xr:uid="{33A3AF28-E6B6-466C-B14F-296AA1CBA629}"/>
    <cellStyle name="Notas 2 2 4" xfId="435" xr:uid="{EC0E5C01-41DA-406E-854B-1BF5BF032D04}"/>
    <cellStyle name="Notas 2 2 4 2" xfId="1123" xr:uid="{4AC00F39-75E0-4239-AC3A-B5BB79122C14}"/>
    <cellStyle name="Notas 2 2 5" xfId="779" xr:uid="{D7D9BF11-EBCA-41E5-92E7-F2F3B05D8D5B}"/>
    <cellStyle name="Notas 2 3" xfId="134" xr:uid="{2FEC3D26-55FC-46E8-A395-22F58CAA4038}"/>
    <cellStyle name="Notas 2 3 2" xfId="306" xr:uid="{55E847BA-56B6-47D6-BDCA-551DBAF9445D}"/>
    <cellStyle name="Notas 2 3 2 2" xfId="650" xr:uid="{C123C32E-74CC-47B0-AC5B-AE1041AEE175}"/>
    <cellStyle name="Notas 2 3 2 2 2" xfId="1338" xr:uid="{D6677CDC-312D-489B-AC9B-9C8AA13A3F55}"/>
    <cellStyle name="Notas 2 3 2 3" xfId="994" xr:uid="{4CC440BA-7DFB-426F-8E15-C03D75F74C24}"/>
    <cellStyle name="Notas 2 3 3" xfId="478" xr:uid="{75519E28-7B63-4FD2-A79A-079E5C7EDA15}"/>
    <cellStyle name="Notas 2 3 3 2" xfId="1166" xr:uid="{B2D04972-9DFB-4B4A-8D41-92DBCCE86A67}"/>
    <cellStyle name="Notas 2 3 4" xfId="822" xr:uid="{4CE4B7C8-D2C0-4A6B-8CB3-30204A53BD94}"/>
    <cellStyle name="Notas 2 4" xfId="220" xr:uid="{DCC50E00-5E0A-423E-9534-C02015917F46}"/>
    <cellStyle name="Notas 2 4 2" xfId="564" xr:uid="{ABE0A375-D6C8-4D82-94D8-DA34B082F7C2}"/>
    <cellStyle name="Notas 2 4 2 2" xfId="1252" xr:uid="{FAE820FA-8EBF-4939-B108-CEA369CFD04E}"/>
    <cellStyle name="Notas 2 4 3" xfId="908" xr:uid="{01332E80-A03C-4322-ACD9-627C09232A1E}"/>
    <cellStyle name="Notas 2 5" xfId="392" xr:uid="{2F512256-65C8-44AD-8AF8-6784B3D0ADE9}"/>
    <cellStyle name="Notas 2 5 2" xfId="1080" xr:uid="{0C1F9865-2A00-44B0-A60C-C13683C7675F}"/>
    <cellStyle name="Notas 2 6" xfId="736" xr:uid="{0B6BAA81-B28F-4C5B-BCDA-2036A6771A74}"/>
    <cellStyle name="Notas 3" xfId="50" xr:uid="{00000000-0005-0000-0000-000044000000}"/>
    <cellStyle name="Notas 3 2" xfId="93" xr:uid="{78E05B05-2A0E-4794-9962-5BC58DB33108}"/>
    <cellStyle name="Notas 3 2 2" xfId="179" xr:uid="{00F15FC6-563C-46C4-97AA-8E20CCC0ED69}"/>
    <cellStyle name="Notas 3 2 2 2" xfId="351" xr:uid="{08E36452-AA51-4101-BBC7-26EDB97AF05B}"/>
    <cellStyle name="Notas 3 2 2 2 2" xfId="695" xr:uid="{FA144BB7-7D83-42ED-B51E-1C24D9229A74}"/>
    <cellStyle name="Notas 3 2 2 2 2 2" xfId="1383" xr:uid="{AC5E9E3D-872D-4253-A074-265FC08ACC1C}"/>
    <cellStyle name="Notas 3 2 2 2 3" xfId="1039" xr:uid="{173F57B8-6174-48E4-95EC-C777CEA7BFA3}"/>
    <cellStyle name="Notas 3 2 2 3" xfId="523" xr:uid="{89EC2E70-F3F6-4E10-AB46-44BA06890EDC}"/>
    <cellStyle name="Notas 3 2 2 3 2" xfId="1211" xr:uid="{820DD10D-4FC4-454B-AC73-896199C59CB9}"/>
    <cellStyle name="Notas 3 2 2 4" xfId="867" xr:uid="{294D9CE8-9B2C-48C8-987B-5E4A6411DCC7}"/>
    <cellStyle name="Notas 3 2 3" xfId="265" xr:uid="{560A2E24-5339-4E56-B9CC-05ECF7E26841}"/>
    <cellStyle name="Notas 3 2 3 2" xfId="609" xr:uid="{EE85C779-CB92-4AD0-A857-40F7E3E80A86}"/>
    <cellStyle name="Notas 3 2 3 2 2" xfId="1297" xr:uid="{BD175146-3E8D-465A-B431-ED7EFA4E1E39}"/>
    <cellStyle name="Notas 3 2 3 3" xfId="953" xr:uid="{323AF373-C99F-4110-9513-145368138AD6}"/>
    <cellStyle name="Notas 3 2 4" xfId="437" xr:uid="{BC57BB8E-BA0B-49EE-91E1-C77AB037958A}"/>
    <cellStyle name="Notas 3 2 4 2" xfId="1125" xr:uid="{04B728BE-3D40-4987-8863-FBF0ACD3BE98}"/>
    <cellStyle name="Notas 3 2 5" xfId="781" xr:uid="{E2CBAD04-3D5A-4CD9-A9AB-01BCBF22C3BD}"/>
    <cellStyle name="Notas 3 3" xfId="136" xr:uid="{FE49D388-84E6-45A6-98DB-910B17B6D729}"/>
    <cellStyle name="Notas 3 3 2" xfId="308" xr:uid="{2314EC3A-E206-4A97-8404-B848D7FE97DF}"/>
    <cellStyle name="Notas 3 3 2 2" xfId="652" xr:uid="{5E687D07-29A7-44CF-B3AD-120E9ACE4D16}"/>
    <cellStyle name="Notas 3 3 2 2 2" xfId="1340" xr:uid="{53AD1AE6-2740-4CF0-A184-25FAA6D6065A}"/>
    <cellStyle name="Notas 3 3 2 3" xfId="996" xr:uid="{975516AA-37B1-48B6-8FE4-D474FDCD2789}"/>
    <cellStyle name="Notas 3 3 3" xfId="480" xr:uid="{7ED04AEC-D626-46B0-89D8-5023F1CE135F}"/>
    <cellStyle name="Notas 3 3 3 2" xfId="1168" xr:uid="{2C78CA88-FF27-4874-9274-DC2A08451932}"/>
    <cellStyle name="Notas 3 3 4" xfId="824" xr:uid="{95B33B73-73F9-4C4E-BF12-920BEDBCED9D}"/>
    <cellStyle name="Notas 3 4" xfId="222" xr:uid="{F7EC13DA-C882-4BDB-ABAD-4691D673F656}"/>
    <cellStyle name="Notas 3 4 2" xfId="566" xr:uid="{03BC4F70-CCC6-4CAF-AABE-860B5C5FB3B4}"/>
    <cellStyle name="Notas 3 4 2 2" xfId="1254" xr:uid="{F0C13D75-E132-47F2-BCBA-87B9A42E63C8}"/>
    <cellStyle name="Notas 3 4 3" xfId="910" xr:uid="{4FC4575C-A161-4EAE-B40A-2A370BE2C57B}"/>
    <cellStyle name="Notas 3 5" xfId="394" xr:uid="{B312D774-878B-466F-95CD-AF45EC7EE482}"/>
    <cellStyle name="Notas 3 5 2" xfId="1082" xr:uid="{8153DC05-723E-4595-BADF-A76E14119513}"/>
    <cellStyle name="Notas 3 6" xfId="738" xr:uid="{28C981FC-49F3-48FB-8DF1-C96CDD4688C0}"/>
    <cellStyle name="Notas 4" xfId="64" xr:uid="{00000000-0005-0000-0000-000045000000}"/>
    <cellStyle name="Notas 4 2" xfId="107" xr:uid="{DFC5DA28-7EC1-4528-BE06-13A041DC0B09}"/>
    <cellStyle name="Notas 4 2 2" xfId="193" xr:uid="{2CA633FE-58C2-4214-8BE9-1B682963C8C8}"/>
    <cellStyle name="Notas 4 2 2 2" xfId="365" xr:uid="{1218993F-3EC2-4A6B-90AD-6232CB1A895B}"/>
    <cellStyle name="Notas 4 2 2 2 2" xfId="709" xr:uid="{C34E9B79-2373-497C-90A7-C2B97B650393}"/>
    <cellStyle name="Notas 4 2 2 2 2 2" xfId="1397" xr:uid="{C8763B5A-056D-48D0-9346-5CF4EB5CBC2D}"/>
    <cellStyle name="Notas 4 2 2 2 3" xfId="1053" xr:uid="{F2A8B838-F3D7-4227-B7B1-1FE11F65886E}"/>
    <cellStyle name="Notas 4 2 2 3" xfId="537" xr:uid="{D5283152-AEBB-42F8-B4D7-1E0F417EDD50}"/>
    <cellStyle name="Notas 4 2 2 3 2" xfId="1225" xr:uid="{F200C534-6CFF-40E4-8CB7-2EEB7B27D7E1}"/>
    <cellStyle name="Notas 4 2 2 4" xfId="881" xr:uid="{BBA3D4C5-A27D-4475-B636-12693B96EE2B}"/>
    <cellStyle name="Notas 4 2 3" xfId="279" xr:uid="{D6C15627-DE59-48A1-9144-2EE22402B4ED}"/>
    <cellStyle name="Notas 4 2 3 2" xfId="623" xr:uid="{BAB5DBD3-824F-42EF-A071-4D1C5E14BECA}"/>
    <cellStyle name="Notas 4 2 3 2 2" xfId="1311" xr:uid="{803AF407-EE18-40E7-A88D-DDF64E1E0F69}"/>
    <cellStyle name="Notas 4 2 3 3" xfId="967" xr:uid="{72CFB37F-F9EB-44A0-A72E-F9371EDC2E57}"/>
    <cellStyle name="Notas 4 2 4" xfId="451" xr:uid="{257091AF-D4FC-4357-B41D-1A926B77C64B}"/>
    <cellStyle name="Notas 4 2 4 2" xfId="1139" xr:uid="{12FB3B8E-9122-4204-8B95-91DC38D186F2}"/>
    <cellStyle name="Notas 4 2 5" xfId="795" xr:uid="{A1B82A81-1246-426A-A35C-BC9DF0A7C562}"/>
    <cellStyle name="Notas 4 3" xfId="150" xr:uid="{04BB88FF-DF0F-4646-9250-684F1D2D0FB3}"/>
    <cellStyle name="Notas 4 3 2" xfId="322" xr:uid="{10447B10-C646-46F2-B2DA-D880FAEE3BEF}"/>
    <cellStyle name="Notas 4 3 2 2" xfId="666" xr:uid="{768342E3-B683-4523-892B-7EF9BE778497}"/>
    <cellStyle name="Notas 4 3 2 2 2" xfId="1354" xr:uid="{3FBEAEE9-4D45-44C9-8220-C729887C67A6}"/>
    <cellStyle name="Notas 4 3 2 3" xfId="1010" xr:uid="{AE8BEEB8-5CF6-4C6F-B7C2-5476E4A20C21}"/>
    <cellStyle name="Notas 4 3 3" xfId="494" xr:uid="{B2EC0389-BE55-4432-BE99-9C2545C152D5}"/>
    <cellStyle name="Notas 4 3 3 2" xfId="1182" xr:uid="{8642BA32-AD79-4EBD-9E6B-65FCECB74743}"/>
    <cellStyle name="Notas 4 3 4" xfId="838" xr:uid="{A0005D12-CF83-4C93-8A89-A0AC29E3C3A0}"/>
    <cellStyle name="Notas 4 4" xfId="236" xr:uid="{5DF308DA-0BA5-4DE9-8A22-04CD137AD4D0}"/>
    <cellStyle name="Notas 4 4 2" xfId="580" xr:uid="{204114D0-D44C-4BD4-851C-DB9A0527BBB5}"/>
    <cellStyle name="Notas 4 4 2 2" xfId="1268" xr:uid="{108BAC64-EEA1-4EE0-92B5-1845DC44A6E2}"/>
    <cellStyle name="Notas 4 4 3" xfId="924" xr:uid="{BE2FA43B-6ACA-4580-A874-E7574A4A2C7F}"/>
    <cellStyle name="Notas 4 5" xfId="408" xr:uid="{BA51C690-B5D8-4BD9-81DE-2703212786FE}"/>
    <cellStyle name="Notas 4 5 2" xfId="1096" xr:uid="{5594342C-6074-410B-B6EF-64865FFBE24B}"/>
    <cellStyle name="Notas 4 6" xfId="752" xr:uid="{401E61AD-6AC1-4224-BBC7-6EC2CDCF6564}"/>
    <cellStyle name="Porcentaje" xfId="4" builtinId="5"/>
    <cellStyle name="Porcentaje 2" xfId="77" xr:uid="{260C3BB1-F55E-4FF6-884E-DA149E90C40D}"/>
    <cellStyle name="Porcentaje 2 2" xfId="120" xr:uid="{2EA38AD9-813B-4642-A9F4-CB3866E8AAA2}"/>
    <cellStyle name="Porcentaje 2 2 2" xfId="206" xr:uid="{AF16542C-610B-4BC8-B64A-97F056A889B4}"/>
    <cellStyle name="Porcentaje 2 2 2 2" xfId="378" xr:uid="{AC43EC56-E14A-4F49-B77A-1EF910925143}"/>
    <cellStyle name="Porcentaje 2 2 2 2 2" xfId="722" xr:uid="{D1D53A00-7AA3-4FE0-8A62-6D25EE8DE8AD}"/>
    <cellStyle name="Porcentaje 2 2 2 2 2 2" xfId="1410" xr:uid="{CCC9D6B8-B107-402B-8BBC-F52DF0C45EBD}"/>
    <cellStyle name="Porcentaje 2 2 2 2 3" xfId="1066" xr:uid="{538E9460-F84B-4D75-BBFC-13C981CC4715}"/>
    <cellStyle name="Porcentaje 2 2 2 3" xfId="550" xr:uid="{4F4717AB-5171-4D4E-AFE0-EE25B89DD56E}"/>
    <cellStyle name="Porcentaje 2 2 2 3 2" xfId="1238" xr:uid="{6A5E094A-D647-475B-A3EC-99D8C184595C}"/>
    <cellStyle name="Porcentaje 2 2 2 4" xfId="894" xr:uid="{6F7F15BD-7585-42B2-96A3-4E873F25BA88}"/>
    <cellStyle name="Porcentaje 2 2 3" xfId="292" xr:uid="{57C7A758-E76C-4FC6-9689-C167B4C225B1}"/>
    <cellStyle name="Porcentaje 2 2 3 2" xfId="636" xr:uid="{24A78614-7DA1-426F-87E0-3D5F2F133AC0}"/>
    <cellStyle name="Porcentaje 2 2 3 2 2" xfId="1324" xr:uid="{1112E65B-76AA-44F7-8FA7-B85CE5E06691}"/>
    <cellStyle name="Porcentaje 2 2 3 3" xfId="980" xr:uid="{65EDEB1F-A250-49CB-8405-822063D80E55}"/>
    <cellStyle name="Porcentaje 2 2 4" xfId="464" xr:uid="{67F1BC08-477D-402F-8987-17DDD37135D9}"/>
    <cellStyle name="Porcentaje 2 2 4 2" xfId="1152" xr:uid="{2AF7DCD2-187F-441E-BD42-E4B8F4A099C8}"/>
    <cellStyle name="Porcentaje 2 2 5" xfId="808" xr:uid="{9EE9B099-4182-4BAC-85B7-54B89F58278E}"/>
    <cellStyle name="Porcentaje 2 3" xfId="163" xr:uid="{31E5E6C9-C51B-4F52-8AF3-5E16DF9D848C}"/>
    <cellStyle name="Porcentaje 2 3 2" xfId="335" xr:uid="{2989B100-7977-41BA-BC24-80ABEF193CC7}"/>
    <cellStyle name="Porcentaje 2 3 2 2" xfId="679" xr:uid="{DDEEE9D7-D381-4BE2-8E8C-085DB7482455}"/>
    <cellStyle name="Porcentaje 2 3 2 2 2" xfId="1367" xr:uid="{8A29252F-100D-44E8-9006-D13AAE09D80A}"/>
    <cellStyle name="Porcentaje 2 3 2 3" xfId="1023" xr:uid="{EE9DC973-FE3D-42DD-ADCD-AD4C92BB1702}"/>
    <cellStyle name="Porcentaje 2 3 3" xfId="507" xr:uid="{3080678F-1568-4098-A843-C469FF902512}"/>
    <cellStyle name="Porcentaje 2 3 3 2" xfId="1195" xr:uid="{FD8B3CF1-DB46-42D7-BB40-2986A0177D68}"/>
    <cellStyle name="Porcentaje 2 3 4" xfId="851" xr:uid="{F1BA5F5F-F21D-47A7-989E-98330BA13584}"/>
    <cellStyle name="Porcentaje 2 4" xfId="249" xr:uid="{15AECADC-93B8-4656-8C6A-E515DC3D8544}"/>
    <cellStyle name="Porcentaje 2 4 2" xfId="593" xr:uid="{07CE87E2-482A-4BD7-B3BB-509D3974A471}"/>
    <cellStyle name="Porcentaje 2 4 2 2" xfId="1281" xr:uid="{DD1CAAF6-D4A4-458F-9845-BC3736902898}"/>
    <cellStyle name="Porcentaje 2 4 3" xfId="937" xr:uid="{2CBAAFEB-882A-47D6-BC28-47021DAAC002}"/>
    <cellStyle name="Porcentaje 2 4 4" xfId="1412" xr:uid="{499AEF10-AA55-4286-9986-E69B50926AA0}"/>
    <cellStyle name="Porcentaje 2 5" xfId="421" xr:uid="{F14A7991-3CE2-4EE4-A49E-AF14044C83DC}"/>
    <cellStyle name="Porcentaje 2 5 2" xfId="1109" xr:uid="{9A122B6B-688E-4F7A-9D9A-05EEC0347804}"/>
    <cellStyle name="Porcentaje 2 6" xfId="765" xr:uid="{04893CCC-1E7D-4046-A2BB-4CC49178ABD4}"/>
    <cellStyle name="Porcentaje 2 7" xfId="1411" xr:uid="{771C3830-0907-4B0A-A0B9-8D0100350D50}"/>
    <cellStyle name="Salida" xfId="14" builtinId="21" customBuiltin="1"/>
    <cellStyle name="Texto de advertencia" xfId="18" builtinId="11" customBuiltin="1"/>
    <cellStyle name="Texto explicativo" xfId="19" builtinId="53" customBuiltin="1"/>
    <cellStyle name="Título 2" xfId="8" builtinId="17" customBuiltin="1"/>
    <cellStyle name="Título 3" xfId="9" builtinId="18" customBuiltin="1"/>
    <cellStyle name="Título 4" xfId="40" xr:uid="{00000000-0005-0000-0000-00004C000000}"/>
    <cellStyle name="Total" xfId="20" builtinId="25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00FF"/>
      <color rgb="FFB5FBFD"/>
      <color rgb="FF33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>
        <v>201.29</v>
        <stp/>
        <stp>1605</stp>
        <stp>1761485453</stp>
        <tr r="B134" s="11"/>
      </tp>
      <tp>
        <v>311.25</v>
        <stp/>
        <stp>1604</stp>
        <stp>1761485453</stp>
        <tr r="C178" s="11"/>
      </tp>
      <tp>
        <v>5.24</v>
        <stp/>
        <stp>1601</stp>
        <stp>1761485453</stp>
        <tr r="C78" s="11"/>
      </tp>
      <tp>
        <v>2.72</v>
        <stp/>
        <stp>1600</stp>
        <stp>1761485453</stp>
        <tr r="C84" s="11"/>
      </tp>
      <tp>
        <v>188.19</v>
        <stp/>
        <stp>1603</stp>
        <stp>1761485453</stp>
        <tr r="C133" s="11"/>
      </tp>
      <tp>
        <v>71.510000000000005</v>
        <stp/>
        <stp>1602</stp>
        <stp>1761485453</stp>
        <tr r="C122" s="11"/>
      </tp>
      <tp>
        <v>326.93</v>
        <stp/>
        <stp>1495</stp>
        <stp>1761485453</stp>
        <tr r="C70" s="11"/>
      </tp>
      <tp t="s">
        <v>No universe defined.</v>
        <stp/>
        <stp>1494</stp>
        <stp>1761485453</stp>
        <tr r="C131" s="11"/>
      </tp>
      <tp>
        <v>1.48060848542705</v>
        <stp/>
        <stp>1497</stp>
        <stp>1761485453</stp>
        <tr r="K114" s="11"/>
      </tp>
      <tp>
        <v>79.099999999999994</v>
        <stp/>
        <stp>1496</stp>
        <stp>1761485453</stp>
        <tr r="B27" s="11"/>
      </tp>
      <tp>
        <v>36.729999999999997</v>
        <stp/>
        <stp>1491</stp>
        <stp>1761485453</stp>
        <tr r="C82" s="11"/>
      </tp>
      <tp>
        <v>18.03</v>
        <stp/>
        <stp>1490</stp>
        <stp>1761485453</stp>
        <tr r="B87" s="11"/>
      </tp>
      <tp>
        <v>70.989999999999995</v>
        <stp/>
        <stp>1493</stp>
        <stp>1761485453</stp>
        <tr r="C156" s="11"/>
      </tp>
      <tp>
        <v>8.86</v>
        <stp/>
        <stp>1492</stp>
        <stp>1761485453</stp>
        <tr r="B96" s="11"/>
      </tp>
      <tp t="s">
        <v>NULL</v>
        <stp/>
        <stp>1499</stp>
        <stp>1761485453</stp>
        <tr r="K142" s="11"/>
      </tp>
      <tp>
        <v>27.06</v>
        <stp/>
        <stp>1498</stp>
        <stp>1761485453</stp>
        <tr r="C24" s="11"/>
      </tp>
      <tp>
        <v>43</v>
        <stp/>
        <stp>1485</stp>
        <stp>1761485453</stp>
        <tr r="C86" s="11"/>
      </tp>
      <tp t="s">
        <v>NULL</v>
        <stp/>
        <stp>1484</stp>
        <stp>1761485453</stp>
        <tr r="K138" s="11"/>
      </tp>
      <tp>
        <v>226.51</v>
        <stp/>
        <stp>1487</stp>
        <stp>1761485453</stp>
        <tr r="C94" s="11"/>
      </tp>
      <tp>
        <v>77.89</v>
        <stp/>
        <stp>1486</stp>
        <stp>1761485453</stp>
        <tr r="C142" s="11"/>
      </tp>
      <tp>
        <v>1.34587465597789</v>
        <stp/>
        <stp>1481</stp>
        <stp>1761485453</stp>
        <tr r="K29" s="11"/>
      </tp>
      <tp t="s">
        <v>NULL</v>
        <stp/>
        <stp>1480</stp>
        <stp>1761485453</stp>
        <tr r="K33" s="11"/>
      </tp>
      <tp t="s">
        <v>NULL</v>
        <stp/>
        <stp>1483</stp>
        <stp>1761485453</stp>
        <tr r="K157" s="11"/>
      </tp>
      <tp>
        <v>19.78</v>
        <stp/>
        <stp>1482</stp>
        <stp>1761485453</stp>
        <tr r="C157" s="11"/>
      </tp>
      <tp>
        <v>1.2432988002888199</v>
        <stp/>
        <stp>1489</stp>
        <stp>1761485453</stp>
        <tr r="K32" s="11"/>
      </tp>
      <tp>
        <v>118.51</v>
        <stp/>
        <stp>1488</stp>
        <stp>1761485453</stp>
        <tr r="C68" s="11"/>
      </tp>
      <tp>
        <v>135.35</v>
        <stp/>
        <stp>1475</stp>
        <stp>1761485453</stp>
        <tr r="C104" s="11"/>
      </tp>
      <tp>
        <v>25.58</v>
        <stp/>
        <stp>1474</stp>
        <stp>1761485453</stp>
        <tr r="B62" s="11"/>
      </tp>
      <tp>
        <v>3.21088614777043</v>
        <stp/>
        <stp>1477</stp>
        <stp>1761485453</stp>
        <tr r="K39" s="11"/>
      </tp>
      <tp>
        <v>0.71001595133348905</v>
        <stp/>
        <stp>1476</stp>
        <stp>1761485453</stp>
        <tr r="K132" s="11"/>
      </tp>
      <tp>
        <v>894.04</v>
        <stp/>
        <stp>1471</stp>
        <stp>1761485453</stp>
        <tr r="B6" s="11"/>
      </tp>
      <tp>
        <v>43.03</v>
        <stp/>
        <stp>1470</stp>
        <stp>1761485453</stp>
        <tr r="B25" s="11"/>
      </tp>
      <tp>
        <v>27.65</v>
        <stp/>
        <stp>1473</stp>
        <stp>1761485453</stp>
        <tr r="C123" s="11"/>
      </tp>
      <tp>
        <v>1.59880025223892</v>
        <stp/>
        <stp>1472</stp>
        <stp>1761485453</stp>
        <tr r="K58" s="11"/>
      </tp>
      <tp>
        <v>52.89</v>
        <stp/>
        <stp>1479</stp>
        <stp>1761485453</stp>
        <tr r="C164" s="11"/>
      </tp>
      <tp>
        <v>1.68</v>
        <stp/>
        <stp>1478</stp>
        <stp>1761485453</stp>
        <tr r="B117" s="11"/>
      </tp>
      <tp>
        <v>29.13</v>
        <stp/>
        <stp>1465</stp>
        <stp>1761485453</stp>
        <tr r="B146" s="11"/>
      </tp>
      <tp>
        <v>3.12</v>
        <stp/>
        <stp>1464</stp>
        <stp>1761485453</stp>
        <tr r="B98" s="11"/>
      </tp>
      <tp>
        <v>84.47</v>
        <stp/>
        <stp>1467</stp>
        <stp>1761485453</stp>
        <tr r="B77" s="11"/>
      </tp>
      <tp t="s">
        <v>No universe defined.</v>
        <stp/>
        <stp>1466</stp>
        <stp>1761485453</stp>
        <tr r="B168" s="11"/>
      </tp>
      <tp>
        <v>-0.78387976318534303</v>
        <stp/>
        <stp>1461</stp>
        <stp>1761485453</stp>
        <tr r="K184" s="11"/>
      </tp>
      <tp>
        <v>60.87</v>
        <stp/>
        <stp>1460</stp>
        <stp>1761485453</stp>
        <tr r="B64" s="11"/>
      </tp>
      <tp>
        <v>0.84909726215678605</v>
        <stp/>
        <stp>1463</stp>
        <stp>1761485453</stp>
        <tr r="K152" s="11"/>
      </tp>
      <tp>
        <v>158.19</v>
        <stp/>
        <stp>1462</stp>
        <stp>1761485453</stp>
        <tr r="B50" s="11"/>
      </tp>
      <tp t="s">
        <v>No universe defined.</v>
        <stp/>
        <stp>1469</stp>
        <stp>1761485453</stp>
        <tr r="K131" s="11"/>
      </tp>
      <tp>
        <v>508.92</v>
        <stp/>
        <stp>1468</stp>
        <stp>1761485453</stp>
        <tr r="B120" s="11"/>
      </tp>
      <tp>
        <v>39.46</v>
        <stp/>
        <stp>1455</stp>
        <stp>1761485453</stp>
        <tr r="C9" s="11"/>
      </tp>
      <tp>
        <v>72.39</v>
        <stp/>
        <stp>1454</stp>
        <stp>1761485453</stp>
        <tr r="B43" s="11"/>
      </tp>
      <tp>
        <v>130.49</v>
        <stp/>
        <stp>1457</stp>
        <stp>1761485453</stp>
        <tr r="C19" s="11"/>
      </tp>
      <tp t="s">
        <v>NULL</v>
        <stp/>
        <stp>1456</stp>
        <stp>1761485453</stp>
        <tr r="K158" s="11"/>
      </tp>
      <tp>
        <v>64.819999999999993</v>
        <stp/>
        <stp>1451</stp>
        <stp>1761485453</stp>
        <tr r="B109" s="11"/>
      </tp>
      <tp t="s">
        <v>NULL</v>
        <stp/>
        <stp>1450</stp>
        <stp>1761485453</stp>
        <tr r="K16" s="11"/>
      </tp>
      <tp t="s">
        <v>NULL</v>
        <stp/>
        <stp>1453</stp>
        <stp>1761485453</stp>
        <tr r="K36" s="11"/>
      </tp>
      <tp>
        <v>79.14</v>
        <stp/>
        <stp>1452</stp>
        <stp>1761485453</stp>
        <tr r="C27" s="11"/>
      </tp>
      <tp>
        <v>96.84</v>
        <stp/>
        <stp>1459</stp>
        <stp>1761485453</stp>
        <tr r="B176" s="11"/>
      </tp>
      <tp>
        <v>36.31</v>
        <stp/>
        <stp>1458</stp>
        <stp>1761485453</stp>
        <tr r="C18" s="11"/>
      </tp>
      <tp>
        <v>455.06</v>
        <stp/>
        <stp>1445</stp>
        <stp>1761485453</stp>
        <tr r="B41" s="11"/>
      </tp>
      <tp>
        <v>64.97</v>
        <stp/>
        <stp>1444</stp>
        <stp>1761485453</stp>
        <tr r="C109" s="11"/>
      </tp>
      <tp t="s">
        <v>No universe defined.</v>
        <stp/>
        <stp>1447</stp>
        <stp>1761485453</stp>
        <tr r="B105" s="11"/>
      </tp>
      <tp>
        <v>0.90111028991701003</v>
        <stp/>
        <stp>1446</stp>
        <stp>1761485453</stp>
        <tr r="K64" s="11"/>
      </tp>
      <tp>
        <v>13.84</v>
        <stp/>
        <stp>1441</stp>
        <stp>1761485453</stp>
        <tr r="C101" s="11"/>
      </tp>
      <tp>
        <v>1.87021943539882</v>
        <stp/>
        <stp>1440</stp>
        <stp>1761485453</stp>
        <tr r="K107" s="11"/>
      </tp>
      <tp>
        <v>64.180000000000007</v>
        <stp/>
        <stp>1443</stp>
        <stp>1761485453</stp>
        <tr r="B72" s="11"/>
      </tp>
      <tp>
        <v>0.90575576319642903</v>
        <stp/>
        <stp>1442</stp>
        <stp>1761485453</stp>
        <tr r="K87" s="11"/>
      </tp>
      <tp>
        <v>97.02</v>
        <stp/>
        <stp>1449</stp>
        <stp>1761485453</stp>
        <tr r="C176" s="11"/>
      </tp>
      <tp>
        <v>3.47</v>
        <stp/>
        <stp>1448</stp>
        <stp>1761485453</stp>
        <tr r="B100" s="11"/>
      </tp>
      <tp t="s">
        <v>NULL</v>
        <stp/>
        <stp>1435</stp>
        <stp>1761485453</stp>
        <tr r="K175" s="11"/>
      </tp>
      <tp>
        <v>119.4</v>
        <stp/>
        <stp>1434</stp>
        <stp>1761485453</stp>
        <tr r="C118" s="11"/>
      </tp>
      <tp>
        <v>88.81</v>
        <stp/>
        <stp>1437</stp>
        <stp>1761485453</stp>
        <tr r="C47" s="11"/>
      </tp>
      <tp t="s">
        <v>NULL</v>
        <stp/>
        <stp>1436</stp>
        <stp>1761485453</stp>
        <tr r="K148" s="11"/>
      </tp>
      <tp>
        <v>317.54000000000002</v>
        <stp/>
        <stp>1431</stp>
        <stp>1761485453</stp>
        <tr r="C23" s="11"/>
      </tp>
      <tp>
        <v>1.5800616948130699</v>
        <stp/>
        <stp>1430</stp>
        <stp>1761485453</stp>
        <tr r="K93" s="11"/>
      </tp>
      <tp>
        <v>135.03</v>
        <stp/>
        <stp>1433</stp>
        <stp>1761485453</stp>
        <tr r="B104" s="11"/>
      </tp>
      <tp t="s">
        <v>No universe defined.</v>
        <stp/>
        <stp>1432</stp>
        <stp>1761485453</stp>
        <tr r="B153" s="11"/>
      </tp>
      <tp>
        <v>1.8931531538200901</v>
        <stp/>
        <stp>1439</stp>
        <stp>1761485453</stp>
        <tr r="K106" s="11"/>
      </tp>
      <tp t="s">
        <v>NULL</v>
        <stp/>
        <stp>1438</stp>
        <stp>1761485453</stp>
        <tr r="K76" s="11"/>
      </tp>
      <tp>
        <v>889.71</v>
        <stp/>
        <stp>1425</stp>
        <stp>1761485453</stp>
        <tr r="C180" s="11"/>
      </tp>
      <tp>
        <v>348.2</v>
        <stp/>
        <stp>1424</stp>
        <stp>1761485453</stp>
        <tr r="B67" s="11"/>
      </tp>
      <tp t="s">
        <v>Unable to resolve all requested identifiers.</v>
        <stp/>
        <stp>1427</stp>
        <stp>1761485453</stp>
        <tr r="K80" s="11"/>
      </tp>
      <tp t="s">
        <v>NULL</v>
        <stp/>
        <stp>1426</stp>
        <stp>1761485453</stp>
        <tr r="K78" s="11"/>
      </tp>
      <tp>
        <v>68.36</v>
        <stp/>
        <stp>1421</stp>
        <stp>1761485453</stp>
        <tr r="B40" s="11"/>
      </tp>
      <tp>
        <v>311.17</v>
        <stp/>
        <stp>1420</stp>
        <stp>1761485453</stp>
        <tr r="B161" s="11"/>
      </tp>
      <tp>
        <v>36.71</v>
        <stp/>
        <stp>1423</stp>
        <stp>1761485453</stp>
        <tr r="B158" s="11"/>
      </tp>
      <tp>
        <v>54.68</v>
        <stp/>
        <stp>1422</stp>
        <stp>1761485453</stp>
        <tr r="C167" s="11"/>
      </tp>
      <tp>
        <v>202.35</v>
        <stp/>
        <stp>1429</stp>
        <stp>1761485453</stp>
        <tr r="B132" s="11"/>
      </tp>
      <tp t="s">
        <v>NULL</v>
        <stp/>
        <stp>1428</stp>
        <stp>1761485453</stp>
        <tr r="K38" s="11"/>
      </tp>
      <tp t="s">
        <v>No universe defined.</v>
        <stp/>
        <stp>1415</stp>
        <stp>1761485453</stp>
        <tr r="C110" s="11"/>
      </tp>
      <tp>
        <v>1.12825496601785</v>
        <stp/>
        <stp>1414</stp>
        <stp>1761485453</stp>
        <tr r="K109" s="11"/>
      </tp>
      <tp>
        <v>4.9882</v>
        <stp/>
        <stp>1417</stp>
        <stp>1761485453</stp>
        <tr r="C7" s="11"/>
      </tp>
      <tp>
        <v>13.62</v>
        <stp/>
        <stp>1416</stp>
        <stp>1761485453</stp>
        <tr r="C119" s="11"/>
      </tp>
      <tp>
        <v>24.31</v>
        <stp/>
        <stp>1411</stp>
        <stp>1761485453</stp>
        <tr r="B125" s="11"/>
      </tp>
      <tp t="s">
        <v>Unable to resolve all requested identifiers.</v>
        <stp/>
        <stp>1410</stp>
        <stp>1761485453</stp>
        <tr r="K15" s="11"/>
      </tp>
      <tp>
        <v>2.1362184865532901</v>
        <stp/>
        <stp>1413</stp>
        <stp>1761485453</stp>
        <tr r="K60" s="11"/>
      </tp>
      <tp>
        <v>1.0334030536587699</v>
        <stp/>
        <stp>1412</stp>
        <stp>1761485453</stp>
        <tr r="K50" s="11"/>
      </tp>
      <tp>
        <v>43.06</v>
        <stp/>
        <stp>1419</stp>
        <stp>1761485453</stp>
        <tr r="C25" s="11"/>
      </tp>
      <tp>
        <v>1.39466327204231</v>
        <stp/>
        <stp>1418</stp>
        <stp>1761485453</stp>
        <tr r="K94" s="11"/>
      </tp>
      <tp>
        <v>1.1737</v>
        <stp/>
        <stp>1405</stp>
        <stp>1761485453</stp>
        <tr r="C8" s="11"/>
      </tp>
      <tp>
        <v>85.3</v>
        <stp/>
        <stp>1404</stp>
        <stp>1761485453</stp>
        <tr r="B165" s="11"/>
      </tp>
      <tp>
        <v>33.479999999999997</v>
        <stp/>
        <stp>1407</stp>
        <stp>1761485453</stp>
        <tr r="C126" s="11"/>
      </tp>
      <tp>
        <v>1.3983783049704199</v>
        <stp/>
        <stp>1406</stp>
        <stp>1761485453</stp>
        <tr r="K79" s="11"/>
      </tp>
      <tp t="s">
        <v>NULL</v>
        <stp/>
        <stp>1401</stp>
        <stp>1761485453</stp>
        <tr r="K123" s="11"/>
      </tp>
      <tp>
        <v>504.12</v>
        <stp/>
        <stp>1400</stp>
        <stp>1761485453</stp>
        <tr r="C102" s="11"/>
      </tp>
      <tp t="s">
        <v>No universe defined.</v>
        <stp/>
        <stp>1403</stp>
        <stp>1761485453</stp>
        <tr r="B137" s="11"/>
      </tp>
      <tp>
        <v>9.5500000000000007</v>
        <stp/>
        <stp>1402</stp>
        <stp>1761485453</stp>
        <tr r="C34" s="11"/>
      </tp>
      <tp>
        <v>43.9</v>
        <stp/>
        <stp>1409</stp>
        <stp>1761485453</stp>
        <tr r="C90" s="11"/>
      </tp>
      <tp>
        <v>5.18</v>
        <stp/>
        <stp>1408</stp>
        <stp>1761485453</stp>
        <tr r="B78" s="11"/>
      </tp>
      <tp>
        <v>18.260000000000002</v>
        <stp/>
        <stp>1595</stp>
        <stp>1761485453</stp>
        <tr r="B147" s="11"/>
      </tp>
      <tp>
        <v>1.1085100369782599</v>
        <stp/>
        <stp>1594</stp>
        <stp>1761485453</stp>
        <tr r="K51" s="11"/>
      </tp>
      <tp>
        <v>80.290000000000006</v>
        <stp/>
        <stp>1597</stp>
        <stp>1761485453</stp>
        <tr r="B58" s="11"/>
      </tp>
      <tp>
        <v>100.13</v>
        <stp/>
        <stp>1596</stp>
        <stp>1761485453</stp>
        <tr r="B111" s="11"/>
      </tp>
      <tp>
        <v>62.84</v>
        <stp/>
        <stp>1591</stp>
        <stp>1761485453</stp>
        <tr r="C49" s="11"/>
      </tp>
      <tp>
        <v>96.14</v>
        <stp/>
        <stp>1590</stp>
        <stp>1761485453</stp>
        <tr r="C39" s="11"/>
      </tp>
      <tp>
        <v>2.5186186473349599</v>
        <stp/>
        <stp>1593</stp>
        <stp>1761485453</stp>
        <tr r="K83" s="11"/>
      </tp>
      <tp>
        <v>0.70481072525291699</v>
        <stp/>
        <stp>1592</stp>
        <stp>1761485453</stp>
        <tr r="K46" s="11"/>
      </tp>
      <tp>
        <v>16.510000000000002</v>
        <stp/>
        <stp>1599</stp>
        <stp>1761485453</stp>
        <tr r="B97" s="11"/>
      </tp>
      <tp>
        <v>479.37</v>
        <stp/>
        <stp>1598</stp>
        <stp>1761485453</stp>
        <tr r="C159" s="11"/>
      </tp>
      <tp t="s">
        <v>Unable to resolve all requested identifiers.</v>
        <stp/>
        <stp>1585</stp>
        <stp>1761485453</stp>
        <tr r="K8" s="11"/>
      </tp>
      <tp>
        <v>1.1195334720714201</v>
        <stp/>
        <stp>1584</stp>
        <stp>1761485453</stp>
        <tr r="K163" s="11"/>
      </tp>
      <tp>
        <v>51.29</v>
        <stp/>
        <stp>1587</stp>
        <stp>1761485453</stp>
        <tr r="B36" s="11"/>
      </tp>
      <tp t="s">
        <v>NULL</v>
        <stp/>
        <stp>1586</stp>
        <stp>1761485453</stp>
        <tr r="K169" s="11"/>
      </tp>
      <tp>
        <v>0.62853975915218996</v>
        <stp/>
        <stp>1581</stp>
        <stp>1761485453</stp>
        <tr r="K54" s="11"/>
      </tp>
      <tp t="s">
        <v>NULL</v>
        <stp/>
        <stp>1580</stp>
        <stp>1761485453</stp>
        <tr r="K171" s="11"/>
      </tp>
      <tp>
        <v>9.48</v>
        <stp/>
        <stp>1583</stp>
        <stp>1761485453</stp>
        <tr r="C69" s="11"/>
      </tp>
      <tp>
        <v>65.42</v>
        <stp/>
        <stp>1582</stp>
        <stp>1761485453</stp>
        <tr r="C172" s="11"/>
      </tp>
      <tp t="s">
        <v>NULL</v>
        <stp/>
        <stp>1589</stp>
        <stp>1761485453</stp>
        <tr r="K126" s="11"/>
      </tp>
      <tp>
        <v>62.83</v>
        <stp/>
        <stp>1588</stp>
        <stp>1761485453</stp>
        <tr r="B115" s="11"/>
      </tp>
      <tp>
        <v>201.59</v>
        <stp/>
        <stp>1575</stp>
        <stp>1761485453</stp>
        <tr r="C134" s="11"/>
      </tp>
      <tp>
        <v>191.5</v>
        <stp/>
        <stp>1574</stp>
        <stp>1761485453</stp>
        <tr r="B79" s="11"/>
      </tp>
      <tp>
        <v>1800.95</v>
        <stp/>
        <stp>1577</stp>
        <stp>1761485453</stp>
        <tr r="B55" s="11"/>
      </tp>
      <tp t="s">
        <v>NULL</v>
        <stp/>
        <stp>1576</stp>
        <stp>1761485453</stp>
        <tr r="K146" s="11"/>
      </tp>
      <tp>
        <v>311.35000000000002</v>
        <stp/>
        <stp>1571</stp>
        <stp>1761485453</stp>
        <tr r="C121" s="11"/>
      </tp>
      <tp>
        <v>51.39</v>
        <stp/>
        <stp>1570</stp>
        <stp>1761485453</stp>
        <tr r="C71" s="11"/>
      </tp>
      <tp t="s">
        <v>No universe defined.</v>
        <stp/>
        <stp>1573</stp>
        <stp>1761485453</stp>
        <tr r="B92" s="11"/>
      </tp>
      <tp>
        <v>888.8</v>
        <stp/>
        <stp>1572</stp>
        <stp>1761485453</stp>
        <tr r="B180" s="11"/>
      </tp>
      <tp>
        <v>55.21</v>
        <stp/>
        <stp>1579</stp>
        <stp>1761485453</stp>
        <tr r="C127" s="11"/>
      </tp>
      <tp>
        <v>2.3296568901258001</v>
        <stp/>
        <stp>1578</stp>
        <stp>1761485453</stp>
        <tr r="K133" s="11"/>
      </tp>
      <tp>
        <v>3.48</v>
        <stp/>
        <stp>1565</stp>
        <stp>1761485453</stp>
        <tr r="C100" s="11"/>
      </tp>
      <tp>
        <v>1.8145758552806599</v>
        <stp/>
        <stp>1564</stp>
        <stp>1761485453</stp>
        <tr r="K139" s="11"/>
      </tp>
      <tp>
        <v>19.739999999999998</v>
        <stp/>
        <stp>1567</stp>
        <stp>1761485453</stp>
        <tr r="B57" s="11"/>
      </tp>
      <tp>
        <v>126.33</v>
        <stp/>
        <stp>1566</stp>
        <stp>1761485453</stp>
        <tr r="B22" s="11"/>
      </tp>
      <tp>
        <v>0.37949280802493901</v>
        <stp/>
        <stp>1561</stp>
        <stp>1761485453</stp>
        <tr r="K70" s="11"/>
      </tp>
      <tp>
        <v>1.01211573081134</v>
        <stp/>
        <stp>1560</stp>
        <stp>1761485453</stp>
        <tr r="K57" s="11"/>
      </tp>
      <tp t="s">
        <v>No universe defined.</v>
        <stp/>
        <stp>1563</stp>
        <stp>1761485453</stp>
        <tr r="C92" s="11"/>
      </tp>
      <tp>
        <v>434.16</v>
        <stp/>
        <stp>1562</stp>
        <stp>1761485453</stp>
        <tr r="C38" s="11"/>
      </tp>
      <tp>
        <v>311.25</v>
        <stp/>
        <stp>1569</stp>
        <stp>1761485453</stp>
        <tr r="C161" s="11"/>
      </tp>
      <tp>
        <v>53.87</v>
        <stp/>
        <stp>1568</stp>
        <stp>1761485453</stp>
        <tr r="B73" s="11"/>
      </tp>
      <tp>
        <v>18.61</v>
        <stp/>
        <stp>1555</stp>
        <stp>1761485453</stp>
        <tr r="B112" s="11"/>
      </tp>
      <tp t="s">
        <v>No universe defined.</v>
        <stp/>
        <stp>1554</stp>
        <stp>1761485453</stp>
        <tr r="B136" s="11"/>
      </tp>
      <tp t="s">
        <v>NULL</v>
        <stp/>
        <stp>1557</stp>
        <stp>1761485453</stp>
        <tr r="K22" s="11"/>
      </tp>
      <tp>
        <v>367.08</v>
        <stp/>
        <stp>1556</stp>
        <stp>1761485453</stp>
        <tr r="C107" s="11"/>
      </tp>
      <tp>
        <v>2.0861052142554302</v>
        <stp/>
        <stp>1551</stp>
        <stp>1761485453</stp>
        <tr r="K150" s="11"/>
      </tp>
      <tp t="s">
        <v>No universe defined.</v>
        <stp/>
        <stp>1550</stp>
        <stp>1761485453</stp>
        <tr r="K137" s="11"/>
      </tp>
      <tp>
        <v>21.13</v>
        <stp/>
        <stp>1553</stp>
        <stp>1761485453</stp>
        <tr r="C53" s="11"/>
      </tp>
      <tp>
        <v>133.34</v>
        <stp/>
        <stp>1552</stp>
        <stp>1761485453</stp>
        <tr r="C151" s="11"/>
      </tp>
      <tp t="s">
        <v>No universe defined.</v>
        <stp/>
        <stp>1559</stp>
        <stp>1761485453</stp>
        <tr r="C136" s="11"/>
      </tp>
      <tp>
        <v>32.549999999999997</v>
        <stp/>
        <stp>1558</stp>
        <stp>1761485453</stp>
        <tr r="C32" s="11"/>
      </tp>
      <tp>
        <v>42.82</v>
        <stp/>
        <stp>1545</stp>
        <stp>1761485453</stp>
        <tr r="B86" s="11"/>
      </tp>
      <tp>
        <v>1.5628515972942201</v>
        <stp/>
        <stp>1544</stp>
        <stp>1761485453</stp>
        <tr r="K81" s="11"/>
      </tp>
      <tp>
        <v>2.4689167767901701</v>
        <stp/>
        <stp>1547</stp>
        <stp>1761485453</stp>
        <tr r="K97" s="11"/>
      </tp>
      <tp>
        <v>682.17</v>
        <stp/>
        <stp>1546</stp>
        <stp>1761485453</stp>
        <tr r="B12" s="11"/>
      </tp>
      <tp>
        <v>226.38</v>
        <stp/>
        <stp>1541</stp>
        <stp>1761485453</stp>
        <tr r="B94" s="11"/>
      </tp>
      <tp>
        <v>1.4923435733787001</v>
        <stp/>
        <stp>1540</stp>
        <stp>1761485453</stp>
        <tr r="K42" s="11"/>
      </tp>
      <tp>
        <v>122.81</v>
        <stp/>
        <stp>1543</stp>
        <stp>1761485453</stp>
        <tr r="C52" s="11"/>
      </tp>
      <tp>
        <v>509.2</v>
        <stp/>
        <stp>1542</stp>
        <stp>1761485453</stp>
        <tr r="C120" s="11"/>
      </tp>
      <tp t="s">
        <v>No universe defined.</v>
        <stp/>
        <stp>1549</stp>
        <stp>1761485453</stp>
        <tr r="C168" s="11"/>
      </tp>
      <tp>
        <v>1014.12</v>
        <stp/>
        <stp>1548</stp>
        <stp>1761485453</stp>
        <tr r="C183" s="11"/>
      </tp>
      <tp t="s">
        <v>No universe defined.</v>
        <stp/>
        <stp>1535</stp>
        <stp>1761485453</stp>
        <tr r="B131" s="11"/>
      </tp>
      <tp>
        <v>1.2043026538369199</v>
        <stp/>
        <stp>1534</stp>
        <stp>1761485453</stp>
        <tr r="K43" s="11"/>
      </tp>
      <tp t="s">
        <v>NULL</v>
        <stp/>
        <stp>1537</stp>
        <stp>1761485453</stp>
        <tr r="K176" s="11"/>
      </tp>
      <tp>
        <v>1.2504425736335101</v>
        <stp/>
        <stp>1536</stp>
        <stp>1761485453</stp>
        <tr r="K179" s="11"/>
      </tp>
      <tp>
        <v>8.5</v>
        <stp/>
        <stp>1531</stp>
        <stp>1761485453</stp>
        <tr r="B106" s="11"/>
      </tp>
      <tp>
        <v>4745.46</v>
        <stp/>
        <stp>1530</stp>
        <stp>1761485453</stp>
        <tr r="B11" s="11"/>
      </tp>
      <tp>
        <v>70.95</v>
        <stp/>
        <stp>1533</stp>
        <stp>1761485453</stp>
        <tr r="B156" s="11"/>
      </tp>
      <tp t="s">
        <v>NULL</v>
        <stp/>
        <stp>1532</stp>
        <stp>1761485453</stp>
        <tr r="K26" s="11"/>
      </tp>
      <tp>
        <v>28.62</v>
        <stp/>
        <stp>1539</stp>
        <stp>1761485453</stp>
        <tr r="B145" s="11"/>
      </tp>
      <tp>
        <v>202.4</v>
        <stp/>
        <stp>1538</stp>
        <stp>1761485453</stp>
        <tr r="C132" s="11"/>
      </tp>
      <tp>
        <v>326.36</v>
        <stp/>
        <stp>1525</stp>
        <stp>1761485453</stp>
        <tr r="B70" s="11"/>
      </tp>
      <tp>
        <v>2.6372875218064502</v>
        <stp/>
        <stp>1524</stp>
        <stp>1761485453</stp>
        <tr r="K140" s="11"/>
      </tp>
      <tp>
        <v>60.78</v>
        <stp/>
        <stp>1527</stp>
        <stp>1761485453</stp>
        <tr r="B21" s="11"/>
      </tp>
      <tp>
        <v>381.15</v>
        <stp/>
        <stp>1526</stp>
        <stp>1761485453</stp>
        <tr r="B35" s="11"/>
      </tp>
      <tp>
        <v>2.0972725477888998</v>
        <stp/>
        <stp>1521</stp>
        <stp>1761485453</stp>
        <tr r="K129" s="11"/>
      </tp>
      <tp>
        <v>25.59</v>
        <stp/>
        <stp>1520</stp>
        <stp>1761485453</stp>
        <tr r="C62" s="11"/>
      </tp>
      <tp t="s">
        <v>No universe defined.</v>
        <stp/>
        <stp>1523</stp>
        <stp>1761485453</stp>
        <tr r="C137" s="11"/>
      </tp>
      <tp>
        <v>1.2504425736335101</v>
        <stp/>
        <stp>1522</stp>
        <stp>1761485453</stp>
        <tr r="K164" s="11"/>
      </tp>
      <tp>
        <v>95.85</v>
        <stp/>
        <stp>1529</stp>
        <stp>1761485453</stp>
        <tr r="B39" s="11"/>
      </tp>
      <tp>
        <v>1.48060848542705</v>
        <stp/>
        <stp>1528</stp>
        <stp>1761485453</stp>
        <tr r="K183" s="11"/>
      </tp>
      <tp t="s">
        <v>No universe defined.</v>
        <stp/>
        <stp>1515</stp>
        <stp>1761485453</stp>
        <tr r="K143" s="11"/>
      </tp>
      <tp>
        <v>36.299999999999997</v>
        <stp/>
        <stp>1514</stp>
        <stp>1761485453</stp>
        <tr r="B18" s="11"/>
      </tp>
      <tp>
        <v>50.24</v>
        <stp/>
        <stp>1517</stp>
        <stp>1761485453</stp>
        <tr r="C174" s="11"/>
      </tp>
      <tp t="s">
        <v>NULL</v>
        <stp/>
        <stp>1516</stp>
        <stp>1761485453</stp>
        <tr r="K122" s="11"/>
      </tp>
      <tp t="s">
        <v>NULL</v>
        <stp/>
        <stp>1511</stp>
        <stp>1761485453</stp>
        <tr r="K77" s="11"/>
      </tp>
      <tp>
        <v>133.31</v>
        <stp/>
        <stp>1510</stp>
        <stp>1761485453</stp>
        <tr r="B151" s="11"/>
      </tp>
      <tp>
        <v>1.69</v>
        <stp/>
        <stp>1513</stp>
        <stp>1761485453</stp>
        <tr r="C117" s="11"/>
      </tp>
      <tp>
        <v>1.62106918710776</v>
        <stp/>
        <stp>1512</stp>
        <stp>1761485453</stp>
        <tr r="K62" s="11"/>
      </tp>
      <tp>
        <v>35.85</v>
        <stp/>
        <stp>1519</stp>
        <stp>1761485453</stp>
        <tr r="C99" s="11"/>
      </tp>
      <tp>
        <v>348.72</v>
        <stp/>
        <stp>1518</stp>
        <stp>1761485453</stp>
        <tr r="C67" s="11"/>
      </tp>
      <tp>
        <v>51.3</v>
        <stp/>
        <stp>1505</stp>
        <stp>1761485453</stp>
        <tr r="C36" s="11"/>
      </tp>
      <tp>
        <v>130.80000000000001</v>
        <stp/>
        <stp>1504</stp>
        <stp>1761485453</stp>
        <tr r="B130" s="11"/>
      </tp>
      <tp>
        <v>127.19</v>
        <stp/>
        <stp>1507</stp>
        <stp>1761485453</stp>
        <tr r="C31" s="11"/>
      </tp>
      <tp>
        <v>1.1736</v>
        <stp/>
        <stp>1506</stp>
        <stp>1761485453</stp>
        <tr r="B8" s="11"/>
      </tp>
      <tp t="s">
        <v>NULL</v>
        <stp/>
        <stp>1501</stp>
        <stp>1761485453</stp>
        <tr r="K147" s="11"/>
      </tp>
      <tp>
        <v>1013.56</v>
        <stp/>
        <stp>1500</stp>
        <stp>1761485453</stp>
        <tr r="B183" s="11"/>
      </tp>
      <tp t="s">
        <v>No universe defined.</v>
        <stp/>
        <stp>1503</stp>
        <stp>1761485453</stp>
        <tr r="C113" s="11"/>
      </tp>
      <tp>
        <v>2.8519402313711399</v>
        <stp/>
        <stp>1502</stp>
        <stp>1761485453</stp>
        <tr r="K84" s="11"/>
      </tp>
      <tp>
        <v>65.41</v>
        <stp/>
        <stp>1509</stp>
        <stp>1761485453</stp>
        <tr r="B172" s="11"/>
      </tp>
      <tp>
        <v>101.03</v>
        <stp/>
        <stp>1508</stp>
        <stp>1761485453</stp>
        <tr r="B124" s="11"/>
      </tp>
      <tp>
        <v>66.67</v>
        <stp/>
        <stp>1295</stp>
        <stp>1761485453</stp>
        <tr r="C108" s="11"/>
      </tp>
      <tp>
        <v>1.3290472683246799</v>
        <stp/>
        <stp>1294</stp>
        <stp>1761485453</stp>
        <tr r="K90" s="11"/>
      </tp>
      <tp>
        <v>497.71</v>
        <stp/>
        <stp>1297</stp>
        <stp>1761485453</stp>
        <tr r="B45" s="11"/>
      </tp>
      <tp>
        <v>68.37</v>
        <stp/>
        <stp>1296</stp>
        <stp>1761485453</stp>
        <tr r="C40" s="11"/>
      </tp>
      <tp>
        <v>0.64490000000000003</v>
        <stp/>
        <stp>1291</stp>
        <stp>1761485453</stp>
        <tr r="C37" s="11"/>
      </tp>
      <tp>
        <v>75.599999999999994</v>
        <stp/>
        <stp>1290</stp>
        <stp>1761485453</stp>
        <tr r="C80" s="11"/>
      </tp>
      <tp>
        <v>1.7981444603001799</v>
        <stp/>
        <stp>1293</stp>
        <stp>1761485453</stp>
        <tr r="K73" s="11"/>
      </tp>
      <tp>
        <v>79.81</v>
        <stp/>
        <stp>1292</stp>
        <stp>1761485453</stp>
        <tr r="B33" s="11"/>
      </tp>
      <tp>
        <v>126.87</v>
        <stp/>
        <stp>1299</stp>
        <stp>1761485453</stp>
        <tr r="C22" s="11"/>
      </tp>
      <tp>
        <v>238.22</v>
        <stp/>
        <stp>1298</stp>
        <stp>1761485453</stp>
        <tr r="B30" s="11"/>
      </tp>
      <tp t="s">
        <v>NULL</v>
        <stp/>
        <stp>1285</stp>
        <stp>1761485453</stp>
        <tr r="K144" s="11"/>
      </tp>
      <tp>
        <v>1.3167805321406001</v>
        <stp/>
        <stp>1284</stp>
        <stp>1761485453</stp>
        <tr r="K180" s="11"/>
      </tp>
      <tp>
        <v>121.21</v>
        <stp/>
        <stp>1287</stp>
        <stp>1761485453</stp>
        <tr r="B17" s="11"/>
      </tp>
      <tp>
        <v>2.6372875218064502</v>
        <stp/>
        <stp>1286</stp>
        <stp>1761485453</stp>
        <tr r="K37" s="11"/>
      </tp>
      <tp>
        <v>114.79</v>
        <stp/>
        <stp>1281</stp>
        <stp>1761485453</stp>
        <tr r="B44" s="11"/>
      </tp>
      <tp t="s">
        <v>No universe defined.</v>
        <stp/>
        <stp>1280</stp>
        <stp>1761485453</stp>
        <tr r="B113" s="11"/>
      </tp>
      <tp>
        <v>0.97355963830039904</v>
        <stp/>
        <stp>1283</stp>
        <stp>1761485453</stp>
        <tr r="K134" s="11"/>
      </tp>
      <tp>
        <v>1.7284421298944601</v>
        <stp/>
        <stp>1282</stp>
        <stp>1761485453</stp>
        <tr r="K45" s="11"/>
      </tp>
      <tp>
        <v>1.8855773209389499</v>
        <stp/>
        <stp>1289</stp>
        <stp>1761485453</stp>
        <tr r="K75" s="11"/>
      </tp>
      <tp t="s">
        <v>NULL</v>
        <stp/>
        <stp>1288</stp>
        <stp>1761485453</stp>
        <tr r="K12" s="11"/>
      </tp>
      <tp>
        <v>0.55516319011145299</v>
        <stp/>
        <stp>1275</stp>
        <stp>1761485453</stp>
        <tr r="K99" s="11"/>
      </tp>
      <tp t="s">
        <v>Unable to resolve all requested identifiers.</v>
        <stp/>
        <stp>1274</stp>
        <stp>1761485453</stp>
        <tr r="K6" s="11"/>
      </tp>
      <tp>
        <v>1.45419909967762</v>
        <stp/>
        <stp>1277</stp>
        <stp>1761485453</stp>
        <tr r="K124" s="11"/>
      </tp>
      <tp>
        <v>13.97</v>
        <stp/>
        <stp>1276</stp>
        <stp>1761485453</stp>
        <tr r="C63" s="11"/>
      </tp>
      <tp>
        <v>172.84</v>
        <stp/>
        <stp>1271</stp>
        <stp>1761485453</stp>
        <tr r="B149" s="11"/>
      </tp>
      <tp>
        <v>1.0952454392450199</v>
        <stp/>
        <stp>1270</stp>
        <stp>1761485453</stp>
        <tr r="K13" s="11"/>
      </tp>
      <tp>
        <v>0.64480000000000004</v>
        <stp/>
        <stp>1273</stp>
        <stp>1761485453</stp>
        <tr r="B37" s="11"/>
      </tp>
      <tp t="s">
        <v>No universe defined.</v>
        <stp/>
        <stp>1272</stp>
        <stp>1761485453</stp>
        <tr r="B88" s="11"/>
      </tp>
      <tp t="s">
        <v>NULL</v>
        <stp/>
        <stp>1279</stp>
        <stp>1761485453</stp>
        <tr r="K18" s="11"/>
      </tp>
      <tp>
        <v>53.93</v>
        <stp/>
        <stp>1278</stp>
        <stp>1761485453</stp>
        <tr r="C73" s="11"/>
      </tp>
      <tp>
        <v>172.92</v>
        <stp/>
        <stp>1265</stp>
        <stp>1761485453</stp>
        <tr r="C149" s="11"/>
      </tp>
      <tp>
        <v>36.71</v>
        <stp/>
        <stp>1264</stp>
        <stp>1761485453</stp>
        <tr r="B82" s="11"/>
      </tp>
      <tp>
        <v>27.05</v>
        <stp/>
        <stp>1267</stp>
        <stp>1761485453</stp>
        <tr r="B24" s="11"/>
      </tp>
      <tp>
        <v>120.92</v>
        <stp/>
        <stp>1266</stp>
        <stp>1761485453</stp>
        <tr r="C116" s="11"/>
      </tp>
      <tp>
        <v>3.13</v>
        <stp/>
        <stp>1261</stp>
        <stp>1761485453</stp>
        <tr r="C98" s="11"/>
      </tp>
      <tp>
        <v>236.25</v>
        <stp/>
        <stp>1260</stp>
        <stp>1761485453</stp>
        <tr r="C61" s="11"/>
      </tp>
      <tp>
        <v>33.32</v>
        <stp/>
        <stp>1263</stp>
        <stp>1761485453</stp>
        <tr r="C173" s="11"/>
      </tp>
      <tp>
        <v>29.14</v>
        <stp/>
        <stp>1262</stp>
        <stp>1761485453</stp>
        <tr r="C146" s="11"/>
      </tp>
      <tp t="s">
        <v>NULL</v>
        <stp/>
        <stp>1269</stp>
        <stp>1761485453</stp>
        <tr r="K19" s="11"/>
      </tp>
      <tp>
        <v>60.79</v>
        <stp/>
        <stp>1268</stp>
        <stp>1761485453</stp>
        <tr r="C21" s="11"/>
      </tp>
      <tp>
        <v>0.786629531602134</v>
        <stp/>
        <stp>1255</stp>
        <stp>1761485453</stp>
        <tr r="K63" s="11"/>
      </tp>
      <tp>
        <v>1.0887099072809301</v>
        <stp/>
        <stp>1254</stp>
        <stp>1761485453</stp>
        <tr r="K35" s="11"/>
      </tp>
      <tp>
        <v>38.590000000000003</v>
        <stp/>
        <stp>1257</stp>
        <stp>1761485453</stp>
        <tr r="B46" s="11"/>
      </tp>
      <tp>
        <v>0.77821713218119803</v>
        <stp/>
        <stp>1256</stp>
        <stp>1761485453</stp>
        <tr r="K111" s="11"/>
      </tp>
      <tp>
        <v>119.35</v>
        <stp/>
        <stp>1251</stp>
        <stp>1761485453</stp>
        <tr r="B118" s="11"/>
      </tp>
      <tp>
        <v>1.6089798956771899</v>
        <stp/>
        <stp>1250</stp>
        <stp>1761485453</stp>
        <tr r="K69" s="11"/>
      </tp>
      <tp>
        <v>18.27</v>
        <stp/>
        <stp>1253</stp>
        <stp>1761485453</stp>
        <tr r="C147" s="11"/>
      </tp>
      <tp>
        <v>71.989999999999995</v>
        <stp/>
        <stp>1252</stp>
        <stp>1761485453</stp>
        <tr r="B148" s="11"/>
      </tp>
      <tp>
        <v>100.22</v>
        <stp/>
        <stp>1259</stp>
        <stp>1761485453</stp>
        <tr r="C103" s="11"/>
      </tp>
      <tp>
        <v>84.52</v>
        <stp/>
        <stp>1258</stp>
        <stp>1761485453</stp>
        <tr r="C77" s="11"/>
      </tp>
      <tp>
        <v>381.17</v>
        <stp/>
        <stp>1245</stp>
        <stp>1761485453</stp>
        <tr r="C35" s="11"/>
      </tp>
      <tp t="s">
        <v>NULL</v>
        <stp/>
        <stp>1244</stp>
        <stp>1761485453</stp>
        <tr r="K154" s="11"/>
      </tp>
      <tp>
        <v>894.87</v>
        <stp/>
        <stp>1247</stp>
        <stp>1761485453</stp>
        <tr r="C6" s="11"/>
      </tp>
      <tp>
        <v>1014.12</v>
        <stp/>
        <stp>1246</stp>
        <stp>1761485453</stp>
        <tr r="C114" s="11"/>
      </tp>
      <tp t="s">
        <v>NULL</v>
        <stp/>
        <stp>1241</stp>
        <stp>1761485453</stp>
        <tr r="K125" s="11"/>
      </tp>
      <tp t="s">
        <v>No universe defined.</v>
        <stp/>
        <stp>1240</stp>
        <stp>1761485453</stp>
        <tr r="B135" s="11"/>
      </tp>
      <tp>
        <v>311.17</v>
        <stp/>
        <stp>1243</stp>
        <stp>1761485453</stp>
        <tr r="B178" s="11"/>
      </tp>
      <tp>
        <v>125.29</v>
        <stp/>
        <stp>1242</stp>
        <stp>1761485453</stp>
        <tr r="C177" s="11"/>
      </tp>
      <tp t="s">
        <v>No universe defined.</v>
        <stp/>
        <stp>1249</stp>
        <stp>1761485453</stp>
        <tr r="K135" s="11"/>
      </tp>
      <tp>
        <v>158.36000000000001</v>
        <stp/>
        <stp>1248</stp>
        <stp>1761485453</stp>
        <tr r="C50" s="11"/>
      </tp>
      <tp t="s">
        <v>NULL</v>
        <stp/>
        <stp>1235</stp>
        <stp>1761485453</stp>
        <tr r="K27" s="11"/>
      </tp>
      <tp>
        <v>68.09</v>
        <stp/>
        <stp>1234</stp>
        <stp>1761485453</stp>
        <tr r="C76" s="11"/>
      </tp>
      <tp>
        <v>85.42</v>
        <stp/>
        <stp>1237</stp>
        <stp>1761485453</stp>
        <tr r="C165" s="11"/>
      </tp>
      <tp>
        <v>125.29</v>
        <stp/>
        <stp>1236</stp>
        <stp>1761485453</stp>
        <tr r="C162" s="11"/>
      </tp>
      <tp>
        <v>16.404599999999999</v>
        <stp/>
        <stp>1231</stp>
        <stp>1761485453</stp>
        <tr r="B15" s="11"/>
      </tp>
      <tp>
        <v>66.61</v>
        <stp/>
        <stp>1230</stp>
        <stp>1761485453</stp>
        <tr r="B108" s="11"/>
      </tp>
      <tp>
        <v>52.44</v>
        <stp/>
        <stp>1233</stp>
        <stp>1761485453</stp>
        <tr r="B184" s="11"/>
      </tp>
      <tp>
        <v>125.27</v>
        <stp/>
        <stp>1232</stp>
        <stp>1761485453</stp>
        <tr r="B162" s="11"/>
      </tp>
      <tp t="s">
        <v>NULL</v>
        <stp/>
        <stp>1239</stp>
        <stp>1761485453</stp>
        <tr r="K174" s="11"/>
      </tp>
      <tp>
        <v>1.3905068073315701</v>
        <stp/>
        <stp>1238</stp>
        <stp>1761485453</stp>
        <tr r="K30" s="11"/>
      </tp>
      <tp>
        <v>120.7</v>
        <stp/>
        <stp>1225</stp>
        <stp>1761485453</stp>
        <tr r="B51" s="11"/>
      </tp>
      <tp>
        <v>480.42</v>
        <stp/>
        <stp>1224</stp>
        <stp>1761485453</stp>
        <tr r="B182" s="11"/>
      </tp>
      <tp>
        <v>2.01241963375604</v>
        <stp/>
        <stp>1227</stp>
        <stp>1761485453</stp>
        <tr r="K56" s="11"/>
      </tp>
      <tp>
        <v>8.93</v>
        <stp/>
        <stp>1226</stp>
        <stp>1761485453</stp>
        <tr r="C96" s="11"/>
      </tp>
      <tp>
        <v>2.0354059904897901</v>
        <stp/>
        <stp>1221</stp>
        <stp>1761485453</stp>
        <tr r="K101" s="11"/>
      </tp>
      <tp>
        <v>159.38999999999999</v>
        <stp/>
        <stp>1220</stp>
        <stp>1761485453</stp>
        <tr r="B16" s="11"/>
      </tp>
      <tp>
        <v>1.06183047492534</v>
        <stp/>
        <stp>1223</stp>
        <stp>1761485453</stp>
        <tr r="K161" s="11"/>
      </tp>
      <tp>
        <v>17.292899999999999</v>
        <stp/>
        <stp>1222</stp>
        <stp>1761485453</stp>
        <tr r="B14" s="11"/>
      </tp>
      <tp>
        <v>0.84654115644472205</v>
        <stp/>
        <stp>1229</stp>
        <stp>1761485453</stp>
        <tr r="K173" s="11"/>
      </tp>
      <tp t="s">
        <v>NULL</v>
        <stp/>
        <stp>1228</stp>
        <stp>1761485453</stp>
        <tr r="K20" s="11"/>
      </tp>
      <tp t="s">
        <v>No universe defined.</v>
        <stp/>
        <stp>1215</stp>
        <stp>1761485453</stp>
        <tr r="K113" s="11"/>
      </tp>
      <tp t="s">
        <v>No universe defined.</v>
        <stp/>
        <stp>1214</stp>
        <stp>1761485453</stp>
        <tr r="C95" s="11"/>
      </tp>
      <tp>
        <v>353.13</v>
        <stp/>
        <stp>1217</stp>
        <stp>1761485453</stp>
        <tr r="C75" s="11"/>
      </tp>
      <tp t="s">
        <v>NULL</v>
        <stp/>
        <stp>1216</stp>
        <stp>1761485453</stp>
        <tr r="K82" s="11"/>
      </tp>
      <tp>
        <v>33.450000000000003</v>
        <stp/>
        <stp>1211</stp>
        <stp>1761485453</stp>
        <tr r="B126" s="11"/>
      </tp>
      <tp>
        <v>455.62</v>
        <stp/>
        <stp>1210</stp>
        <stp>1761485453</stp>
        <tr r="C41" s="11"/>
      </tp>
      <tp>
        <v>58.55</v>
        <stp/>
        <stp>1213</stp>
        <stp>1761485453</stp>
        <tr r="B160" s="11"/>
      </tp>
      <tp>
        <v>80.5</v>
        <stp/>
        <stp>1212</stp>
        <stp>1761485453</stp>
        <tr r="C58" s="11"/>
      </tp>
      <tp t="s">
        <v>No universe defined.</v>
        <stp/>
        <stp>1219</stp>
        <stp>1761485453</stp>
        <tr r="K168" s="11"/>
      </tp>
      <tp>
        <v>19.760000000000002</v>
        <stp/>
        <stp>1218</stp>
        <stp>1761485453</stp>
        <tr r="B157" s="11"/>
      </tp>
      <tp>
        <v>24.33</v>
        <stp/>
        <stp>1205</stp>
        <stp>1761485453</stp>
        <tr r="C125" s="11"/>
      </tp>
      <tp t="s">
        <v>NULL</v>
        <stp/>
        <stp>1204</stp>
        <stp>1761485453</stp>
        <tr r="K141" s="11"/>
      </tp>
      <tp>
        <v>62.79</v>
        <stp/>
        <stp>1207</stp>
        <stp>1761485453</stp>
        <tr r="B49" s="11"/>
      </tp>
      <tp>
        <v>52.88</v>
        <stp/>
        <stp>1206</stp>
        <stp>1761485453</stp>
        <tr r="B179" s="11"/>
      </tp>
      <tp>
        <v>19.82</v>
        <stp/>
        <stp>1201</stp>
        <stp>1761485453</stp>
        <tr r="C57" s="11"/>
      </tp>
      <tp>
        <v>22.36</v>
        <stp/>
        <stp>1200</stp>
        <stp>1761485453</stp>
        <tr r="C54" s="11"/>
      </tp>
      <tp>
        <v>43.82</v>
        <stp/>
        <stp>1203</stp>
        <stp>1761485453</stp>
        <tr r="B90" s="11"/>
      </tp>
      <tp>
        <v>1.2248123372128401</v>
        <stp/>
        <stp>1202</stp>
        <stp>1761485453</stp>
        <tr r="K149" s="11"/>
      </tp>
      <tp>
        <v>72.41</v>
        <stp/>
        <stp>1209</stp>
        <stp>1761485453</stp>
        <tr r="C43" s="11"/>
      </tp>
      <tp t="s">
        <v>No universe defined.</v>
        <stp/>
        <stp>1208</stp>
        <stp>1761485453</stp>
        <tr r="C143" s="11"/>
      </tp>
      <tp>
        <v>0.94013813680106995</v>
        <stp/>
        <stp>1395</stp>
        <stp>1761485453</stp>
        <tr r="K47" s="11"/>
      </tp>
      <tp>
        <v>58.7</v>
        <stp/>
        <stp>1394</stp>
        <stp>1761485453</stp>
        <tr r="C160" s="11"/>
      </tp>
      <tp>
        <v>1.12968511061119</v>
        <stp/>
        <stp>1397</stp>
        <stp>1761485453</stp>
        <tr r="K162" s="11"/>
      </tp>
      <tp>
        <v>54.67</v>
        <stp/>
        <stp>1396</stp>
        <stp>1761485453</stp>
        <tr r="B167" s="11"/>
      </tp>
      <tp t="s">
        <v>NULL</v>
        <stp/>
        <stp>1391</stp>
        <stp>1761485453</stp>
        <tr r="K68" s="11"/>
      </tp>
      <tp>
        <v>2.71</v>
        <stp/>
        <stp>1390</stp>
        <stp>1761485453</stp>
        <tr r="B84" s="11"/>
      </tp>
      <tp>
        <v>2.15776410220899</v>
        <stp/>
        <stp>1393</stp>
        <stp>1761485453</stp>
        <tr r="K86" s="11"/>
      </tp>
      <tp t="s">
        <v>NULL</v>
        <stp/>
        <stp>1392</stp>
        <stp>1761485453</stp>
        <tr r="K145" s="11"/>
      </tp>
      <tp>
        <v>178.93</v>
        <stp/>
        <stp>1399</stp>
        <stp>1761485453</stp>
        <tr r="B181" s="11"/>
      </tp>
      <tp>
        <v>366.46</v>
        <stp/>
        <stp>1398</stp>
        <stp>1761485453</stp>
        <tr r="B107" s="11"/>
      </tp>
      <tp>
        <v>68.09</v>
        <stp/>
        <stp>1385</stp>
        <stp>1761485453</stp>
        <tr r="C155" s="11"/>
      </tp>
      <tp>
        <v>0.86273935948116498</v>
        <stp/>
        <stp>1384</stp>
        <stp>1761485453</stp>
        <tr r="K59" s="11"/>
      </tp>
      <tp t="s">
        <v>No universe defined.</v>
        <stp/>
        <stp>1387</stp>
        <stp>1761485453</stp>
        <tr r="C153" s="11"/>
      </tp>
      <tp>
        <v>28.68</v>
        <stp/>
        <stp>1386</stp>
        <stp>1761485453</stp>
        <tr r="C81" s="11"/>
      </tp>
      <tp>
        <v>1.35256318228772</v>
        <stp/>
        <stp>1381</stp>
        <stp>1761485453</stp>
        <tr r="K72" s="11"/>
      </tp>
      <tp t="s">
        <v>No universe defined.</v>
        <stp/>
        <stp>1380</stp>
        <stp>1761485453</stp>
        <tr r="K110" s="11"/>
      </tp>
      <tp>
        <v>16.11</v>
        <stp/>
        <stp>1383</stp>
        <stp>1761485453</stp>
        <tr r="C144" s="11"/>
      </tp>
      <tp t="s">
        <v>NULL</v>
        <stp/>
        <stp>1382</stp>
        <stp>1761485453</stp>
        <tr r="K170" s="11"/>
      </tp>
      <tp>
        <v>1.6527614752387301</v>
        <stp/>
        <stp>1389</stp>
        <stp>1761485453</stp>
        <tr r="K151" s="11"/>
      </tp>
      <tp>
        <v>1802.17</v>
        <stp/>
        <stp>1388</stp>
        <stp>1761485453</stp>
        <tr r="C55" s="11"/>
      </tp>
      <tp>
        <v>81.400000000000006</v>
        <stp/>
        <stp>1375</stp>
        <stp>1761485453</stp>
        <tr r="C138" s="11"/>
      </tp>
      <tp>
        <v>71.37</v>
        <stp/>
        <stp>1374</stp>
        <stp>1761485453</stp>
        <tr r="B128" s="11"/>
      </tp>
      <tp>
        <v>5.24</v>
        <stp/>
        <stp>1377</stp>
        <stp>1761485453</stp>
        <tr r="C150" s="11"/>
      </tp>
      <tp>
        <v>102.86</v>
        <stp/>
        <stp>1376</stp>
        <stp>1761485453</stp>
        <tr r="B56" s="11"/>
      </tp>
      <tp>
        <v>121.31</v>
        <stp/>
        <stp>1371</stp>
        <stp>1761485453</stp>
        <tr r="C17" s="11"/>
      </tp>
      <tp>
        <v>35.700000000000003</v>
        <stp/>
        <stp>1370</stp>
        <stp>1761485453</stp>
        <tr r="C171" s="11"/>
      </tp>
      <tp>
        <v>1.4838900671744599</v>
        <stp/>
        <stp>1373</stp>
        <stp>1761485453</stp>
        <tr r="K55" s="11"/>
      </tp>
      <tp t="s">
        <v>No universe defined.</v>
        <stp/>
        <stp>1372</stp>
        <stp>1761485453</stp>
        <tr r="K153" s="11"/>
      </tp>
      <tp>
        <v>36.729999999999997</v>
        <stp/>
        <stp>1379</stp>
        <stp>1761485453</stp>
        <tr r="C158" s="11"/>
      </tp>
      <tp>
        <v>65.010000000000005</v>
        <stp/>
        <stp>1378</stp>
        <stp>1761485453</stp>
        <tr r="C48" s="11"/>
      </tp>
      <tp>
        <v>0.29911661627045</v>
        <stp/>
        <stp>1365</stp>
        <stp>1761485453</stp>
        <tr r="K118" s="11"/>
      </tp>
      <tp>
        <v>109.62</v>
        <stp/>
        <stp>1364</stp>
        <stp>1761485453</stp>
        <tr r="C29" s="11"/>
      </tp>
      <tp>
        <v>1.38358444823994</v>
        <stp/>
        <stp>1367</stp>
        <stp>1761485453</stp>
        <tr r="K89" s="11"/>
      </tp>
      <tp>
        <v>5.2905001463695998E-2</v>
        <stp/>
        <stp>1366</stp>
        <stp>1761485453</stp>
        <tr r="K103" s="11"/>
      </tp>
      <tp>
        <v>124.68</v>
        <stp/>
        <stp>1361</stp>
        <stp>1761485453</stp>
        <tr r="C42" s="11"/>
      </tp>
      <tp>
        <v>0.94782491444304395</v>
        <stp/>
        <stp>1360</stp>
        <stp>1761485453</stp>
        <tr r="K96" s="11"/>
      </tp>
      <tp>
        <v>8.51</v>
        <stp/>
        <stp>1363</stp>
        <stp>1761485453</stp>
        <tr r="C106" s="11"/>
      </tp>
      <tp>
        <v>13.82</v>
        <stp/>
        <stp>1362</stp>
        <stp>1761485453</stp>
        <tr r="B101" s="11"/>
      </tp>
      <tp>
        <v>32.54</v>
        <stp/>
        <stp>1369</stp>
        <stp>1761485453</stp>
        <tr r="B32" s="11"/>
      </tp>
      <tp>
        <v>1.6205864980264</v>
        <stp/>
        <stp>1368</stp>
        <stp>1761485453</stp>
        <tr r="K160" s="11"/>
      </tp>
      <tp>
        <v>0.78765120284107004</v>
        <stp/>
        <stp>1355</stp>
        <stp>1761485453</stp>
        <tr r="K100" s="11"/>
      </tp>
      <tp t="s">
        <v>NULL</v>
        <stp/>
        <stp>1354</stp>
        <stp>1761485453</stp>
        <tr r="K24" s="11"/>
      </tp>
      <tp>
        <v>52.89</v>
        <stp/>
        <stp>1357</stp>
        <stp>1761485453</stp>
        <tr r="C179" s="11"/>
      </tp>
      <tp>
        <v>120.88</v>
        <stp/>
        <stp>1356</stp>
        <stp>1761485453</stp>
        <tr r="B116" s="11"/>
      </tp>
      <tp>
        <v>613.91999999999996</v>
        <stp/>
        <stp>1351</stp>
        <stp>1761485453</stp>
        <tr r="C154" s="11"/>
      </tp>
      <tp>
        <v>139.88</v>
        <stp/>
        <stp>1350</stp>
        <stp>1761485453</stp>
        <tr r="B141" s="11"/>
      </tp>
      <tp>
        <v>682.18</v>
        <stp/>
        <stp>1353</stp>
        <stp>1761485453</stp>
        <tr r="C12" s="11"/>
      </tp>
      <tp>
        <v>109.52</v>
        <stp/>
        <stp>1352</stp>
        <stp>1761485453</stp>
        <tr r="B29" s="11"/>
      </tp>
      <tp>
        <v>81.680000000000007</v>
        <stp/>
        <stp>1359</stp>
        <stp>1761485453</stp>
        <tr r="C65" s="11"/>
      </tp>
      <tp>
        <v>159.4</v>
        <stp/>
        <stp>1358</stp>
        <stp>1761485453</stp>
        <tr r="C16" s="11"/>
      </tp>
      <tp>
        <v>39.39</v>
        <stp/>
        <stp>1345</stp>
        <stp>1761485453</stp>
        <tr r="B9" s="11"/>
      </tp>
      <tp>
        <v>1.3875519989009999</v>
        <stp/>
        <stp>1344</stp>
        <stp>1761485453</stp>
        <tr r="K74" s="11"/>
      </tp>
      <tp t="s">
        <v>NULL</v>
        <stp/>
        <stp>1347</stp>
        <stp>1761485453</stp>
        <tr r="K127" s="11"/>
      </tp>
      <tp>
        <v>318.97000000000003</v>
        <stp/>
        <stp>1346</stp>
        <stp>1761485453</stp>
        <tr r="C163" s="11"/>
      </tp>
      <tp>
        <v>1.8366635347300699</v>
        <stp/>
        <stp>1341</stp>
        <stp>1761485453</stp>
        <tr r="K102" s="11"/>
      </tp>
      <tp t="s">
        <v>No universe defined.</v>
        <stp/>
        <stp>1340</stp>
        <stp>1761485453</stp>
        <tr r="K88" s="11"/>
      </tp>
      <tp>
        <v>0.49396670320594999</v>
        <stp/>
        <stp>1343</stp>
        <stp>1761485453</stp>
        <tr r="K31" s="11"/>
      </tp>
      <tp>
        <v>1.06183047492534</v>
        <stp/>
        <stp>1342</stp>
        <stp>1761485453</stp>
        <tr r="K178" s="11"/>
      </tp>
      <tp>
        <v>1.2390929718244701</v>
        <stp/>
        <stp>1349</stp>
        <stp>1761485453</stp>
        <tr r="K52" s="11"/>
      </tp>
      <tp>
        <v>353.09</v>
        <stp/>
        <stp>1348</stp>
        <stp>1761485453</stp>
        <tr r="B75" s="11"/>
      </tp>
      <tp t="s">
        <v>NULL</v>
        <stp/>
        <stp>1335</stp>
        <stp>1761485453</stp>
        <tr r="K10" s="11"/>
      </tp>
      <tp>
        <v>8.4700000000000006</v>
        <stp/>
        <stp>1334</stp>
        <stp>1761485453</stp>
        <tr r="C83" s="11"/>
      </tp>
      <tp>
        <v>88.79</v>
        <stp/>
        <stp>1337</stp>
        <stp>1761485453</stp>
        <tr r="B47" s="11"/>
      </tp>
      <tp>
        <v>122.66</v>
        <stp/>
        <stp>1336</stp>
        <stp>1761485453</stp>
        <tr r="B52" s="11"/>
      </tp>
      <tp>
        <v>235.97</v>
        <stp/>
        <stp>1331</stp>
        <stp>1761485453</stp>
        <tr r="B61" s="11"/>
      </tp>
      <tp>
        <v>257.85000000000002</v>
        <stp/>
        <stp>1330</stp>
        <stp>1761485453</stp>
        <tr r="C13" s="11"/>
      </tp>
      <tp t="s">
        <v>NULL</v>
        <stp/>
        <stp>1333</stp>
        <stp>1761485453</stp>
        <tr r="K130" s="11"/>
      </tp>
      <tp>
        <v>1.1002342347907901</v>
        <stp/>
        <stp>1332</stp>
        <stp>1761485453</stp>
        <tr r="K53" s="11"/>
      </tp>
      <tp>
        <v>47.25</v>
        <stp/>
        <stp>1339</stp>
        <stp>1761485453</stp>
        <tr r="C74" s="11"/>
      </tp>
      <tp t="s">
        <v>NULL</v>
        <stp/>
        <stp>1338</stp>
        <stp>1761485453</stp>
        <tr r="K128" s="11"/>
      </tp>
      <tp>
        <v>629.86</v>
        <stp/>
        <stp>1325</stp>
        <stp>1761485453</stp>
        <tr r="B28" s="11"/>
      </tp>
      <tp t="s">
        <v>NULL</v>
        <stp/>
        <stp>1324</stp>
        <stp>1761485453</stp>
        <tr r="K165" s="11"/>
      </tp>
      <tp t="s">
        <v>NULL</v>
        <stp/>
        <stp>1327</stp>
        <stp>1761485453</stp>
        <tr r="K9" s="11"/>
      </tp>
      <tp>
        <v>52.88</v>
        <stp/>
        <stp>1326</stp>
        <stp>1761485453</stp>
        <tr r="B164" s="11"/>
      </tp>
      <tp>
        <v>434.08</v>
        <stp/>
        <stp>1321</stp>
        <stp>1761485453</stp>
        <tr r="B38" s="11"/>
      </tp>
      <tp>
        <v>9.4700000000000006</v>
        <stp/>
        <stp>1320</stp>
        <stp>1761485453</stp>
        <tr r="B69" s="11"/>
      </tp>
      <tp>
        <v>613.9</v>
        <stp/>
        <stp>1323</stp>
        <stp>1761485453</stp>
        <tr r="B154" s="11"/>
      </tp>
      <tp>
        <v>16.559999999999999</v>
        <stp/>
        <stp>1322</stp>
        <stp>1761485453</stp>
        <tr r="C97" s="11"/>
      </tp>
      <tp>
        <v>0.61827855938583598</v>
        <stp/>
        <stp>1329</stp>
        <stp>1761485453</stp>
        <tr r="K48" s="11"/>
      </tp>
      <tp>
        <v>317.49</v>
        <stp/>
        <stp>1328</stp>
        <stp>1761485453</stp>
        <tr r="B23" s="11"/>
      </tp>
      <tp>
        <v>68.08</v>
        <stp/>
        <stp>1315</stp>
        <stp>1761485453</stp>
        <tr r="B76" s="11"/>
      </tp>
      <tp>
        <v>1.12968511061119</v>
        <stp/>
        <stp>1314</stp>
        <stp>1761485453</stp>
        <tr r="K177" s="11"/>
      </tp>
      <tp>
        <v>479.33</v>
        <stp/>
        <stp>1317</stp>
        <stp>1761485453</stp>
        <tr r="B159" s="11"/>
      </tp>
      <tp>
        <v>114.87</v>
        <stp/>
        <stp>1316</stp>
        <stp>1761485453</stp>
        <tr r="C44" s="11"/>
      </tp>
      <tp>
        <v>87.51</v>
        <stp/>
        <stp>1311</stp>
        <stp>1761485453</stp>
        <tr r="B26" s="11"/>
      </tp>
      <tp>
        <v>40.61</v>
        <stp/>
        <stp>1310</stp>
        <stp>1761485453</stp>
        <tr r="C60" s="11"/>
      </tp>
      <tp>
        <v>5.08</v>
        <stp/>
        <stp>1313</stp>
        <stp>1761485453</stp>
        <tr r="B59" s="11"/>
      </tp>
      <tp t="s">
        <v>The record could not be found (Error code: 0)</v>
        <stp/>
        <stp>1312</stp>
        <stp>1761485453</stp>
        <tr r="B139" s="11"/>
      </tp>
      <tp>
        <v>22.25</v>
        <stp/>
        <stp>1319</stp>
        <stp>1761485453</stp>
        <tr r="B54" s="11"/>
      </tp>
      <tp>
        <v>81.78</v>
        <stp/>
        <stp>1318</stp>
        <stp>1761485453</stp>
        <tr r="C152" s="11"/>
      </tp>
      <tp t="s">
        <v>No universe defined.</v>
        <stp/>
        <stp>1305</stp>
        <stp>1761485453</stp>
        <tr r="B95" s="11"/>
      </tp>
      <tp>
        <v>179</v>
        <stp/>
        <stp>1304</stp>
        <stp>1761485453</stp>
        <tr r="C181" s="11"/>
      </tp>
      <tp>
        <v>1.5224489356375701</v>
        <stp/>
        <stp>1307</stp>
        <stp>1761485453</stp>
        <tr r="K108" s="11"/>
      </tp>
      <tp>
        <v>502.54</v>
        <stp/>
        <stp>1306</stp>
        <stp>1761485453</stp>
        <tr r="B102" s="11"/>
      </tp>
      <tp>
        <v>191.98</v>
        <stp/>
        <stp>1301</stp>
        <stp>1761485453</stp>
        <tr r="C79" s="11"/>
      </tp>
      <tp>
        <v>87.7</v>
        <stp/>
        <stp>1300</stp>
        <stp>1761485453</stp>
        <tr r="C26" s="11"/>
      </tp>
      <tp>
        <v>2.1563471075400402</v>
        <stp/>
        <stp>1303</stp>
        <stp>1761485453</stp>
        <tr r="K98" s="11"/>
      </tp>
      <tp t="s">
        <v>No universe defined.</v>
        <stp/>
        <stp>1302</stp>
        <stp>1761485453</stp>
        <tr r="K92" s="11"/>
      </tp>
      <tp>
        <v>6.69</v>
        <stp/>
        <stp>1309</stp>
        <stp>1761485453</stp>
        <tr r="B129" s="11"/>
      </tp>
      <tp>
        <v>64.23</v>
        <stp/>
        <stp>1308</stp>
        <stp>1761485453</stp>
        <tr r="C72" s="11"/>
      </tp>
      <tp>
        <v>72.14</v>
        <stp/>
        <stp>1095</stp>
        <stp>1761485453</stp>
        <tr r="C66" s="11"/>
      </tp>
      <tp>
        <v>0.96882921254066101</v>
        <stp/>
        <stp>1094</stp>
        <stp>1761485453</stp>
        <tr r="K120" s="11"/>
      </tp>
      <tp t="s">
        <v>NULL</v>
        <stp/>
        <stp>1097</stp>
        <stp>1761485453</stp>
        <tr r="K159" s="11"/>
      </tp>
      <tp t="s">
        <v>No universe defined.</v>
        <stp/>
        <stp>1096</stp>
        <stp>1761485453</stp>
        <tr r="B143" s="11"/>
      </tp>
      <tp>
        <v>41.4</v>
        <stp/>
        <stp>1091</stp>
        <stp>1761485453</stp>
        <tr r="C20" s="11"/>
      </tp>
      <tp>
        <v>1.0629010422310801</v>
        <stp/>
        <stp>1090</stp>
        <stp>1761485453</stp>
        <tr r="K104" s="11"/>
      </tp>
      <tp t="s">
        <v>No universe defined.</v>
        <stp/>
        <stp>1093</stp>
        <stp>1761485453</stp>
        <tr r="B110" s="11"/>
      </tp>
      <tp>
        <v>77.88</v>
        <stp/>
        <stp>1092</stp>
        <stp>1761485453</stp>
        <tr r="B142" s="11"/>
      </tp>
      <tp t="s">
        <v>NULL</v>
        <stp/>
        <stp>1099</stp>
        <stp>1761485453</stp>
        <tr r="K25" s="11"/>
      </tp>
      <tp>
        <v>81.61</v>
        <stp/>
        <stp>1098</stp>
        <stp>1761485453</stp>
        <tr r="B65" s="11"/>
      </tp>
      <tp>
        <v>0.88487391411733796</v>
        <stp/>
        <stp>1085</stp>
        <stp>1761485453</stp>
        <tr r="K65" s="11"/>
      </tp>
      <tp>
        <v>1013.56</v>
        <stp/>
        <stp>1084</stp>
        <stp>1761485453</stp>
        <tr r="B114" s="11"/>
      </tp>
      <tp>
        <v>124.47</v>
        <stp/>
        <stp>1087</stp>
        <stp>1761485453</stp>
        <tr r="B42" s="11"/>
      </tp>
      <tp>
        <v>9.5299999999999994</v>
        <stp/>
        <stp>1086</stp>
        <stp>1761485453</stp>
        <tr r="B34" s="11"/>
      </tp>
      <tp t="s">
        <v>The record could not be found (Error code: 0)</v>
        <stp/>
        <stp>1081</stp>
        <stp>1761485453</stp>
        <tr r="B91" s="11"/>
      </tp>
      <tp>
        <v>2.1911747327783999</v>
        <stp/>
        <stp>1080</stp>
        <stp>1761485453</stp>
        <tr r="K85" s="11"/>
      </tp>
      <tp>
        <v>28.63</v>
        <stp/>
        <stp>1083</stp>
        <stp>1761485453</stp>
        <tr r="C145" s="11"/>
      </tp>
      <tp>
        <v>94.66</v>
        <stp/>
        <stp>1082</stp>
        <stp>1761485453</stp>
        <tr r="B175" s="11"/>
      </tp>
      <tp>
        <v>101.05</v>
        <stp/>
        <stp>1089</stp>
        <stp>1761485453</stp>
        <tr r="C124" s="11"/>
      </tp>
      <tp>
        <v>0.64480000000000004</v>
        <stp/>
        <stp>1088</stp>
        <stp>1761485453</stp>
        <tr r="B140" s="11"/>
      </tp>
      <tp>
        <v>71.47</v>
        <stp/>
        <stp>1075</stp>
        <stp>1761485453</stp>
        <tr r="C128" s="11"/>
      </tp>
      <tp t="s">
        <v>No universe defined.</v>
        <stp/>
        <stp>1074</stp>
        <stp>1761485453</stp>
        <tr r="C88" s="11"/>
      </tp>
      <tp>
        <v>130.82</v>
        <stp/>
        <stp>1077</stp>
        <stp>1761485453</stp>
        <tr r="C130" s="11"/>
      </tp>
      <tp>
        <v>1.6177780074483701</v>
        <stp/>
        <stp>1076</stp>
        <stp>1761485453</stp>
        <tr r="K41" s="11"/>
      </tp>
      <tp>
        <v>28.56</v>
        <stp/>
        <stp>1071</stp>
        <stp>1761485453</stp>
        <tr r="C166" s="11"/>
      </tp>
      <tp>
        <v>60.91</v>
        <stp/>
        <stp>1073</stp>
        <stp>1761485453</stp>
        <tr r="C64" s="11"/>
      </tp>
      <tp>
        <v>0.70879999999999999</v>
        <stp/>
        <stp>1072</stp>
        <stp>1761485453</stp>
        <tr r="B10" s="11"/>
      </tp>
      <tp>
        <v>47.24</v>
        <stp/>
        <stp>1079</stp>
        <stp>1761485453</stp>
        <tr r="B74" s="11"/>
      </tp>
      <tp>
        <v>33.159999999999997</v>
        <stp/>
        <stp>1078</stp>
        <stp>1761485453</stp>
        <tr r="B173" s="11"/>
      </tp>
      <tp>
        <v>28.67</v>
        <stp/>
        <stp>1195</stp>
        <stp>1761485453</stp>
        <tr r="B81" s="11"/>
      </tp>
      <tp>
        <v>38.64</v>
        <stp/>
        <stp>1194</stp>
        <stp>1761485453</stp>
        <tr r="C46" s="11"/>
      </tp>
      <tp>
        <v>139.91999999999999</v>
        <stp/>
        <stp>1197</stp>
        <stp>1761485453</stp>
        <tr r="C141" s="11"/>
      </tp>
      <tp>
        <v>127.1</v>
        <stp/>
        <stp>1196</stp>
        <stp>1761485453</stp>
        <tr r="B31" s="11"/>
      </tp>
      <tp>
        <v>94.99</v>
        <stp/>
        <stp>1191</stp>
        <stp>1761485453</stp>
        <tr r="C175" s="11"/>
      </tp>
      <tp>
        <v>17.3034</v>
        <stp/>
        <stp>1190</stp>
        <stp>1761485453</stp>
        <tr r="C14" s="11"/>
      </tp>
      <tp>
        <v>13.96</v>
        <stp/>
        <stp>1193</stp>
        <stp>1761485453</stp>
        <tr r="B63" s="11"/>
      </tp>
      <tp>
        <v>35.79</v>
        <stp/>
        <stp>1192</stp>
        <stp>1761485453</stp>
        <tr r="B99" s="11"/>
      </tp>
      <tp>
        <v>0.42292324636960599</v>
        <stp/>
        <stp>1199</stp>
        <stp>1761485453</stp>
        <tr r="K121" s="11"/>
      </tp>
      <tp>
        <v>5.23</v>
        <stp/>
        <stp>1198</stp>
        <stp>1761485453</stp>
        <tr r="B150" s="11"/>
      </tp>
      <tp>
        <v>10.38</v>
        <stp/>
        <stp>1185</stp>
        <stp>1761485453</stp>
        <tr r="B89" s="11"/>
      </tp>
      <tp>
        <v>72.03</v>
        <stp/>
        <stp>1184</stp>
        <stp>1761485453</stp>
        <tr r="B66" s="11"/>
      </tp>
      <tp>
        <v>0.70909999999999995</v>
        <stp/>
        <stp>1187</stp>
        <stp>1761485453</stp>
        <tr r="C10" s="11"/>
      </tp>
      <tp>
        <v>28.55</v>
        <stp/>
        <stp>1186</stp>
        <stp>1761485453</stp>
        <tr r="B166" s="11"/>
      </tp>
      <tp>
        <v>1.0370539613487</v>
        <stp/>
        <stp>1181</stp>
        <stp>1761485453</stp>
        <tr r="K117" s="11"/>
      </tp>
      <tp>
        <v>3.33115006890726</v>
        <stp/>
        <stp>1180</stp>
        <stp>1761485453</stp>
        <tr r="K66" s="11"/>
      </tp>
      <tp t="s">
        <v>Unable to resolve all requested identifiers.</v>
        <stp/>
        <stp>1183</stp>
        <stp>1761485453</stp>
        <tr r="K11" s="11"/>
      </tp>
      <tp>
        <v>629.96</v>
        <stp/>
        <stp>1182</stp>
        <stp>1761485453</stp>
        <tr r="C28" s="11"/>
      </tp>
      <tp>
        <v>84.47</v>
        <stp/>
        <stp>1189</stp>
        <stp>1761485453</stp>
        <tr r="B170" s="11"/>
      </tp>
      <tp>
        <v>18.66</v>
        <stp/>
        <stp>1188</stp>
        <stp>1761485453</stp>
        <tr r="C112" s="11"/>
      </tp>
      <tp>
        <v>0.84439517391614405</v>
        <stp/>
        <stp>1175</stp>
        <stp>1761485453</stp>
        <tr r="K119" s="11"/>
      </tp>
      <tp>
        <v>318.83999999999997</v>
        <stp/>
        <stp>1174</stp>
        <stp>1761485453</stp>
        <tr r="B163" s="11"/>
      </tp>
      <tp>
        <v>75.52</v>
        <stp/>
        <stp>1177</stp>
        <stp>1761485453</stp>
        <tr r="B80" s="11"/>
      </tp>
      <tp t="s">
        <v>No universe defined.</v>
        <stp/>
        <stp>1176</stp>
        <stp>1761485453</stp>
        <tr r="C105" s="11"/>
      </tp>
      <tp>
        <v>1.5432560643736699</v>
        <stp/>
        <stp>1171</stp>
        <stp>1761485453</stp>
        <tr r="K49" s="11"/>
      </tp>
      <tp t="s">
        <v>The record could not be found (Error code: 0)</v>
        <stp/>
        <stp>1170</stp>
        <stp>1761485453</stp>
        <tr r="C139" s="11"/>
      </tp>
      <tp>
        <v>0.21212422814944601</v>
        <stp/>
        <stp>1173</stp>
        <stp>1761485453</stp>
        <tr r="K112" s="11"/>
      </tp>
      <tp t="s">
        <v>No universe defined.</v>
        <stp/>
        <stp>1172</stp>
        <stp>1761485453</stp>
        <tr r="K105" s="11"/>
      </tp>
      <tp>
        <v>480.5</v>
        <stp/>
        <stp>1179</stp>
        <stp>1761485453</stp>
        <tr r="C182" s="11"/>
      </tp>
      <tp>
        <v>79.94</v>
        <stp/>
        <stp>1178</stp>
        <stp>1761485453</stp>
        <tr r="C33" s="11"/>
      </tp>
      <tp>
        <v>0.64490000000000003</v>
        <stp/>
        <stp>1165</stp>
        <stp>1761485453</stp>
        <tr r="C140" s="11"/>
      </tp>
      <tp>
        <v>311.33999999999997</v>
        <stp/>
        <stp>1164</stp>
        <stp>1761485453</stp>
        <tr r="B121" s="11"/>
      </tp>
      <tp>
        <v>64.930000000000007</v>
        <stp/>
        <stp>1167</stp>
        <stp>1761485453</stp>
        <tr r="B48" s="11"/>
      </tp>
      <tp>
        <v>1.67251672138846</v>
        <stp/>
        <stp>1166</stp>
        <stp>1761485453</stp>
        <tr r="K116" s="11"/>
      </tp>
      <tp>
        <v>174.97</v>
        <stp/>
        <stp>1161</stp>
        <stp>1761485453</stp>
        <tr r="C93" s="11"/>
      </tp>
      <tp t="s">
        <v>NULL</v>
        <stp/>
        <stp>1160</stp>
        <stp>1761485453</stp>
        <tr r="K17" s="11"/>
      </tp>
      <tp>
        <v>10.4</v>
        <stp/>
        <stp>1163</stp>
        <stp>1761485453</stp>
        <tr r="C89" s="11"/>
      </tp>
      <tp>
        <v>4.9873000000000003</v>
        <stp/>
        <stp>1162</stp>
        <stp>1761485453</stp>
        <tr r="B7" s="11"/>
      </tp>
      <tp>
        <v>27.64</v>
        <stp/>
        <stp>1169</stp>
        <stp>1761485453</stp>
        <tr r="B123" s="11"/>
      </tp>
      <tp>
        <v>1.11443331380271</v>
        <stp/>
        <stp>1168</stp>
        <stp>1761485453</stp>
        <tr r="K23" s="11"/>
      </tp>
      <tp>
        <v>16.100000000000001</v>
        <stp/>
        <stp>1155</stp>
        <stp>1761485453</stp>
        <tr r="B144" s="11"/>
      </tp>
      <tp>
        <v>238.24</v>
        <stp/>
        <stp>1154</stp>
        <stp>1761485453</stp>
        <tr r="C30" s="11"/>
      </tp>
      <tp>
        <v>1.4747894806119399</v>
        <stp/>
        <stp>1157</stp>
        <stp>1761485453</stp>
        <tr r="K40" s="11"/>
      </tp>
      <tp>
        <v>498.11</v>
        <stp/>
        <stp>1156</stp>
        <stp>1761485453</stp>
        <tr r="C45" s="11"/>
      </tp>
      <tp t="s">
        <v>No universe defined.</v>
        <stp/>
        <stp>1151</stp>
        <stp>1761485453</stp>
        <tr r="C135" s="11"/>
      </tp>
      <tp>
        <v>125.27</v>
        <stp/>
        <stp>1150</stp>
        <stp>1761485453</stp>
        <tr r="B177" s="11"/>
      </tp>
      <tp>
        <v>1.30987611918772</v>
        <stp/>
        <stp>1153</stp>
        <stp>1761485453</stp>
        <tr r="K28" s="11"/>
      </tp>
      <tp>
        <v>0.677831785948249</v>
        <stp/>
        <stp>1152</stp>
        <stp>1761485453</stp>
        <tr r="K182" s="11"/>
      </tp>
      <tp>
        <v>1.5230578381736299</v>
        <stp/>
        <stp>1159</stp>
        <stp>1761485453</stp>
        <tr r="K172" s="11"/>
      </tp>
      <tp>
        <v>49.2</v>
        <stp/>
        <stp>1158</stp>
        <stp>1761485453</stp>
        <tr r="B85" s="11"/>
      </tp>
      <tp>
        <v>68.08</v>
        <stp/>
        <stp>1145</stp>
        <stp>1761485453</stp>
        <tr r="B155" s="11"/>
      </tp>
      <tp t="s">
        <v>Unable to resolve all requested identifiers.</v>
        <stp/>
        <stp>1144</stp>
        <stp>1761485453</stp>
        <tr r="K14" s="11"/>
      </tp>
      <tp>
        <v>49.48</v>
        <stp/>
        <stp>1147</stp>
        <stp>1761485453</stp>
        <tr r="C85" s="11"/>
      </tp>
      <tp>
        <v>188.18</v>
        <stp/>
        <stp>1146</stp>
        <stp>1761485453</stp>
        <tr r="B133" s="11"/>
      </tp>
      <tp t="s">
        <v>NULL</v>
        <stp/>
        <stp>1141</stp>
        <stp>1761485453</stp>
        <tr r="K21" s="11"/>
      </tp>
      <tp>
        <v>2.7934144375136398</v>
        <stp/>
        <stp>1140</stp>
        <stp>1761485453</stp>
        <tr r="K44" s="11"/>
      </tp>
      <tp>
        <v>51.37</v>
        <stp/>
        <stp>1143</stp>
        <stp>1761485453</stp>
        <tr r="B71" s="11"/>
      </tp>
      <tp t="s">
        <v>No universe defined.</v>
        <stp/>
        <stp>1142</stp>
        <stp>1761485453</stp>
        <tr r="K136" s="11"/>
      </tp>
      <tp>
        <v>257.83</v>
        <stp/>
        <stp>1149</stp>
        <stp>1761485453</stp>
        <tr r="B13" s="11"/>
      </tp>
      <tp>
        <v>13.61</v>
        <stp/>
        <stp>1148</stp>
        <stp>1761485453</stp>
        <tr r="B119" s="11"/>
      </tp>
      <tp>
        <v>55.14</v>
        <stp/>
        <stp>1135</stp>
        <stp>1761485453</stp>
        <tr r="B127" s="11"/>
      </tp>
      <tp t="s">
        <v>The record could not be found (Error code: 0)</v>
        <stp/>
        <stp>1134</stp>
        <stp>1761485453</stp>
        <tr r="C91" s="11"/>
      </tp>
      <tp>
        <v>0.73256656832433797</v>
        <stp/>
        <stp>1137</stp>
        <stp>1761485453</stp>
        <tr r="K115" s="11"/>
      </tp>
      <tp>
        <v>71.5</v>
        <stp/>
        <stp>1136</stp>
        <stp>1761485453</stp>
        <tr r="B122" s="11"/>
      </tp>
      <tp>
        <v>0.73865122200813105</v>
        <stp/>
        <stp>1131</stp>
        <stp>1761485453</stp>
        <tr r="K34" s="11"/>
      </tp>
      <tp>
        <v>100.14</v>
        <stp/>
        <stp>1130</stp>
        <stp>1761485453</stp>
        <tr r="C111" s="11"/>
      </tp>
      <tp>
        <v>16.407699999999998</v>
        <stp/>
        <stp>1133</stp>
        <stp>1761485453</stp>
        <tr r="C15" s="11"/>
      </tp>
      <tp>
        <v>1.5490691079457799</v>
        <stp/>
        <stp>1132</stp>
        <stp>1761485453</stp>
        <tr r="K61" s="11"/>
      </tp>
      <tp>
        <v>81.39</v>
        <stp/>
        <stp>1139</stp>
        <stp>1761485453</stp>
        <tr r="B138" s="11"/>
      </tp>
      <tp>
        <v>81.77</v>
        <stp/>
        <stp>1138</stp>
        <stp>1761485453</stp>
        <tr r="B152" s="11"/>
      </tp>
      <tp>
        <v>6.7</v>
        <stp/>
        <stp>1125</stp>
        <stp>1761485453</stp>
        <tr r="C129" s="11"/>
      </tp>
      <tp>
        <v>18.04</v>
        <stp/>
        <stp>1124</stp>
        <stp>1761485453</stp>
        <tr r="C87" s="11"/>
      </tp>
      <tp>
        <v>40.57</v>
        <stp/>
        <stp>1127</stp>
        <stp>1761485453</stp>
        <tr r="B60" s="11"/>
      </tp>
      <tp>
        <v>84.52</v>
        <stp/>
        <stp>1126</stp>
        <stp>1761485453</stp>
        <tr r="C170" s="11"/>
      </tp>
      <tp t="s">
        <v>NULL</v>
        <stp/>
        <stp>1121</stp>
        <stp>1761485453</stp>
        <tr r="K155" s="11"/>
      </tp>
      <tp>
        <v>41.39</v>
        <stp/>
        <stp>1120</stp>
        <stp>1761485453</stp>
        <tr r="B20" s="11"/>
      </tp>
      <tp>
        <v>100.18</v>
        <stp/>
        <stp>1123</stp>
        <stp>1761485453</stp>
        <tr r="B103" s="11"/>
      </tp>
      <tp>
        <v>4746.2</v>
        <stp/>
        <stp>1122</stp>
        <stp>1761485453</stp>
        <tr r="C11" s="11"/>
      </tp>
      <tp>
        <v>103</v>
        <stp/>
        <stp>1129</stp>
        <stp>1761485453</stp>
        <tr r="C56" s="11"/>
      </tp>
      <tp>
        <v>1.1904999555306299</v>
        <stp/>
        <stp>1128</stp>
        <stp>1761485453</stp>
        <tr r="K181" s="11"/>
      </tp>
      <tp>
        <v>35.69</v>
        <stp/>
        <stp>1115</stp>
        <stp>1761485453</stp>
        <tr r="B171" s="11"/>
      </tp>
      <tp>
        <v>2.2854783678172601</v>
        <stp/>
        <stp>1114</stp>
        <stp>1761485453</stp>
        <tr r="K156" s="11"/>
      </tp>
      <tp>
        <v>1.2050527857444899</v>
        <stp/>
        <stp>1117</stp>
        <stp>1761485453</stp>
        <tr r="K71" s="11"/>
      </tp>
      <tp>
        <v>3.6237047288564899</v>
        <stp/>
        <stp>1116</stp>
        <stp>1761485453</stp>
        <tr r="K67" s="11"/>
      </tp>
      <tp>
        <v>173.35</v>
        <stp/>
        <stp>1111</stp>
        <stp>1761485453</stp>
        <tr r="B93" s="11"/>
      </tp>
      <tp>
        <v>130.44999999999999</v>
        <stp/>
        <stp>1110</stp>
        <stp>1761485453</stp>
        <tr r="B19" s="11"/>
      </tp>
      <tp t="s">
        <v>NULL</v>
        <stp/>
        <stp>1113</stp>
        <stp>1761485453</stp>
        <tr r="K91" s="11"/>
      </tp>
      <tp>
        <v>72.09</v>
        <stp/>
        <stp>1112</stp>
        <stp>1761485453</stp>
        <tr r="C148" s="11"/>
      </tp>
      <tp>
        <v>52.49</v>
        <stp/>
        <stp>1119</stp>
        <stp>1761485453</stp>
        <tr r="C184" s="11"/>
      </tp>
      <tp t="s">
        <v>NULL</v>
        <stp/>
        <stp>1118</stp>
        <stp>1761485453</stp>
        <tr r="K167" s="11"/>
      </tp>
      <tp>
        <v>50.23</v>
        <stp/>
        <stp>1105</stp>
        <stp>1761485453</stp>
        <tr r="B174" s="11"/>
      </tp>
      <tp t="s">
        <v>NULL</v>
        <stp/>
        <stp>1104</stp>
        <stp>1761485453</stp>
        <tr r="K166" s="11"/>
      </tp>
      <tp>
        <v>120.82</v>
        <stp/>
        <stp>1107</stp>
        <stp>1761485453</stp>
        <tr r="C51" s="11"/>
      </tp>
      <tp>
        <v>21.12</v>
        <stp/>
        <stp>1106</stp>
        <stp>1761485453</stp>
        <tr r="B53" s="11"/>
      </tp>
      <tp>
        <v>5.09</v>
        <stp/>
        <stp>1101</stp>
        <stp>1761485453</stp>
        <tr r="C59" s="11"/>
      </tp>
      <tp>
        <v>8.4499999999999993</v>
        <stp/>
        <stp>1100</stp>
        <stp>1761485453</stp>
        <tr r="B83" s="11"/>
      </tp>
      <tp t="s">
        <v>Unable to resolve all requested identifiers.</v>
        <stp/>
        <stp>1103</stp>
        <stp>1761485453</stp>
        <tr r="K7" s="11"/>
      </tp>
      <tp>
        <v>118.4</v>
        <stp/>
        <stp>1102</stp>
        <stp>1761485453</stp>
        <tr r="B68" s="11"/>
      </tp>
      <tp>
        <v>62.84</v>
        <stp/>
        <stp>1109</stp>
        <stp>1761485453</stp>
        <tr r="C115" s="11"/>
      </tp>
      <tp t="s">
        <v>No universe defined.</v>
        <stp/>
        <stp>1108</stp>
        <stp>1761485453</stp>
        <tr r="K95" s="1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D7-40AE-8A22-4C275C2CD7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D7-40AE-8A22-4C275C2CD7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D7-40AE-8A22-4C275C2CD7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D7-40AE-8A22-4C275C2CD7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D7-40AE-8A22-4C275C2CD7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D7-40AE-8A22-4C275C2CD7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D7-40AE-8A22-4C275C2CD7C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8D-4E08-BDED-27219EADDD2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D7-40AE-8A22-4C275C2CD7C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D7-40AE-8A22-4C275C2CD7C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D7-40AE-8A22-4C275C2CD7C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D7-40AE-8A22-4C275C2CD7C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0D7-40AE-8A22-4C275C2CD7C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0D7-40AE-8A22-4C275C2CD7C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0D7-40AE-8A22-4C275C2CD7C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0D7-40AE-8A22-4C275C2CD7C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0D7-40AE-8A22-4C275C2CD7C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0D7-40AE-8A22-4C275C2CD7C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0D7-40AE-8A22-4C275C2CD7C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0D7-40AE-8A22-4C275C2CD7C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0D7-40AE-8A22-4C275C2CD7C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8D-4E08-BDED-27219EADDD2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0D7-40AE-8A22-4C275C2CD7C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0D7-40AE-8A22-4C275C2CD7C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0D7-40AE-8A22-4C275C2CD7C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0D7-40AE-8A22-4C275C2CD7C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0D7-40AE-8A22-4C275C2CD7C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0D7-40AE-8A22-4C275C2CD7C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0D7-40AE-8A22-4C275C2CD7C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0D7-40AE-8A22-4C275C2CD7C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0D7-40AE-8A22-4C275C2CD7C8}"/>
              </c:ext>
            </c:extLst>
          </c:dPt>
          <c:dLbls>
            <c:dLbl>
              <c:idx val="7"/>
              <c:layout>
                <c:manualLayout>
                  <c:x val="1.3194491992848721E-2"/>
                  <c:y val="-0.1237504464209792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8D-4E08-BDED-27219EADDD2B}"/>
                </c:ext>
              </c:extLst>
            </c:dLbl>
            <c:dLbl>
              <c:idx val="21"/>
              <c:layout>
                <c:manualLayout>
                  <c:x val="-3.3886131081440916E-2"/>
                  <c:y val="3.137191544361487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8D-4E08-BDED-27219EADDD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cartera!$V$150:$AZ$150</c:f>
              <c:strCache>
                <c:ptCount val="31"/>
                <c:pt idx="0">
                  <c:v>AMZN</c:v>
                </c:pt>
                <c:pt idx="1">
                  <c:v>ARGT</c:v>
                </c:pt>
                <c:pt idx="2">
                  <c:v>BCH</c:v>
                </c:pt>
                <c:pt idx="3">
                  <c:v>BLK</c:v>
                </c:pt>
                <c:pt idx="4">
                  <c:v>BRK/B</c:v>
                </c:pt>
                <c:pt idx="5">
                  <c:v>CRCL</c:v>
                </c:pt>
                <c:pt idx="6">
                  <c:v>AIQ</c:v>
                </c:pt>
                <c:pt idx="7">
                  <c:v>QQQ</c:v>
                </c:pt>
                <c:pt idx="8">
                  <c:v>ESM6</c:v>
                </c:pt>
                <c:pt idx="9">
                  <c:v>SPY</c:v>
                </c:pt>
                <c:pt idx="10">
                  <c:v>GOOG</c:v>
                </c:pt>
                <c:pt idx="11">
                  <c:v>LTM</c:v>
                </c:pt>
                <c:pt idx="12">
                  <c:v>META</c:v>
                </c:pt>
                <c:pt idx="13">
                  <c:v>MSFT</c:v>
                </c:pt>
                <c:pt idx="14">
                  <c:v>NVDA</c:v>
                </c:pt>
                <c:pt idx="15">
                  <c:v>TGS</c:v>
                </c:pt>
                <c:pt idx="16">
                  <c:v>USCI</c:v>
                </c:pt>
                <c:pt idx="17">
                  <c:v>PLTR</c:v>
                </c:pt>
                <c:pt idx="18">
                  <c:v>FCX</c:v>
                </c:pt>
                <c:pt idx="19">
                  <c:v>XBI</c:v>
                </c:pt>
                <c:pt idx="20">
                  <c:v>ARKK</c:v>
                </c:pt>
                <c:pt idx="21">
                  <c:v>ECH</c:v>
                </c:pt>
                <c:pt idx="22">
                  <c:v>QTUM</c:v>
                </c:pt>
                <c:pt idx="23">
                  <c:v>SLV</c:v>
                </c:pt>
                <c:pt idx="24">
                  <c:v>IIF</c:v>
                </c:pt>
                <c:pt idx="25">
                  <c:v>RKLB</c:v>
                </c:pt>
                <c:pt idx="26">
                  <c:v>XIACY </c:v>
                </c:pt>
                <c:pt idx="27">
                  <c:v>BYDDY</c:v>
                </c:pt>
                <c:pt idx="28">
                  <c:v>JD</c:v>
                </c:pt>
                <c:pt idx="29">
                  <c:v>BABA</c:v>
                </c:pt>
                <c:pt idx="30">
                  <c:v>TCEHY </c:v>
                </c:pt>
              </c:strCache>
            </c:strRef>
          </c:cat>
          <c:val>
            <c:numRef>
              <c:f>cartera!$V$151:$AZ$151</c:f>
              <c:numCache>
                <c:formatCode>_-* #,##0.0_-;\-* #,##0.0_-;_-* "-"_-;_-@_-</c:formatCode>
                <c:ptCount val="31"/>
                <c:pt idx="0">
                  <c:v>2995.8912</c:v>
                </c:pt>
                <c:pt idx="1">
                  <c:v>-697.43759999999997</c:v>
                </c:pt>
                <c:pt idx="2">
                  <c:v>-689.22</c:v>
                </c:pt>
                <c:pt idx="3">
                  <c:v>-28073.78</c:v>
                </c:pt>
                <c:pt idx="4">
                  <c:v>-18241.519999999997</c:v>
                </c:pt>
                <c:pt idx="5">
                  <c:v>-5701.0607999999993</c:v>
                </c:pt>
                <c:pt idx="6">
                  <c:v>-10125.540000000001</c:v>
                </c:pt>
                <c:pt idx="7">
                  <c:v>-251787.62</c:v>
                </c:pt>
                <c:pt idx="8">
                  <c:v>-43971928</c:v>
                </c:pt>
                <c:pt idx="9">
                  <c:v>-194265.5</c:v>
                </c:pt>
                <c:pt idx="10">
                  <c:v>-49953.279999999992</c:v>
                </c:pt>
                <c:pt idx="11">
                  <c:v>-48814.2</c:v>
                </c:pt>
                <c:pt idx="12">
                  <c:v>-430923.97</c:v>
                </c:pt>
                <c:pt idx="13">
                  <c:v>-190721.51999999996</c:v>
                </c:pt>
                <c:pt idx="14">
                  <c:v>-157067.21999999997</c:v>
                </c:pt>
                <c:pt idx="15">
                  <c:v>-9929.36</c:v>
                </c:pt>
                <c:pt idx="16">
                  <c:v>-29782.059999999998</c:v>
                </c:pt>
                <c:pt idx="17">
                  <c:v>-85420.580000000016</c:v>
                </c:pt>
                <c:pt idx="18">
                  <c:v>-46335.869999999995</c:v>
                </c:pt>
                <c:pt idx="19">
                  <c:v>-96165.959999999992</c:v>
                </c:pt>
                <c:pt idx="20">
                  <c:v>-26832.329999999998</c:v>
                </c:pt>
                <c:pt idx="21">
                  <c:v>-68364.919999999984</c:v>
                </c:pt>
                <c:pt idx="22">
                  <c:v>-101607.78</c:v>
                </c:pt>
                <c:pt idx="23">
                  <c:v>-44446.124799999998</c:v>
                </c:pt>
                <c:pt idx="24">
                  <c:v>-10064.550000000001</c:v>
                </c:pt>
                <c:pt idx="25">
                  <c:v>-32895.719999999994</c:v>
                </c:pt>
                <c:pt idx="26">
                  <c:v>-9356.85</c:v>
                </c:pt>
                <c:pt idx="27">
                  <c:v>-6800.28</c:v>
                </c:pt>
                <c:pt idx="28">
                  <c:v>-14200.470000000001</c:v>
                </c:pt>
                <c:pt idx="29">
                  <c:v>-63865.760000000002</c:v>
                </c:pt>
                <c:pt idx="30">
                  <c:v>-32696.16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D-4E08-BDED-27219EADD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8F-4929-8972-113769EBDF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8F-4929-8972-113769EBDF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8F-4929-8972-113769EBDF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8F-4929-8972-113769EBDF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cartera!$V$88:$Y$88</c:f>
              <c:strCache>
                <c:ptCount val="4"/>
                <c:pt idx="0">
                  <c:v>XAGUSD</c:v>
                </c:pt>
                <c:pt idx="1">
                  <c:v>XAUUSD</c:v>
                </c:pt>
                <c:pt idx="2">
                  <c:v>COPX</c:v>
                </c:pt>
                <c:pt idx="3">
                  <c:v>CPER</c:v>
                </c:pt>
              </c:strCache>
            </c:strRef>
          </c:cat>
          <c:val>
            <c:numRef>
              <c:f>cartera!$V$89:$Y$89</c:f>
              <c:numCache>
                <c:formatCode>_-* #,##0_-;\-* #,##0_-;_-* "-"_-;_-@_-</c:formatCode>
                <c:ptCount val="4"/>
                <c:pt idx="0">
                  <c:v>1765.7099999999998</c:v>
                </c:pt>
                <c:pt idx="1">
                  <c:v>0</c:v>
                </c:pt>
                <c:pt idx="2">
                  <c:v>14961.6</c:v>
                </c:pt>
                <c:pt idx="3">
                  <c:v>8175.375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A-4465-91ED-4A59CBEA6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B69-402C-A8F7-9C5BEC0122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B69-402C-A8F7-9C5BEC0122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B69-402C-A8F7-9C5BEC0122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B69-402C-A8F7-9C5BEC0122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B69-402C-A8F7-9C5BEC0122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B69-402C-A8F7-9C5BEC0122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B69-402C-A8F7-9C5BEC01222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B69-402C-A8F7-9C5BEC0122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B69-402C-A8F7-9C5BEC01222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B69-402C-A8F7-9C5BEC01222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B69-402C-A8F7-9C5BEC01222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B69-402C-A8F7-9C5BEC01222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EB69-402C-A8F7-9C5BEC01222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EB69-402C-A8F7-9C5BEC01222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EB69-402C-A8F7-9C5BEC01222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EB69-402C-A8F7-9C5BEC01222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EB69-402C-A8F7-9C5BEC01222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EB69-402C-A8F7-9C5BEC01222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EB69-402C-A8F7-9C5BEC01222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EB69-402C-A8F7-9C5BEC01222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EB69-402C-A8F7-9C5BEC01222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EB69-402C-A8F7-9C5BEC01222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EB69-402C-A8F7-9C5BEC01222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EB69-402C-A8F7-9C5BEC01222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EB69-402C-A8F7-9C5BEC01222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EB69-402C-A8F7-9C5BEC01222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EB69-402C-A8F7-9C5BEC01222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EB69-402C-A8F7-9C5BEC01222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EB69-402C-A8F7-9C5BEC01222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EB69-402C-A8F7-9C5BEC01222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EB69-402C-A8F7-9C5BEC0122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Equity!$C$4:$AG$4</c:f>
              <c:strCache>
                <c:ptCount val="31"/>
                <c:pt idx="0">
                  <c:v> AMZN </c:v>
                </c:pt>
                <c:pt idx="1">
                  <c:v> ARGT </c:v>
                </c:pt>
                <c:pt idx="2">
                  <c:v> BCH </c:v>
                </c:pt>
                <c:pt idx="3">
                  <c:v> BLK </c:v>
                </c:pt>
                <c:pt idx="4">
                  <c:v> BRK/B </c:v>
                </c:pt>
                <c:pt idx="5">
                  <c:v> CRCL </c:v>
                </c:pt>
                <c:pt idx="6">
                  <c:v> AIQ </c:v>
                </c:pt>
                <c:pt idx="7">
                  <c:v> QQQ </c:v>
                </c:pt>
                <c:pt idx="8">
                  <c:v> ESM6 </c:v>
                </c:pt>
                <c:pt idx="9">
                  <c:v> SPY </c:v>
                </c:pt>
                <c:pt idx="10">
                  <c:v> GOOG </c:v>
                </c:pt>
                <c:pt idx="11">
                  <c:v> LTM </c:v>
                </c:pt>
                <c:pt idx="12">
                  <c:v> META </c:v>
                </c:pt>
                <c:pt idx="13">
                  <c:v> MSFT </c:v>
                </c:pt>
                <c:pt idx="14">
                  <c:v> NVDA </c:v>
                </c:pt>
                <c:pt idx="15">
                  <c:v> TGS </c:v>
                </c:pt>
                <c:pt idx="16">
                  <c:v> USCI </c:v>
                </c:pt>
                <c:pt idx="17">
                  <c:v> PLTR </c:v>
                </c:pt>
                <c:pt idx="18">
                  <c:v> FCX </c:v>
                </c:pt>
                <c:pt idx="19">
                  <c:v> XBI </c:v>
                </c:pt>
                <c:pt idx="20">
                  <c:v> ARKK </c:v>
                </c:pt>
                <c:pt idx="21">
                  <c:v> ECH </c:v>
                </c:pt>
                <c:pt idx="22">
                  <c:v> QTUM </c:v>
                </c:pt>
                <c:pt idx="23">
                  <c:v> SLV </c:v>
                </c:pt>
                <c:pt idx="24">
                  <c:v> IIF </c:v>
                </c:pt>
                <c:pt idx="25">
                  <c:v> RKLB </c:v>
                </c:pt>
                <c:pt idx="26">
                  <c:v> XIACY  </c:v>
                </c:pt>
                <c:pt idx="27">
                  <c:v> BYDDY </c:v>
                </c:pt>
                <c:pt idx="28">
                  <c:v> JD </c:v>
                </c:pt>
                <c:pt idx="29">
                  <c:v> BABA </c:v>
                </c:pt>
                <c:pt idx="30">
                  <c:v> TCEHY  </c:v>
                </c:pt>
              </c:strCache>
            </c:strRef>
          </c:cat>
          <c:val>
            <c:numRef>
              <c:f>Equity!$C$5:$AG$5</c:f>
              <c:numCache>
                <c:formatCode>_-* #,##0.0_-;\-* #,##0.0_-;_-* "-"_-;_-@_-</c:formatCode>
                <c:ptCount val="31"/>
                <c:pt idx="0">
                  <c:v>2995.8912</c:v>
                </c:pt>
                <c:pt idx="1">
                  <c:v>-697.43759999999997</c:v>
                </c:pt>
                <c:pt idx="2">
                  <c:v>-689.22</c:v>
                </c:pt>
                <c:pt idx="3">
                  <c:v>-28073.78</c:v>
                </c:pt>
                <c:pt idx="4">
                  <c:v>-18241.519999999997</c:v>
                </c:pt>
                <c:pt idx="5">
                  <c:v>-5701.0607999999993</c:v>
                </c:pt>
                <c:pt idx="6">
                  <c:v>-10125.540000000001</c:v>
                </c:pt>
                <c:pt idx="7">
                  <c:v>-251787.62</c:v>
                </c:pt>
                <c:pt idx="8">
                  <c:v>-43971928</c:v>
                </c:pt>
                <c:pt idx="9">
                  <c:v>-194265.5</c:v>
                </c:pt>
                <c:pt idx="10">
                  <c:v>-49953.279999999992</c:v>
                </c:pt>
                <c:pt idx="11">
                  <c:v>-48814.2</c:v>
                </c:pt>
                <c:pt idx="12">
                  <c:v>-430923.97</c:v>
                </c:pt>
                <c:pt idx="13">
                  <c:v>-190721.51999999996</c:v>
                </c:pt>
                <c:pt idx="14">
                  <c:v>-157067.21999999997</c:v>
                </c:pt>
                <c:pt idx="15">
                  <c:v>-9929.36</c:v>
                </c:pt>
                <c:pt idx="16">
                  <c:v>-29782.059999999998</c:v>
                </c:pt>
                <c:pt idx="17">
                  <c:v>-85420.580000000016</c:v>
                </c:pt>
                <c:pt idx="18">
                  <c:v>-46335.869999999995</c:v>
                </c:pt>
                <c:pt idx="19">
                  <c:v>-96165.959999999992</c:v>
                </c:pt>
                <c:pt idx="20">
                  <c:v>-26832.329999999998</c:v>
                </c:pt>
                <c:pt idx="21">
                  <c:v>-68364.919999999984</c:v>
                </c:pt>
                <c:pt idx="22">
                  <c:v>-101607.78</c:v>
                </c:pt>
                <c:pt idx="23">
                  <c:v>-44446.124799999998</c:v>
                </c:pt>
                <c:pt idx="24">
                  <c:v>-10064.550000000001</c:v>
                </c:pt>
                <c:pt idx="25">
                  <c:v>-32895.719999999994</c:v>
                </c:pt>
                <c:pt idx="26">
                  <c:v>-9356.85</c:v>
                </c:pt>
                <c:pt idx="27">
                  <c:v>-6800.28</c:v>
                </c:pt>
                <c:pt idx="28">
                  <c:v>-14200.470000000001</c:v>
                </c:pt>
                <c:pt idx="29">
                  <c:v>-63865.760000000002</c:v>
                </c:pt>
                <c:pt idx="30">
                  <c:v>-32696.16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A-4CDC-B54D-27EB6A1A06E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403860</xdr:colOff>
      <xdr:row>145</xdr:row>
      <xdr:rowOff>12700</xdr:rowOff>
    </xdr:from>
    <xdr:to>
      <xdr:col>22</xdr:col>
      <xdr:colOff>167640</xdr:colOff>
      <xdr:row>165</xdr:row>
      <xdr:rowOff>66040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DE7DF4-F9C9-F538-F800-DD9111ED3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491490</xdr:colOff>
      <xdr:row>70</xdr:row>
      <xdr:rowOff>91440</xdr:rowOff>
    </xdr:from>
    <xdr:to>
      <xdr:col>27</xdr:col>
      <xdr:colOff>659130</xdr:colOff>
      <xdr:row>86</xdr:row>
      <xdr:rowOff>99060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F36D91-DBE5-20CB-CF7B-FE6E8D55A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8</xdr:row>
      <xdr:rowOff>11430</xdr:rowOff>
    </xdr:from>
    <xdr:to>
      <xdr:col>11</xdr:col>
      <xdr:colOff>53340</xdr:colOff>
      <xdr:row>33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BFE604-9FFF-77A5-662F-746D7ABCF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E165"/>
  <sheetViews>
    <sheetView tabSelected="1" zoomScale="80" zoomScaleNormal="80" workbookViewId="0">
      <selection activeCell="J57" sqref="J57"/>
    </sheetView>
  </sheetViews>
  <sheetFormatPr baseColWidth="10" defaultColWidth="11.453125" defaultRowHeight="13"/>
  <cols>
    <col min="1" max="1" width="5.08984375" style="376" customWidth="1"/>
    <col min="2" max="2" width="27.54296875" style="379" customWidth="1"/>
    <col min="3" max="3" width="27.36328125" style="379" customWidth="1"/>
    <col min="4" max="4" width="16.90625" style="376" customWidth="1"/>
    <col min="5" max="5" width="15.81640625" style="376" customWidth="1"/>
    <col min="6" max="6" width="17.1796875" style="379" customWidth="1"/>
    <col min="7" max="7" width="15.453125" style="379" customWidth="1"/>
    <col min="8" max="8" width="10.08984375" style="379" customWidth="1"/>
    <col min="9" max="9" width="15.08984375" style="376" customWidth="1"/>
    <col min="10" max="10" width="10.08984375" style="376" bestFit="1" customWidth="1"/>
    <col min="11" max="11" width="17" style="376" customWidth="1"/>
    <col min="12" max="12" width="15.453125" style="376" customWidth="1"/>
    <col min="13" max="13" width="14.6328125" style="376" customWidth="1"/>
    <col min="14" max="14" width="14.453125" style="379" customWidth="1"/>
    <col min="15" max="15" width="14.6328125" style="379" bestFit="1" customWidth="1"/>
    <col min="16" max="16" width="14.54296875" style="379" customWidth="1"/>
    <col min="17" max="17" width="13.453125" style="379" bestFit="1" customWidth="1"/>
    <col min="18" max="18" width="15.453125" style="448" bestFit="1" customWidth="1"/>
    <col min="19" max="19" width="16" style="379" bestFit="1" customWidth="1"/>
    <col min="20" max="20" width="12.453125" style="379" bestFit="1" customWidth="1"/>
    <col min="21" max="21" width="14.453125" style="379" bestFit="1" customWidth="1"/>
    <col min="22" max="23" width="11.453125" style="379"/>
    <col min="24" max="24" width="12.36328125" style="379" customWidth="1"/>
    <col min="25" max="25" width="12.90625" style="379" bestFit="1" customWidth="1"/>
    <col min="26" max="26" width="11.453125" style="379"/>
    <col min="27" max="27" width="13.453125" style="379" bestFit="1" customWidth="1"/>
    <col min="28" max="16384" width="11.453125" style="379"/>
  </cols>
  <sheetData>
    <row r="1" spans="1:27" ht="14.25" customHeight="1">
      <c r="A1" s="368"/>
      <c r="B1" s="369"/>
      <c r="C1" s="370"/>
      <c r="D1" s="369"/>
      <c r="E1" s="371" t="s">
        <v>94</v>
      </c>
      <c r="F1" s="372">
        <f>Hoja1!H8</f>
        <v>1.1716</v>
      </c>
      <c r="G1" s="371" t="s">
        <v>98</v>
      </c>
      <c r="H1" s="372">
        <f>Hoja1!H15</f>
        <v>16.485399999999998</v>
      </c>
      <c r="I1" s="371" t="s">
        <v>99</v>
      </c>
      <c r="J1" s="373">
        <f>Hoja1!H7</f>
        <v>5.0294999999999996</v>
      </c>
      <c r="K1" s="374" t="s">
        <v>49</v>
      </c>
      <c r="L1" s="375">
        <f>+S22</f>
        <v>0</v>
      </c>
      <c r="N1" s="376" t="s">
        <v>107</v>
      </c>
      <c r="O1" s="377">
        <f>+I11</f>
        <v>0</v>
      </c>
      <c r="P1" s="376"/>
      <c r="Q1" s="376"/>
      <c r="R1" s="378"/>
    </row>
    <row r="2" spans="1:27" ht="22.25" customHeight="1">
      <c r="A2" s="380"/>
      <c r="B2" s="655" t="s">
        <v>602</v>
      </c>
      <c r="C2" s="656"/>
      <c r="D2" s="657">
        <f ca="1">TODAY()</f>
        <v>46125</v>
      </c>
      <c r="E2" s="371" t="s">
        <v>67</v>
      </c>
      <c r="F2" s="381">
        <f>+Hoja1!H6</f>
        <v>898.375</v>
      </c>
      <c r="G2" s="382" t="s">
        <v>160</v>
      </c>
      <c r="H2" s="375">
        <f>Hoja1!H13</f>
        <v>257.39999999999998</v>
      </c>
      <c r="I2" s="382" t="s">
        <v>30</v>
      </c>
      <c r="J2" s="375">
        <f>+S14</f>
        <v>0</v>
      </c>
      <c r="K2" s="374" t="s">
        <v>58</v>
      </c>
      <c r="L2" s="375">
        <f>+S23</f>
        <v>0</v>
      </c>
      <c r="N2" s="376"/>
      <c r="O2" s="376"/>
      <c r="P2" s="376"/>
      <c r="Q2" s="376"/>
      <c r="R2" s="378"/>
    </row>
    <row r="3" spans="1:27" ht="15" customHeight="1">
      <c r="A3" s="383"/>
      <c r="B3" s="376"/>
      <c r="C3" s="376"/>
      <c r="E3" s="374"/>
      <c r="F3" s="375"/>
      <c r="G3" s="374" t="s">
        <v>65</v>
      </c>
      <c r="H3" s="375">
        <f>Hoja1!H12</f>
        <v>679.25</v>
      </c>
      <c r="I3" s="374" t="s">
        <v>52</v>
      </c>
      <c r="J3" s="375">
        <f>+S11</f>
        <v>0</v>
      </c>
      <c r="K3" s="374" t="s">
        <v>40</v>
      </c>
      <c r="L3" s="375"/>
      <c r="N3" s="376"/>
      <c r="O3" s="376"/>
      <c r="P3" s="376"/>
      <c r="Q3" s="376"/>
      <c r="R3" s="378"/>
    </row>
    <row r="4" spans="1:27">
      <c r="A4" s="380"/>
      <c r="B4" s="658"/>
      <c r="C4" s="659" t="s">
        <v>10</v>
      </c>
      <c r="D4" s="659" t="s">
        <v>11</v>
      </c>
      <c r="E4" s="659" t="s">
        <v>12</v>
      </c>
      <c r="F4" s="660"/>
      <c r="G4" s="661" t="s">
        <v>68</v>
      </c>
      <c r="H4" s="384"/>
      <c r="I4" s="374" t="s">
        <v>113</v>
      </c>
      <c r="J4" s="385">
        <f>+S12</f>
        <v>0</v>
      </c>
      <c r="K4" s="386"/>
      <c r="L4" s="387"/>
      <c r="N4" s="376"/>
      <c r="O4" s="376"/>
      <c r="P4" s="376"/>
      <c r="Q4" s="376"/>
      <c r="R4" s="378"/>
    </row>
    <row r="5" spans="1:27">
      <c r="A5" s="380"/>
      <c r="B5" s="452"/>
      <c r="C5" s="453"/>
      <c r="D5" s="454"/>
      <c r="E5" s="455"/>
      <c r="F5" s="456"/>
      <c r="G5" s="457"/>
      <c r="H5" s="384"/>
      <c r="I5" s="374" t="s">
        <v>161</v>
      </c>
      <c r="J5" s="375">
        <f>+S29</f>
        <v>0</v>
      </c>
      <c r="K5" s="254" t="s">
        <v>54</v>
      </c>
      <c r="L5" s="387">
        <f>Hoja1!H16</f>
        <v>159.565</v>
      </c>
      <c r="N5" s="376"/>
      <c r="O5" s="376"/>
      <c r="P5" s="376"/>
      <c r="Q5" s="376"/>
      <c r="R5" s="378"/>
    </row>
    <row r="6" spans="1:27">
      <c r="A6" s="380"/>
      <c r="B6" s="388" t="s">
        <v>143</v>
      </c>
      <c r="C6" s="392">
        <f>+opete!I107</f>
        <v>117.32766137373268</v>
      </c>
      <c r="D6" s="390"/>
      <c r="F6" s="391"/>
      <c r="G6" s="393"/>
      <c r="H6" s="384"/>
      <c r="I6" s="374" t="s">
        <v>28</v>
      </c>
      <c r="J6" s="375">
        <f>+S20</f>
        <v>0</v>
      </c>
      <c r="K6" s="254" t="s">
        <v>112</v>
      </c>
      <c r="L6" s="309">
        <f>Hoja1!H14</f>
        <v>17.343150000000001</v>
      </c>
      <c r="N6" s="376"/>
      <c r="O6" s="376"/>
      <c r="P6" s="376"/>
      <c r="Q6" s="376"/>
      <c r="R6" s="378"/>
    </row>
    <row r="7" spans="1:27">
      <c r="A7" s="380"/>
      <c r="B7" s="388" t="s">
        <v>150</v>
      </c>
      <c r="C7" s="392">
        <f>+etf!K102</f>
        <v>0</v>
      </c>
      <c r="D7" s="394"/>
      <c r="F7" s="395"/>
      <c r="G7" s="393"/>
      <c r="H7" s="396"/>
      <c r="I7" s="397"/>
      <c r="J7" s="387"/>
      <c r="K7" s="254"/>
      <c r="L7" s="310"/>
      <c r="N7" s="376"/>
      <c r="O7" s="845"/>
      <c r="P7" s="845"/>
      <c r="Q7" s="376"/>
      <c r="R7" s="378"/>
      <c r="AA7" s="398"/>
    </row>
    <row r="8" spans="1:27">
      <c r="A8" s="380"/>
      <c r="B8" s="388" t="s">
        <v>69</v>
      </c>
      <c r="C8" s="392">
        <f>+t10y!J87</f>
        <v>-1875</v>
      </c>
      <c r="D8" s="399"/>
      <c r="E8" s="384"/>
      <c r="F8" s="400"/>
      <c r="G8" s="393"/>
      <c r="H8" s="170"/>
      <c r="I8" s="782">
        <f>+C39</f>
        <v>11000.714595538724</v>
      </c>
      <c r="J8" s="387"/>
      <c r="K8" s="401" t="s">
        <v>134</v>
      </c>
      <c r="L8" s="311">
        <f>Hoja1!H6</f>
        <v>898.375</v>
      </c>
      <c r="M8" s="590"/>
      <c r="N8" s="376">
        <v>-360000</v>
      </c>
      <c r="O8" s="845"/>
      <c r="P8" s="845"/>
      <c r="Q8" s="376"/>
      <c r="R8" s="378"/>
      <c r="AA8" s="398"/>
    </row>
    <row r="9" spans="1:27">
      <c r="A9" s="380"/>
      <c r="B9" s="388" t="s">
        <v>315</v>
      </c>
      <c r="C9" s="392"/>
      <c r="D9" s="402"/>
      <c r="E9" s="403" t="s">
        <v>38</v>
      </c>
      <c r="F9" s="391"/>
      <c r="G9" s="404"/>
      <c r="H9" s="384"/>
      <c r="I9" s="384"/>
      <c r="J9" s="387"/>
      <c r="K9" s="401" t="s">
        <v>105</v>
      </c>
      <c r="L9" s="312">
        <f>Hoja1!H10</f>
        <v>0.70669999999999999</v>
      </c>
      <c r="N9" s="376">
        <v>252000</v>
      </c>
      <c r="O9" s="845"/>
      <c r="P9" s="845"/>
      <c r="Q9" s="376"/>
      <c r="R9" s="378"/>
      <c r="T9" s="405"/>
      <c r="X9" s="405"/>
      <c r="Y9" s="405"/>
      <c r="AA9" s="398"/>
    </row>
    <row r="10" spans="1:27">
      <c r="A10" s="380"/>
      <c r="B10" s="388" t="s">
        <v>43</v>
      </c>
      <c r="C10" s="392">
        <f>NDF!I30</f>
        <v>28223.039629242223</v>
      </c>
      <c r="D10" s="402"/>
      <c r="E10" s="384"/>
      <c r="F10" s="391"/>
      <c r="G10" s="406"/>
      <c r="H10" s="407"/>
      <c r="I10" s="783" t="s">
        <v>81</v>
      </c>
      <c r="J10" s="387"/>
      <c r="K10" s="401" t="s">
        <v>93</v>
      </c>
      <c r="L10" s="312">
        <f>Hoja1!H8</f>
        <v>1.1716</v>
      </c>
      <c r="N10" s="654">
        <f>+N9+N8</f>
        <v>-108000</v>
      </c>
      <c r="O10" s="845"/>
      <c r="P10" s="845"/>
      <c r="Q10" s="376"/>
      <c r="R10" s="378"/>
      <c r="T10" s="405"/>
      <c r="X10" s="405"/>
      <c r="Y10" s="405"/>
      <c r="AA10" s="398"/>
    </row>
    <row r="11" spans="1:27">
      <c r="A11" s="380"/>
      <c r="B11" s="388" t="s">
        <v>154</v>
      </c>
      <c r="C11" s="392">
        <f>UF!I45</f>
        <v>0</v>
      </c>
      <c r="D11" s="402"/>
      <c r="E11" s="384"/>
      <c r="F11" s="408"/>
      <c r="G11" s="406"/>
      <c r="H11" s="396"/>
      <c r="I11" s="796">
        <v>0</v>
      </c>
      <c r="J11" s="387"/>
      <c r="K11" s="401" t="s">
        <v>96</v>
      </c>
      <c r="L11" s="312">
        <f>Hoja1!H15</f>
        <v>16.485399999999998</v>
      </c>
      <c r="M11" s="590"/>
      <c r="N11" s="376"/>
      <c r="O11" s="845"/>
      <c r="P11" s="845"/>
      <c r="Q11" s="376"/>
      <c r="R11" s="378"/>
      <c r="T11" s="405"/>
      <c r="X11" s="405"/>
      <c r="Y11" s="405"/>
    </row>
    <row r="12" spans="1:27">
      <c r="A12" s="380"/>
      <c r="B12" s="388" t="s">
        <v>604</v>
      </c>
      <c r="C12" s="392"/>
      <c r="D12" s="402"/>
      <c r="E12" s="384" t="s">
        <v>38</v>
      </c>
      <c r="F12" s="408"/>
      <c r="G12" s="406"/>
      <c r="H12" s="407"/>
      <c r="I12" s="780"/>
      <c r="J12" s="387"/>
      <c r="K12" s="401" t="s">
        <v>97</v>
      </c>
      <c r="L12" s="312">
        <f>Hoja1!H14</f>
        <v>17.343150000000001</v>
      </c>
      <c r="M12" s="590"/>
      <c r="N12" s="590"/>
      <c r="O12" s="845"/>
      <c r="P12" s="845"/>
      <c r="Q12" s="376"/>
      <c r="R12" s="378"/>
      <c r="T12" s="405"/>
      <c r="X12" s="405"/>
      <c r="Y12" s="405"/>
      <c r="AA12" s="409"/>
    </row>
    <row r="13" spans="1:27">
      <c r="A13" s="380"/>
      <c r="B13" s="388"/>
      <c r="C13" s="392"/>
      <c r="D13" s="402"/>
      <c r="E13" s="384"/>
      <c r="F13" s="408"/>
      <c r="G13" s="406"/>
      <c r="H13" s="407"/>
      <c r="I13" s="784" t="s">
        <v>523</v>
      </c>
      <c r="J13" s="387"/>
      <c r="K13" s="627" t="s">
        <v>508</v>
      </c>
      <c r="L13" s="628">
        <f>Hoja1!$H$11</f>
        <v>4720.375</v>
      </c>
      <c r="N13" s="376"/>
      <c r="O13" s="845"/>
      <c r="P13" s="845"/>
      <c r="Q13" s="376"/>
      <c r="R13" s="378"/>
      <c r="T13" s="405"/>
      <c r="X13" s="405"/>
      <c r="Y13" s="405"/>
      <c r="AA13" s="409"/>
    </row>
    <row r="14" spans="1:27">
      <c r="A14" s="380"/>
      <c r="B14" s="392"/>
      <c r="C14" s="389"/>
      <c r="D14" s="402"/>
      <c r="E14" s="662" t="s">
        <v>12</v>
      </c>
      <c r="F14" s="663" t="s">
        <v>133</v>
      </c>
      <c r="G14" s="451" t="s">
        <v>155</v>
      </c>
      <c r="H14" s="170"/>
      <c r="I14" s="796">
        <v>0.3</v>
      </c>
      <c r="J14" s="387"/>
      <c r="K14" s="401" t="s">
        <v>8</v>
      </c>
      <c r="L14" s="312">
        <f>Hoja1!H7</f>
        <v>5.0294999999999996</v>
      </c>
      <c r="N14" s="376"/>
      <c r="O14" s="845"/>
      <c r="P14" s="845"/>
      <c r="Q14" s="376"/>
      <c r="R14" s="378"/>
      <c r="T14" s="405"/>
      <c r="X14" s="405"/>
      <c r="Y14" s="405"/>
    </row>
    <row r="15" spans="1:27">
      <c r="A15" s="380"/>
      <c r="B15" s="388" t="s">
        <v>312</v>
      </c>
      <c r="C15" s="389"/>
      <c r="D15" s="410"/>
      <c r="E15" s="664"/>
      <c r="F15" s="665"/>
      <c r="G15" s="411"/>
      <c r="H15" s="412"/>
      <c r="I15" s="781"/>
      <c r="J15" s="387"/>
      <c r="K15" s="401"/>
      <c r="L15" s="312"/>
      <c r="N15" s="376"/>
      <c r="O15" s="845"/>
      <c r="P15" s="845"/>
      <c r="Q15" s="376"/>
      <c r="R15" s="378"/>
      <c r="T15" s="405"/>
      <c r="X15" s="405"/>
      <c r="Y15" s="405"/>
    </row>
    <row r="16" spans="1:27">
      <c r="A16" s="380"/>
      <c r="B16" s="388" t="s">
        <v>109</v>
      </c>
      <c r="C16" s="389"/>
      <c r="D16" s="410"/>
      <c r="E16" s="666">
        <f>+NDF!I99</f>
        <v>-44.652695077296357</v>
      </c>
      <c r="F16" s="667">
        <f>+NDF!F99</f>
        <v>2000</v>
      </c>
      <c r="G16" s="411"/>
      <c r="H16" s="407"/>
      <c r="I16" s="413"/>
      <c r="J16" s="387"/>
      <c r="K16" s="401"/>
      <c r="L16" s="414"/>
      <c r="N16" s="376"/>
      <c r="O16" s="845"/>
      <c r="P16" s="845"/>
      <c r="Q16" s="376"/>
      <c r="R16" s="378"/>
      <c r="T16" s="405"/>
      <c r="X16" s="405"/>
      <c r="Y16" s="405"/>
    </row>
    <row r="17" spans="1:25">
      <c r="A17" s="380"/>
      <c r="B17" s="388" t="s">
        <v>85</v>
      </c>
      <c r="C17" s="389"/>
      <c r="D17" s="415"/>
      <c r="E17" s="666">
        <f>+NDF!I151</f>
        <v>-15419.999999999935</v>
      </c>
      <c r="F17" s="667">
        <f>NDF!K151</f>
        <v>0</v>
      </c>
      <c r="G17" s="411"/>
      <c r="H17" s="387"/>
      <c r="I17" s="413" t="s">
        <v>122</v>
      </c>
      <c r="J17" s="387"/>
      <c r="K17" s="449" t="e">
        <f>+NDF!F120+opete!#REF!+opete!#REF!</f>
        <v>#REF!</v>
      </c>
      <c r="L17" s="387"/>
      <c r="M17" s="387"/>
      <c r="N17" s="590"/>
      <c r="O17" s="845"/>
      <c r="P17" s="845"/>
      <c r="Q17" s="376"/>
      <c r="R17" s="378"/>
      <c r="T17" s="405"/>
      <c r="X17" s="405"/>
      <c r="Y17" s="405"/>
    </row>
    <row r="18" spans="1:25" ht="13.5">
      <c r="A18" s="380"/>
      <c r="B18" s="388" t="s">
        <v>13</v>
      </c>
      <c r="C18" s="416"/>
      <c r="D18" s="410"/>
      <c r="E18" s="666">
        <f>t10y!J48</f>
        <v>0</v>
      </c>
      <c r="F18" s="667">
        <v>0</v>
      </c>
      <c r="G18" s="411">
        <f>7%*0.05*F18*-1*3</f>
        <v>0</v>
      </c>
      <c r="H18" s="170"/>
      <c r="I18" s="413" t="s">
        <v>121</v>
      </c>
      <c r="J18" s="387"/>
      <c r="K18" s="449" t="e">
        <f>+NDF!F112+opete!#REF!+opete!#REF!</f>
        <v>#REF!</v>
      </c>
      <c r="L18" s="387"/>
      <c r="M18" s="654"/>
      <c r="N18" s="376"/>
      <c r="O18" s="845"/>
      <c r="P18" s="845"/>
      <c r="Q18" s="376"/>
      <c r="R18" s="378"/>
      <c r="T18" s="405"/>
      <c r="X18" s="405"/>
      <c r="Y18" s="405"/>
    </row>
    <row r="19" spans="1:25">
      <c r="A19" s="380"/>
      <c r="B19" s="452" t="s">
        <v>88</v>
      </c>
      <c r="C19" s="453"/>
      <c r="D19" s="458"/>
      <c r="E19" s="666">
        <f>etf!K44</f>
        <v>0</v>
      </c>
      <c r="F19" s="667">
        <f>etf!M44</f>
        <v>0</v>
      </c>
      <c r="G19" s="418"/>
      <c r="H19" s="412"/>
      <c r="I19" s="413" t="s">
        <v>100</v>
      </c>
      <c r="J19" s="387"/>
      <c r="K19" s="449" t="e">
        <f>+NDF!F142+opete!#REF!+opete!#REF!</f>
        <v>#REF!</v>
      </c>
      <c r="L19" s="419"/>
      <c r="M19" s="387"/>
      <c r="N19" s="376"/>
      <c r="O19" s="845"/>
      <c r="P19" s="845"/>
      <c r="Q19" s="376"/>
      <c r="R19" s="378"/>
      <c r="T19" s="405"/>
      <c r="X19" s="405"/>
      <c r="Y19" s="405"/>
    </row>
    <row r="20" spans="1:25">
      <c r="A20" s="380"/>
      <c r="B20" s="452" t="s">
        <v>70</v>
      </c>
      <c r="C20" s="453" t="s">
        <v>38</v>
      </c>
      <c r="D20" s="458"/>
      <c r="E20" s="666"/>
      <c r="F20" s="667"/>
      <c r="G20" s="411"/>
      <c r="H20" s="412"/>
      <c r="I20" s="413" t="s">
        <v>101</v>
      </c>
      <c r="J20" s="387"/>
      <c r="K20" s="449" t="e">
        <f>+NDF!F127+opete!#REF!+opete!#REF!</f>
        <v>#REF!</v>
      </c>
      <c r="L20" s="419"/>
      <c r="M20" s="654"/>
      <c r="N20" s="376"/>
      <c r="O20" s="845"/>
      <c r="P20" s="845"/>
      <c r="Q20" s="376"/>
      <c r="R20" s="378"/>
      <c r="T20" s="405"/>
      <c r="X20" s="405"/>
      <c r="Y20" s="405"/>
    </row>
    <row r="21" spans="1:25">
      <c r="A21" s="380"/>
      <c r="B21" s="452" t="s">
        <v>497</v>
      </c>
      <c r="C21" s="453"/>
      <c r="D21" s="458"/>
      <c r="E21" s="666">
        <f>UF!I26</f>
        <v>0</v>
      </c>
      <c r="F21" s="667" t="e">
        <f>+opete!#REF!+opete!#REF!</f>
        <v>#REF!</v>
      </c>
      <c r="G21" s="420"/>
      <c r="H21" s="412"/>
      <c r="I21" s="413" t="s">
        <v>119</v>
      </c>
      <c r="J21" s="387"/>
      <c r="K21" s="449" t="e">
        <f>+NDF!F151+opete!#REF!+opete!#REF!</f>
        <v>#REF!</v>
      </c>
      <c r="L21" s="419"/>
      <c r="N21" s="376"/>
      <c r="O21" s="845"/>
      <c r="P21" s="845"/>
      <c r="Q21" s="376"/>
      <c r="R21" s="378"/>
      <c r="T21" s="405"/>
      <c r="X21" s="405"/>
      <c r="Y21" s="405"/>
    </row>
    <row r="22" spans="1:25">
      <c r="A22" s="380"/>
      <c r="B22" s="452" t="s">
        <v>142</v>
      </c>
      <c r="C22" s="453"/>
      <c r="D22" s="458"/>
      <c r="E22" s="666">
        <f>+opete!I371</f>
        <v>0</v>
      </c>
      <c r="F22" s="667"/>
      <c r="G22" s="420" t="e">
        <f>+opete!#REF!</f>
        <v>#REF!</v>
      </c>
      <c r="H22" s="412"/>
      <c r="I22" s="413" t="s">
        <v>120</v>
      </c>
      <c r="J22" s="387"/>
      <c r="K22" s="449"/>
      <c r="L22" s="421"/>
      <c r="M22" s="590"/>
      <c r="N22" s="376"/>
      <c r="O22" s="845"/>
      <c r="P22" s="845"/>
      <c r="Q22" s="376"/>
      <c r="R22" s="378"/>
      <c r="T22" s="405"/>
      <c r="X22" s="405"/>
      <c r="Y22" s="405"/>
    </row>
    <row r="23" spans="1:25">
      <c r="A23" s="380"/>
      <c r="B23" s="452" t="s">
        <v>131</v>
      </c>
      <c r="C23" s="453"/>
      <c r="D23" s="459"/>
      <c r="E23" s="735"/>
      <c r="F23" s="736" t="e">
        <f>+F21+F16+F17</f>
        <v>#REF!</v>
      </c>
      <c r="G23" s="422"/>
      <c r="H23" s="412"/>
      <c r="I23" s="413" t="s">
        <v>137</v>
      </c>
      <c r="J23" s="387"/>
      <c r="K23" s="449"/>
      <c r="L23" s="421"/>
      <c r="M23" s="590"/>
      <c r="N23" s="654"/>
      <c r="O23" s="845"/>
      <c r="P23" s="845"/>
      <c r="Q23" s="376"/>
      <c r="R23" s="378"/>
      <c r="T23" s="405"/>
      <c r="X23" s="405"/>
      <c r="Y23" s="405"/>
    </row>
    <row r="24" spans="1:25" ht="14">
      <c r="A24" s="380"/>
      <c r="B24" s="452" t="s">
        <v>132</v>
      </c>
      <c r="C24" s="453"/>
      <c r="D24" s="460" t="s">
        <v>111</v>
      </c>
      <c r="E24" s="668">
        <f>SUM(E15:E23)</f>
        <v>-15464.652695077231</v>
      </c>
      <c r="F24" s="667"/>
      <c r="G24" s="779" t="e">
        <f>+opete!#REF!</f>
        <v>#REF!</v>
      </c>
      <c r="H24" s="412"/>
      <c r="I24" s="413" t="s">
        <v>102</v>
      </c>
      <c r="J24" s="387"/>
      <c r="K24" s="449">
        <f>+etf!M29+etf!M38+etf!M40</f>
        <v>0</v>
      </c>
      <c r="L24" s="421"/>
      <c r="N24" s="407"/>
      <c r="O24" s="845"/>
      <c r="P24" s="845"/>
      <c r="Q24" s="376"/>
      <c r="R24" s="378"/>
      <c r="T24" s="405"/>
      <c r="X24" s="405"/>
      <c r="Y24" s="405"/>
    </row>
    <row r="25" spans="1:25" ht="15.5">
      <c r="A25" s="380"/>
      <c r="B25" s="669" t="s">
        <v>14</v>
      </c>
      <c r="C25" s="778">
        <f>SUM(C5:C14)+D25</f>
        <v>26465.367290615955</v>
      </c>
      <c r="D25" s="670">
        <f>SUM(D6:D10)</f>
        <v>0</v>
      </c>
      <c r="E25" s="461"/>
      <c r="F25" s="462"/>
      <c r="G25" s="424"/>
      <c r="H25" s="412"/>
      <c r="I25" s="413" t="s">
        <v>110</v>
      </c>
      <c r="J25" s="387"/>
      <c r="K25" s="449" t="e">
        <f>+etf!#REF!+opete!#REF!</f>
        <v>#REF!</v>
      </c>
      <c r="L25" s="421"/>
      <c r="N25" s="376"/>
      <c r="O25" s="845"/>
      <c r="P25" s="845"/>
      <c r="Q25" s="376"/>
      <c r="R25" s="378"/>
      <c r="T25" s="405"/>
      <c r="X25" s="405"/>
      <c r="Y25" s="405"/>
    </row>
    <row r="26" spans="1:25" ht="14">
      <c r="A26" s="380"/>
      <c r="B26" s="671"/>
      <c r="C26" s="672"/>
      <c r="D26" s="673"/>
      <c r="E26" s="403"/>
      <c r="F26" s="425"/>
      <c r="G26" s="424"/>
      <c r="H26" s="412"/>
      <c r="I26" s="413" t="s">
        <v>502</v>
      </c>
      <c r="J26" s="387"/>
      <c r="K26" s="563"/>
      <c r="L26" s="421"/>
      <c r="N26" s="794"/>
      <c r="O26" s="845"/>
      <c r="P26" s="845"/>
      <c r="Q26" s="376"/>
      <c r="R26" s="378"/>
      <c r="T26" s="405"/>
      <c r="X26" s="405"/>
      <c r="Y26" s="405"/>
    </row>
    <row r="27" spans="1:25">
      <c r="A27" s="380"/>
      <c r="B27" s="426"/>
      <c r="C27" s="426"/>
      <c r="F27" s="427"/>
      <c r="G27" s="424"/>
      <c r="H27" s="412"/>
      <c r="I27" s="413" t="s">
        <v>163</v>
      </c>
      <c r="J27" s="387"/>
      <c r="K27" s="449" t="e">
        <f>+etf!#REF!+opete!#REF!</f>
        <v>#REF!</v>
      </c>
      <c r="L27" s="421"/>
      <c r="M27" s="407"/>
      <c r="N27" s="376"/>
      <c r="O27" s="845"/>
      <c r="P27" s="845"/>
      <c r="Q27" s="376"/>
      <c r="R27" s="378"/>
      <c r="T27" s="405"/>
      <c r="X27" s="405"/>
      <c r="Y27" s="405"/>
    </row>
    <row r="28" spans="1:25" ht="14">
      <c r="A28" s="380"/>
      <c r="B28" s="669" t="s">
        <v>159</v>
      </c>
      <c r="C28" s="90">
        <f>+C25</f>
        <v>26465.367290615955</v>
      </c>
      <c r="D28" s="407"/>
      <c r="F28" s="427"/>
      <c r="G28" s="428" t="s">
        <v>38</v>
      </c>
      <c r="H28" s="412"/>
      <c r="I28" s="413" t="s">
        <v>135</v>
      </c>
      <c r="J28" s="387"/>
      <c r="K28" s="449" t="e">
        <f>opete!#REF!+NDF!K160+etf!M14+etf!M15+etf!M16+etf!M17+etf!M18</f>
        <v>#REF!</v>
      </c>
      <c r="L28" s="419"/>
      <c r="M28" s="407"/>
      <c r="N28" s="376"/>
      <c r="O28" s="845"/>
      <c r="P28" s="845"/>
      <c r="Q28" s="376"/>
      <c r="R28" s="378"/>
      <c r="T28" s="405"/>
      <c r="X28" s="405"/>
      <c r="Y28" s="405"/>
    </row>
    <row r="29" spans="1:25" ht="14">
      <c r="A29" s="380"/>
      <c r="B29" s="669"/>
      <c r="C29" s="90"/>
      <c r="D29" s="407"/>
      <c r="F29" s="427"/>
      <c r="G29" s="428"/>
      <c r="H29" s="412"/>
      <c r="I29" s="413" t="s">
        <v>136</v>
      </c>
      <c r="J29" s="387"/>
      <c r="K29" s="449" t="e">
        <f>+etf!#REF!+opete!#REF!</f>
        <v>#REF!</v>
      </c>
      <c r="L29" s="419"/>
      <c r="M29" s="387"/>
      <c r="N29" s="376"/>
      <c r="O29" s="845"/>
      <c r="P29" s="845"/>
      <c r="Q29" s="376"/>
      <c r="R29" s="378"/>
      <c r="T29" s="405"/>
      <c r="X29" s="405"/>
      <c r="Y29" s="405"/>
    </row>
    <row r="30" spans="1:25" ht="14">
      <c r="A30" s="380"/>
      <c r="B30" s="669"/>
      <c r="C30" s="90"/>
      <c r="D30" s="429"/>
      <c r="F30" s="427"/>
      <c r="G30" s="406"/>
      <c r="H30" s="412"/>
      <c r="I30" s="413" t="s">
        <v>313</v>
      </c>
      <c r="J30" s="387"/>
      <c r="K30" s="449"/>
      <c r="L30" s="419"/>
      <c r="M30" s="387"/>
      <c r="N30" s="376"/>
      <c r="O30" s="845"/>
      <c r="P30" s="845"/>
      <c r="Q30" s="376"/>
      <c r="R30" s="378"/>
      <c r="T30" s="405"/>
      <c r="X30" s="405"/>
      <c r="Y30" s="405"/>
    </row>
    <row r="31" spans="1:25" ht="14">
      <c r="A31" s="380"/>
      <c r="B31" s="669"/>
      <c r="C31" s="90"/>
      <c r="D31" s="429"/>
      <c r="F31" s="427"/>
      <c r="G31" s="406"/>
      <c r="I31" s="413" t="s">
        <v>130</v>
      </c>
      <c r="J31" s="387"/>
      <c r="K31" s="450" t="e">
        <f>+etf!M44-opete!#REF!</f>
        <v>#REF!</v>
      </c>
      <c r="L31" s="419"/>
      <c r="N31" s="376"/>
      <c r="O31" s="845"/>
      <c r="P31" s="845"/>
      <c r="Q31" s="376"/>
      <c r="R31" s="378"/>
      <c r="T31" s="405"/>
      <c r="U31" s="398"/>
      <c r="X31" s="405"/>
      <c r="Y31" s="405"/>
    </row>
    <row r="32" spans="1:25">
      <c r="A32" s="380"/>
      <c r="B32" s="426"/>
      <c r="C32" s="429"/>
      <c r="E32" s="700" t="s">
        <v>57</v>
      </c>
      <c r="F32" s="701" t="s">
        <v>156</v>
      </c>
      <c r="G32" s="420" t="e">
        <f>+G22-E22</f>
        <v>#REF!</v>
      </c>
      <c r="H32" s="412"/>
      <c r="K32" s="562"/>
      <c r="L32" s="387"/>
      <c r="N32" s="376"/>
      <c r="O32" s="845"/>
      <c r="P32" s="845"/>
      <c r="Q32" s="376"/>
      <c r="R32" s="378"/>
      <c r="T32" s="405"/>
      <c r="U32" s="398"/>
      <c r="X32" s="430"/>
      <c r="Y32" s="430"/>
    </row>
    <row r="33" spans="1:31" ht="14">
      <c r="A33" s="380"/>
      <c r="B33" s="669" t="s">
        <v>71</v>
      </c>
      <c r="C33" s="674">
        <f>SUM(C28:C32)</f>
        <v>26465.367290615955</v>
      </c>
      <c r="E33" s="702">
        <f>SUM(E15:E23)</f>
        <v>-15464.652695077231</v>
      </c>
      <c r="F33" s="703">
        <f>+opete!N371</f>
        <v>211.19801980198019</v>
      </c>
      <c r="G33" s="428"/>
      <c r="H33" s="412"/>
      <c r="I33" s="413"/>
      <c r="J33" s="387"/>
      <c r="K33" s="562"/>
      <c r="L33" s="387"/>
      <c r="N33" s="376"/>
      <c r="O33" s="845"/>
      <c r="P33" s="845"/>
      <c r="Q33" s="376"/>
      <c r="R33" s="378"/>
      <c r="T33" s="405"/>
      <c r="U33" s="398"/>
      <c r="X33" s="405"/>
      <c r="Y33" s="647"/>
    </row>
    <row r="34" spans="1:31">
      <c r="A34" s="380"/>
      <c r="B34" s="426"/>
      <c r="C34" s="426"/>
      <c r="E34" s="431"/>
      <c r="F34" s="423"/>
      <c r="G34" s="404"/>
      <c r="H34" s="412"/>
      <c r="I34" s="413"/>
      <c r="J34" s="387"/>
      <c r="K34" s="562"/>
      <c r="L34" s="387"/>
      <c r="N34" s="376"/>
      <c r="O34" s="845"/>
      <c r="P34" s="845"/>
      <c r="Q34" s="376"/>
      <c r="R34" s="378"/>
      <c r="T34" s="405"/>
      <c r="X34" s="405"/>
      <c r="Y34" s="647"/>
    </row>
    <row r="35" spans="1:31">
      <c r="A35" s="380"/>
      <c r="B35" s="675"/>
      <c r="C35" s="676"/>
      <c r="D35" s="677"/>
      <c r="E35" s="678" t="s">
        <v>125</v>
      </c>
      <c r="F35" s="423"/>
      <c r="G35" s="404"/>
      <c r="H35" s="412"/>
      <c r="I35" s="413"/>
      <c r="J35" s="387"/>
      <c r="K35" s="562"/>
      <c r="L35" s="387"/>
      <c r="N35" s="376"/>
      <c r="O35" s="845"/>
      <c r="P35" s="845"/>
      <c r="Q35" s="376"/>
      <c r="R35" s="378"/>
      <c r="T35" s="405"/>
      <c r="X35" s="405"/>
      <c r="Y35" s="647"/>
    </row>
    <row r="36" spans="1:31">
      <c r="A36" s="380"/>
      <c r="B36" s="675" t="s">
        <v>72</v>
      </c>
      <c r="C36" s="676">
        <v>0</v>
      </c>
      <c r="D36" s="677"/>
      <c r="E36" s="679"/>
      <c r="F36" s="391"/>
      <c r="G36" s="432"/>
      <c r="H36" s="412"/>
      <c r="I36" s="413"/>
      <c r="J36" s="387"/>
      <c r="K36" s="562"/>
      <c r="L36" s="387"/>
      <c r="N36" s="376"/>
      <c r="O36" s="845"/>
      <c r="P36" s="845"/>
      <c r="Q36" s="376"/>
      <c r="R36" s="378"/>
      <c r="T36" s="405"/>
      <c r="X36" s="405"/>
      <c r="Y36" s="647"/>
      <c r="AB36" s="648"/>
    </row>
    <row r="37" spans="1:31">
      <c r="A37" s="380"/>
      <c r="B37" s="675"/>
      <c r="C37" s="676"/>
      <c r="D37" s="677"/>
      <c r="E37" s="677"/>
      <c r="F37" s="391"/>
      <c r="G37" s="406"/>
      <c r="H37" s="412"/>
      <c r="I37" s="413"/>
      <c r="J37" s="387"/>
      <c r="K37" s="562"/>
      <c r="L37" s="387"/>
      <c r="N37" s="376"/>
      <c r="O37" s="845"/>
      <c r="P37" s="845"/>
      <c r="Q37" s="376"/>
      <c r="R37" s="378"/>
      <c r="T37" s="405"/>
      <c r="U37" s="409"/>
      <c r="X37" s="405"/>
      <c r="Y37" s="647"/>
      <c r="AA37" s="648"/>
      <c r="AB37" s="649"/>
      <c r="AC37" s="648"/>
    </row>
    <row r="38" spans="1:31">
      <c r="A38" s="380"/>
      <c r="B38" s="675"/>
      <c r="C38" s="680"/>
      <c r="D38" s="677"/>
      <c r="E38" s="677"/>
      <c r="F38" s="408"/>
      <c r="G38" s="404"/>
      <c r="H38" s="412"/>
      <c r="I38" s="413"/>
      <c r="J38" s="387"/>
      <c r="K38" s="562"/>
      <c r="L38" s="387"/>
      <c r="N38" s="376"/>
      <c r="O38" s="845"/>
      <c r="P38" s="845"/>
      <c r="Q38" s="376"/>
      <c r="R38" s="378"/>
      <c r="T38" s="405"/>
      <c r="U38" s="409"/>
      <c r="X38" s="405"/>
      <c r="Y38" s="647"/>
      <c r="AB38" s="648"/>
    </row>
    <row r="39" spans="1:31" ht="15.5">
      <c r="A39" s="380"/>
      <c r="B39" s="681" t="s">
        <v>44</v>
      </c>
      <c r="C39" s="682">
        <f>SUM(C33:C37)+E33</f>
        <v>11000.714595538724</v>
      </c>
      <c r="D39" s="683" t="s">
        <v>45</v>
      </c>
      <c r="E39" s="684">
        <f>+C39/7000000</f>
        <v>1.571530656505532E-3</v>
      </c>
      <c r="F39" s="395"/>
      <c r="G39" s="433"/>
      <c r="H39" s="412"/>
      <c r="I39" s="413"/>
      <c r="J39" s="387"/>
      <c r="K39" s="562"/>
      <c r="L39" s="387"/>
      <c r="N39" s="376"/>
      <c r="O39" s="845"/>
      <c r="P39" s="845"/>
      <c r="Q39" s="376"/>
      <c r="R39" s="378"/>
      <c r="T39" s="387"/>
      <c r="U39" s="409"/>
      <c r="X39" s="405"/>
      <c r="Y39" s="647"/>
      <c r="AB39" s="648"/>
      <c r="AC39" s="648"/>
      <c r="AE39" s="649"/>
    </row>
    <row r="40" spans="1:31" ht="14">
      <c r="A40" s="434"/>
      <c r="B40" s="685"/>
      <c r="C40" s="686"/>
      <c r="D40" s="683"/>
      <c r="E40" s="687"/>
      <c r="F40" s="391"/>
      <c r="G40" s="393"/>
      <c r="H40" s="412"/>
      <c r="I40" s="413"/>
      <c r="J40" s="387"/>
      <c r="K40" s="562"/>
      <c r="L40" s="387"/>
      <c r="N40" s="376"/>
      <c r="O40" s="845"/>
      <c r="P40" s="845"/>
      <c r="Q40" s="376"/>
      <c r="R40" s="378"/>
      <c r="T40" s="387"/>
      <c r="U40" s="409"/>
      <c r="AA40" s="647"/>
      <c r="AB40" s="650"/>
      <c r="AE40" s="648"/>
    </row>
    <row r="41" spans="1:31" ht="14">
      <c r="B41" s="688"/>
      <c r="C41" s="689"/>
      <c r="D41" s="690"/>
      <c r="E41" s="691"/>
      <c r="F41" s="435"/>
      <c r="G41" s="436"/>
      <c r="H41" s="412"/>
      <c r="I41" s="413"/>
      <c r="J41" s="387"/>
      <c r="K41" s="562"/>
      <c r="L41" s="387"/>
      <c r="N41" s="376"/>
      <c r="O41" s="845"/>
      <c r="P41" s="845"/>
      <c r="Q41" s="376"/>
      <c r="R41" s="378"/>
      <c r="T41" s="387"/>
      <c r="AA41" s="648"/>
      <c r="AB41" s="648"/>
      <c r="AC41" s="648"/>
    </row>
    <row r="42" spans="1:31">
      <c r="B42" s="437"/>
      <c r="C42" s="438"/>
      <c r="D42" s="407"/>
      <c r="F42" s="376"/>
      <c r="G42" s="439"/>
      <c r="H42" s="412"/>
      <c r="I42" s="413"/>
      <c r="J42" s="387"/>
      <c r="K42" s="562"/>
      <c r="L42" s="387"/>
      <c r="N42" s="376"/>
      <c r="O42" s="845"/>
      <c r="P42" s="845"/>
      <c r="Q42" s="376"/>
      <c r="R42" s="378"/>
      <c r="T42" s="387"/>
      <c r="AB42" s="648"/>
    </row>
    <row r="43" spans="1:31" ht="18">
      <c r="B43" s="846"/>
      <c r="C43" s="846"/>
      <c r="D43" s="846"/>
      <c r="E43" s="440"/>
      <c r="F43" s="407"/>
      <c r="G43" s="439"/>
      <c r="H43" s="396"/>
      <c r="I43" s="413"/>
      <c r="J43" s="387"/>
      <c r="K43" s="562"/>
      <c r="L43" s="387"/>
      <c r="N43" s="376"/>
      <c r="O43" s="845"/>
      <c r="P43" s="845"/>
      <c r="Q43" s="376"/>
      <c r="R43" s="378"/>
      <c r="T43" s="387"/>
      <c r="AA43" s="648"/>
      <c r="AB43" s="648"/>
      <c r="AC43" s="648"/>
      <c r="AE43" s="651"/>
    </row>
    <row r="44" spans="1:31">
      <c r="B44" s="376"/>
      <c r="C44" s="376"/>
      <c r="D44" s="387"/>
      <c r="F44" s="407"/>
      <c r="G44" s="387"/>
      <c r="H44" s="396"/>
      <c r="I44" s="413"/>
      <c r="J44" s="387"/>
      <c r="K44" s="562"/>
      <c r="L44" s="387"/>
      <c r="N44" s="376"/>
      <c r="O44" s="845"/>
      <c r="P44" s="845"/>
      <c r="Q44" s="376"/>
      <c r="R44" s="378"/>
      <c r="T44" s="387"/>
      <c r="AA44" s="648"/>
      <c r="AB44" s="648"/>
      <c r="AC44" s="648"/>
      <c r="AE44" s="651"/>
    </row>
    <row r="45" spans="1:31" ht="15.5">
      <c r="B45" s="847" t="s">
        <v>603</v>
      </c>
      <c r="C45" s="847"/>
      <c r="D45" s="847"/>
      <c r="F45" s="407"/>
      <c r="G45" s="387"/>
      <c r="H45" s="396"/>
      <c r="I45" s="413"/>
      <c r="J45" s="387"/>
      <c r="K45" s="562"/>
      <c r="L45" s="387"/>
      <c r="N45" s="376"/>
      <c r="O45" s="845"/>
      <c r="P45" s="845"/>
      <c r="Q45" s="376"/>
      <c r="R45" s="378"/>
      <c r="T45" s="387"/>
      <c r="AA45" s="648"/>
      <c r="AB45" s="648"/>
      <c r="AC45" s="648"/>
      <c r="AE45" s="651"/>
    </row>
    <row r="46" spans="1:31">
      <c r="B46" s="376"/>
      <c r="C46" s="376"/>
      <c r="D46" s="387"/>
      <c r="F46" s="407"/>
      <c r="G46" s="387"/>
      <c r="H46" s="396"/>
      <c r="I46" s="413"/>
      <c r="J46" s="387"/>
      <c r="K46" s="562"/>
      <c r="L46" s="387"/>
      <c r="N46" s="376"/>
      <c r="O46" s="845"/>
      <c r="P46" s="845"/>
      <c r="Q46" s="376"/>
      <c r="R46" s="378"/>
      <c r="T46" s="387"/>
      <c r="Z46" s="648"/>
      <c r="AA46" s="648"/>
      <c r="AB46" s="648"/>
      <c r="AD46" s="651"/>
    </row>
    <row r="47" spans="1:31">
      <c r="B47" s="376"/>
      <c r="C47" s="376"/>
      <c r="D47" s="387"/>
      <c r="F47" s="407"/>
      <c r="G47" s="387"/>
      <c r="H47" s="412"/>
      <c r="I47" s="413"/>
      <c r="J47" s="387"/>
      <c r="K47" s="562"/>
      <c r="L47" s="387"/>
      <c r="N47" s="376"/>
      <c r="O47" s="845"/>
      <c r="P47" s="845"/>
      <c r="Q47" s="376"/>
      <c r="R47" s="378"/>
      <c r="T47" s="387"/>
      <c r="AA47" s="647"/>
      <c r="AB47" s="430"/>
      <c r="AD47" s="647"/>
    </row>
    <row r="48" spans="1:31" ht="14">
      <c r="B48" s="692" t="s">
        <v>153</v>
      </c>
      <c r="C48" s="693" t="s">
        <v>56</v>
      </c>
      <c r="D48" s="693" t="s">
        <v>73</v>
      </c>
      <c r="F48" s="407"/>
      <c r="G48" s="387"/>
      <c r="H48" s="412"/>
      <c r="I48" s="413"/>
      <c r="J48" s="387"/>
      <c r="K48" s="562"/>
      <c r="L48" s="387"/>
      <c r="N48" s="376"/>
      <c r="O48" s="845"/>
      <c r="P48" s="845"/>
      <c r="Q48" s="376"/>
      <c r="R48" s="378"/>
      <c r="T48" s="387"/>
      <c r="Z48" s="430"/>
      <c r="AA48" s="648"/>
      <c r="AD48" s="647"/>
    </row>
    <row r="49" spans="2:30">
      <c r="B49" s="694"/>
      <c r="C49" s="85">
        <f>+C39</f>
        <v>11000.714595538724</v>
      </c>
      <c r="D49" s="52"/>
      <c r="E49" s="387"/>
      <c r="F49" s="407"/>
      <c r="G49" s="442"/>
      <c r="H49" s="412"/>
      <c r="I49" s="413"/>
      <c r="J49" s="387"/>
      <c r="K49" s="562"/>
      <c r="L49" s="387"/>
      <c r="N49" s="376"/>
      <c r="O49" s="845"/>
      <c r="P49" s="845"/>
      <c r="Q49" s="376"/>
      <c r="R49" s="378"/>
      <c r="T49" s="387"/>
      <c r="Z49" s="430"/>
      <c r="AA49" s="648"/>
      <c r="AD49" s="647"/>
    </row>
    <row r="50" spans="2:30">
      <c r="B50" s="694"/>
      <c r="C50" s="85"/>
      <c r="D50" s="52"/>
      <c r="E50" s="387"/>
      <c r="F50" s="407"/>
      <c r="G50" s="442"/>
      <c r="H50" s="412"/>
      <c r="I50" s="413"/>
      <c r="J50" s="387"/>
      <c r="K50" s="562"/>
      <c r="L50" s="387"/>
      <c r="N50" s="376"/>
      <c r="O50" s="845"/>
      <c r="P50" s="845"/>
      <c r="Q50" s="376"/>
      <c r="R50" s="378"/>
      <c r="T50" s="387"/>
      <c r="AD50" s="647"/>
    </row>
    <row r="51" spans="2:30">
      <c r="B51" s="53"/>
      <c r="C51" s="53"/>
      <c r="D51" s="54"/>
      <c r="E51" s="387"/>
      <c r="F51" s="407"/>
      <c r="G51" s="442"/>
      <c r="H51" s="412"/>
      <c r="I51" s="443"/>
      <c r="J51" s="387"/>
      <c r="K51" s="562"/>
      <c r="L51" s="387"/>
      <c r="N51" s="376"/>
      <c r="O51" s="845"/>
      <c r="P51" s="845"/>
      <c r="Q51" s="376"/>
      <c r="R51" s="378"/>
      <c r="T51" s="387"/>
      <c r="AD51" s="648"/>
    </row>
    <row r="52" spans="2:30">
      <c r="B52" s="307"/>
      <c r="C52" s="308"/>
      <c r="E52" s="387"/>
      <c r="F52" s="407"/>
      <c r="G52" s="431"/>
      <c r="H52" s="412"/>
      <c r="I52" s="413"/>
      <c r="J52" s="387"/>
      <c r="K52" s="327"/>
      <c r="L52" s="327"/>
      <c r="M52" s="327"/>
      <c r="N52" s="327"/>
      <c r="O52" s="327"/>
      <c r="P52" s="327"/>
      <c r="Q52" s="376"/>
      <c r="R52" s="376"/>
      <c r="S52" s="444"/>
      <c r="AD52" s="430"/>
    </row>
    <row r="53" spans="2:30" ht="15.5">
      <c r="B53" s="695" t="s">
        <v>79</v>
      </c>
      <c r="C53" s="696">
        <f>SUM(C49:C52)</f>
        <v>11000.714595538724</v>
      </c>
      <c r="D53" s="745" t="e">
        <f>+opete!#REF!</f>
        <v>#REF!</v>
      </c>
      <c r="E53" s="397"/>
      <c r="F53" s="407"/>
      <c r="G53" s="431"/>
      <c r="H53" s="412"/>
      <c r="I53" s="413"/>
      <c r="J53" s="387"/>
      <c r="K53" s="327"/>
      <c r="L53" s="327"/>
      <c r="M53" s="327"/>
      <c r="N53" s="327"/>
      <c r="O53" s="327"/>
      <c r="P53" s="327"/>
      <c r="Q53" s="376"/>
      <c r="R53" s="376"/>
      <c r="S53" s="444"/>
      <c r="AD53" s="648"/>
    </row>
    <row r="54" spans="2:30" ht="15.5">
      <c r="B54" s="695" t="s">
        <v>84</v>
      </c>
      <c r="C54" s="696">
        <f>+C53/12</f>
        <v>916.72621629489367</v>
      </c>
      <c r="D54" s="697"/>
      <c r="F54" s="407"/>
      <c r="G54" s="431"/>
      <c r="H54" s="412"/>
      <c r="I54" s="413"/>
      <c r="J54" s="387"/>
      <c r="K54" s="327"/>
      <c r="L54" s="327"/>
      <c r="M54" s="327"/>
      <c r="N54" s="327"/>
      <c r="O54" s="327"/>
      <c r="P54" s="327"/>
      <c r="Q54" s="376"/>
      <c r="R54" s="444"/>
      <c r="S54" s="376"/>
    </row>
    <row r="55" spans="2:30">
      <c r="B55" s="376"/>
      <c r="C55" s="431"/>
      <c r="D55" s="55"/>
      <c r="E55" s="387"/>
      <c r="F55" s="407"/>
      <c r="G55" s="431"/>
      <c r="H55" s="412"/>
      <c r="I55" s="413"/>
      <c r="J55" s="387"/>
      <c r="K55" s="327"/>
      <c r="L55" s="327"/>
      <c r="M55" s="327"/>
      <c r="N55" s="327"/>
      <c r="O55" s="327"/>
      <c r="P55" s="327"/>
      <c r="Q55" s="376"/>
      <c r="R55" s="444"/>
      <c r="S55" s="376"/>
    </row>
    <row r="56" spans="2:30" ht="14">
      <c r="B56" s="698" t="s">
        <v>74</v>
      </c>
      <c r="C56" s="698"/>
      <c r="D56" s="699" t="e">
        <f>+C53/D53</f>
        <v>#REF!</v>
      </c>
      <c r="E56" s="441"/>
      <c r="F56" s="170"/>
      <c r="G56" s="431"/>
      <c r="H56" s="412"/>
      <c r="I56" s="413"/>
      <c r="J56" s="387"/>
      <c r="K56" s="387"/>
      <c r="L56" s="387"/>
      <c r="N56" s="376"/>
      <c r="O56" s="376"/>
      <c r="P56" s="376"/>
      <c r="Q56" s="376"/>
      <c r="R56" s="378"/>
      <c r="S56" s="376"/>
    </row>
    <row r="57" spans="2:30" ht="14">
      <c r="B57" s="376"/>
      <c r="C57" s="329"/>
      <c r="D57" s="330"/>
      <c r="F57" s="407"/>
      <c r="G57" s="431"/>
      <c r="H57" s="412"/>
      <c r="I57" s="445"/>
      <c r="J57" s="376" t="s">
        <v>804</v>
      </c>
      <c r="K57" s="387"/>
      <c r="L57" s="387"/>
      <c r="N57" s="376"/>
      <c r="O57" s="376"/>
      <c r="P57" s="376"/>
      <c r="Q57" s="376"/>
      <c r="R57" s="378"/>
      <c r="S57" s="376"/>
    </row>
    <row r="58" spans="2:30">
      <c r="B58" s="376"/>
      <c r="C58" s="387"/>
      <c r="D58" s="417"/>
      <c r="E58" s="397"/>
      <c r="F58" s="407"/>
      <c r="G58" s="431"/>
      <c r="H58" s="412"/>
      <c r="I58" s="445"/>
      <c r="K58" s="387"/>
      <c r="L58" s="387"/>
      <c r="N58" s="376"/>
      <c r="O58" s="376"/>
      <c r="P58" s="376"/>
      <c r="Q58" s="376"/>
      <c r="R58" s="378"/>
      <c r="S58" s="376"/>
    </row>
    <row r="59" spans="2:30">
      <c r="B59" s="376"/>
      <c r="C59" s="407"/>
      <c r="F59" s="407"/>
      <c r="G59" s="446"/>
      <c r="H59" s="412"/>
      <c r="I59" s="445"/>
      <c r="K59" s="387"/>
      <c r="L59" s="387"/>
      <c r="N59" s="376"/>
      <c r="O59" s="376"/>
      <c r="P59" s="376"/>
      <c r="Q59" s="376"/>
      <c r="R59" s="378"/>
      <c r="S59" s="376"/>
    </row>
    <row r="60" spans="2:30">
      <c r="B60" s="376"/>
      <c r="C60" s="387"/>
      <c r="D60" s="417"/>
      <c r="F60" s="407"/>
      <c r="G60" s="376"/>
      <c r="H60" s="412"/>
      <c r="I60" s="445"/>
      <c r="K60" s="447"/>
      <c r="L60" s="387"/>
      <c r="N60" s="376"/>
      <c r="O60" s="376"/>
      <c r="P60" s="376"/>
      <c r="Q60" s="376"/>
      <c r="R60" s="378"/>
      <c r="S60" s="376"/>
    </row>
    <row r="61" spans="2:30">
      <c r="B61" s="376"/>
      <c r="C61" s="387"/>
      <c r="E61" s="412"/>
      <c r="F61" s="407"/>
      <c r="G61" s="412"/>
      <c r="H61" s="412"/>
      <c r="I61" s="445"/>
      <c r="J61" s="387"/>
      <c r="K61" s="447"/>
      <c r="L61" s="387"/>
      <c r="M61" s="387"/>
      <c r="N61" s="376"/>
      <c r="O61" s="376"/>
      <c r="P61" s="376"/>
      <c r="Q61" s="376"/>
      <c r="R61" s="378"/>
      <c r="S61" s="376"/>
    </row>
    <row r="62" spans="2:30">
      <c r="B62" s="376"/>
      <c r="C62" s="387"/>
      <c r="E62" s="387"/>
      <c r="F62" s="407"/>
      <c r="G62" s="412"/>
      <c r="H62" s="412"/>
      <c r="I62" s="445"/>
      <c r="K62" s="447"/>
      <c r="L62" s="387"/>
      <c r="N62" s="376"/>
      <c r="O62" s="376"/>
      <c r="P62" s="376"/>
      <c r="Q62" s="376"/>
      <c r="R62" s="378"/>
      <c r="S62" s="376"/>
    </row>
    <row r="63" spans="2:30" ht="15" customHeight="1">
      <c r="B63" s="376"/>
      <c r="C63" s="387"/>
      <c r="F63" s="407"/>
      <c r="G63" s="431"/>
      <c r="H63" s="412"/>
      <c r="I63" s="445"/>
      <c r="K63" s="447"/>
      <c r="L63" s="387"/>
      <c r="M63" s="387"/>
      <c r="N63" s="376"/>
      <c r="O63" s="376"/>
      <c r="P63" s="376"/>
      <c r="Q63" s="376"/>
      <c r="R63" s="378"/>
      <c r="S63" s="376"/>
    </row>
    <row r="64" spans="2:30" ht="15" customHeight="1">
      <c r="B64" s="376"/>
      <c r="C64" s="387"/>
      <c r="F64" s="407"/>
      <c r="G64" s="431"/>
      <c r="H64" s="412"/>
      <c r="I64" s="445"/>
      <c r="K64" s="447"/>
      <c r="N64" s="376"/>
      <c r="O64" s="376"/>
      <c r="P64" s="376"/>
      <c r="Q64" s="376"/>
      <c r="R64" s="378"/>
      <c r="S64" s="376"/>
    </row>
    <row r="65" spans="2:19">
      <c r="B65" s="376"/>
      <c r="C65" s="387"/>
      <c r="F65" s="407"/>
      <c r="G65" s="431"/>
      <c r="H65" s="412"/>
      <c r="I65" s="445"/>
      <c r="N65" s="376"/>
      <c r="O65" s="376"/>
      <c r="P65" s="376"/>
      <c r="Q65" s="376"/>
      <c r="R65" s="378"/>
      <c r="S65" s="376"/>
    </row>
    <row r="66" spans="2:19">
      <c r="B66" s="376"/>
      <c r="C66" s="387"/>
      <c r="F66" s="407"/>
      <c r="G66" s="376"/>
      <c r="H66" s="412"/>
      <c r="I66" s="445"/>
      <c r="N66" s="376"/>
      <c r="O66" s="376"/>
      <c r="P66" s="376"/>
      <c r="Q66" s="376"/>
      <c r="R66" s="378"/>
      <c r="S66" s="376"/>
    </row>
    <row r="67" spans="2:19">
      <c r="B67" s="376"/>
      <c r="C67" s="387"/>
      <c r="F67" s="407"/>
      <c r="G67" s="376"/>
      <c r="H67" s="412"/>
      <c r="I67" s="445"/>
      <c r="N67" s="376"/>
      <c r="O67" s="376"/>
      <c r="P67" s="376"/>
      <c r="Q67" s="376"/>
      <c r="R67" s="378"/>
      <c r="S67" s="376"/>
    </row>
    <row r="68" spans="2:19">
      <c r="B68" s="376"/>
      <c r="C68" s="387"/>
      <c r="F68" s="407"/>
      <c r="G68" s="376"/>
      <c r="H68" s="412"/>
      <c r="I68" s="445"/>
      <c r="N68" s="376"/>
      <c r="O68" s="376"/>
      <c r="P68" s="376"/>
      <c r="Q68" s="376"/>
      <c r="R68" s="378"/>
      <c r="S68" s="376"/>
    </row>
    <row r="69" spans="2:19">
      <c r="B69" s="376"/>
      <c r="C69" s="387"/>
      <c r="F69" s="407"/>
      <c r="G69" s="376"/>
      <c r="H69" s="412"/>
      <c r="I69" s="445"/>
      <c r="N69" s="376"/>
      <c r="O69" s="376"/>
      <c r="P69" s="376"/>
      <c r="Q69" s="376"/>
      <c r="R69" s="378"/>
    </row>
    <row r="70" spans="2:19">
      <c r="B70" s="376"/>
      <c r="C70" s="387"/>
      <c r="F70" s="387"/>
      <c r="G70" s="387"/>
      <c r="H70" s="412"/>
      <c r="I70" s="445"/>
      <c r="N70" s="376"/>
      <c r="O70" s="376"/>
      <c r="P70" s="376"/>
      <c r="Q70" s="376"/>
      <c r="R70" s="378"/>
    </row>
    <row r="71" spans="2:19">
      <c r="B71" s="376"/>
      <c r="C71" s="387"/>
      <c r="F71" s="376"/>
      <c r="G71" s="387"/>
      <c r="H71" s="412"/>
      <c r="I71" s="445"/>
      <c r="N71" s="376"/>
      <c r="O71" s="376"/>
      <c r="P71" s="376"/>
      <c r="Q71" s="376"/>
      <c r="R71" s="378"/>
    </row>
    <row r="72" spans="2:19">
      <c r="B72" s="376"/>
      <c r="C72" s="387"/>
      <c r="F72" s="376"/>
      <c r="G72" s="387"/>
      <c r="H72" s="412"/>
      <c r="I72" s="445"/>
      <c r="N72" s="376"/>
      <c r="O72" s="376"/>
      <c r="P72" s="376"/>
      <c r="Q72" s="376"/>
      <c r="R72" s="378"/>
    </row>
    <row r="73" spans="2:19">
      <c r="B73" s="376"/>
      <c r="C73" s="387"/>
      <c r="F73" s="376"/>
      <c r="G73" s="387"/>
      <c r="H73" s="412"/>
      <c r="I73" s="445"/>
      <c r="N73" s="376"/>
      <c r="O73" s="376"/>
      <c r="P73" s="376"/>
      <c r="Q73" s="376"/>
      <c r="R73" s="378"/>
    </row>
    <row r="74" spans="2:19">
      <c r="B74" s="376"/>
      <c r="C74" s="387"/>
      <c r="F74" s="376"/>
      <c r="G74" s="387"/>
      <c r="H74" s="412"/>
      <c r="I74" s="445"/>
      <c r="N74" s="376"/>
      <c r="O74" s="376"/>
      <c r="P74" s="376"/>
      <c r="Q74" s="376"/>
      <c r="R74" s="378"/>
    </row>
    <row r="75" spans="2:19">
      <c r="B75" s="376"/>
      <c r="C75" s="387"/>
      <c r="F75" s="376"/>
      <c r="G75" s="387"/>
      <c r="H75" s="412"/>
      <c r="I75" s="445"/>
      <c r="N75" s="376"/>
      <c r="O75" s="376"/>
      <c r="P75" s="376"/>
      <c r="Q75" s="376"/>
      <c r="R75" s="378"/>
    </row>
    <row r="76" spans="2:19">
      <c r="B76" s="376"/>
      <c r="C76" s="387"/>
      <c r="F76" s="376"/>
      <c r="G76" s="387"/>
      <c r="H76" s="412"/>
      <c r="I76" s="445"/>
      <c r="N76" s="376"/>
      <c r="O76" s="376"/>
      <c r="P76" s="376"/>
      <c r="Q76" s="376"/>
      <c r="R76" s="378"/>
    </row>
    <row r="77" spans="2:19">
      <c r="B77" s="376"/>
      <c r="C77" s="387"/>
      <c r="F77" s="376"/>
      <c r="G77" s="387"/>
      <c r="H77" s="412"/>
      <c r="I77" s="445"/>
      <c r="N77" s="376"/>
      <c r="O77" s="376"/>
      <c r="P77" s="376"/>
      <c r="Q77" s="376"/>
      <c r="R77" s="378"/>
    </row>
    <row r="78" spans="2:19">
      <c r="B78" s="376"/>
      <c r="C78" s="387"/>
      <c r="F78" s="376"/>
      <c r="G78" s="387"/>
      <c r="H78" s="412"/>
      <c r="I78" s="445"/>
      <c r="N78" s="376"/>
      <c r="O78" s="376"/>
      <c r="P78" s="376"/>
      <c r="Q78" s="376"/>
      <c r="R78" s="378"/>
    </row>
    <row r="79" spans="2:19">
      <c r="B79" s="376"/>
      <c r="C79" s="387"/>
      <c r="F79" s="376"/>
      <c r="G79" s="387"/>
      <c r="H79" s="412"/>
      <c r="I79" s="445"/>
      <c r="N79" s="376"/>
      <c r="O79" s="376"/>
      <c r="P79" s="376"/>
      <c r="Q79" s="376"/>
      <c r="R79" s="378"/>
    </row>
    <row r="80" spans="2:19">
      <c r="B80" s="376"/>
      <c r="C80" s="387"/>
      <c r="F80" s="376"/>
      <c r="G80" s="387"/>
      <c r="H80" s="412"/>
      <c r="I80" s="445"/>
      <c r="N80" s="376"/>
      <c r="O80" s="376"/>
      <c r="P80" s="376"/>
      <c r="Q80" s="376"/>
      <c r="R80" s="378"/>
    </row>
    <row r="81" spans="2:18">
      <c r="B81" s="376"/>
      <c r="C81" s="387"/>
      <c r="F81" s="376"/>
      <c r="G81" s="387"/>
      <c r="H81" s="412"/>
      <c r="I81" s="445"/>
      <c r="N81" s="376"/>
      <c r="O81" s="376"/>
      <c r="P81" s="376"/>
      <c r="Q81" s="376"/>
      <c r="R81" s="378"/>
    </row>
    <row r="82" spans="2:18">
      <c r="B82" s="376"/>
      <c r="C82" s="387"/>
      <c r="F82" s="376"/>
      <c r="G82" s="387"/>
      <c r="H82" s="412"/>
      <c r="I82" s="445"/>
      <c r="N82" s="376"/>
      <c r="O82" s="376"/>
      <c r="P82" s="376"/>
      <c r="Q82" s="376"/>
      <c r="R82" s="378"/>
    </row>
    <row r="83" spans="2:18">
      <c r="B83" s="376"/>
      <c r="C83" s="387"/>
      <c r="F83" s="376"/>
      <c r="G83" s="387"/>
      <c r="H83" s="412"/>
      <c r="I83" s="445"/>
      <c r="N83" s="376"/>
      <c r="O83" s="376"/>
      <c r="P83" s="376"/>
      <c r="Q83" s="376"/>
      <c r="R83" s="378"/>
    </row>
    <row r="84" spans="2:18">
      <c r="B84" s="376"/>
      <c r="C84" s="387"/>
      <c r="F84" s="376"/>
      <c r="G84" s="387"/>
      <c r="H84" s="412"/>
      <c r="I84" s="445"/>
      <c r="N84" s="376"/>
      <c r="O84" s="376"/>
      <c r="P84" s="376"/>
      <c r="Q84" s="376"/>
      <c r="R84" s="378"/>
    </row>
    <row r="85" spans="2:18">
      <c r="B85" s="376"/>
      <c r="C85" s="387"/>
      <c r="F85" s="376"/>
      <c r="G85" s="387"/>
      <c r="H85" s="412"/>
      <c r="I85" s="445"/>
      <c r="N85" s="376"/>
      <c r="O85" s="376"/>
      <c r="P85" s="376"/>
      <c r="Q85" s="376"/>
      <c r="R85" s="378"/>
    </row>
    <row r="86" spans="2:18">
      <c r="B86" s="376"/>
      <c r="C86" s="387"/>
      <c r="F86" s="376"/>
      <c r="G86" s="387"/>
      <c r="H86" s="412"/>
      <c r="I86" s="445"/>
      <c r="N86" s="376"/>
      <c r="O86" s="376"/>
      <c r="P86" s="376"/>
      <c r="Q86" s="376"/>
      <c r="R86" s="378"/>
    </row>
    <row r="87" spans="2:18">
      <c r="B87" s="376"/>
      <c r="C87" s="387"/>
      <c r="F87" s="376"/>
      <c r="G87" s="387"/>
      <c r="H87" s="412"/>
      <c r="I87" s="445"/>
      <c r="N87" s="376"/>
      <c r="O87" s="376"/>
      <c r="P87" s="376"/>
      <c r="Q87" s="376"/>
      <c r="R87" s="378"/>
    </row>
    <row r="88" spans="2:18">
      <c r="B88" s="376"/>
      <c r="C88" s="387"/>
      <c r="F88" s="376"/>
      <c r="G88" s="387"/>
      <c r="H88" s="412"/>
      <c r="I88" s="445"/>
      <c r="N88" s="376"/>
      <c r="O88" s="376"/>
      <c r="P88" s="376"/>
      <c r="Q88" s="376"/>
      <c r="R88" s="378"/>
    </row>
    <row r="89" spans="2:18">
      <c r="B89" s="376"/>
      <c r="C89" s="387"/>
      <c r="F89" s="376"/>
      <c r="G89" s="387"/>
      <c r="H89" s="412"/>
      <c r="I89" s="445"/>
      <c r="N89" s="376"/>
      <c r="O89" s="376"/>
      <c r="P89" s="376"/>
      <c r="Q89" s="376"/>
      <c r="R89" s="378"/>
    </row>
    <row r="90" spans="2:18">
      <c r="B90" s="376"/>
      <c r="C90" s="387"/>
      <c r="F90" s="376"/>
      <c r="G90" s="387"/>
      <c r="H90" s="412"/>
      <c r="I90" s="445"/>
      <c r="N90" s="376"/>
      <c r="O90" s="376"/>
      <c r="P90" s="376"/>
      <c r="Q90" s="376"/>
      <c r="R90" s="378"/>
    </row>
    <row r="91" spans="2:18">
      <c r="B91" s="376"/>
      <c r="C91" s="387"/>
      <c r="F91" s="376"/>
      <c r="G91" s="387"/>
      <c r="H91" s="412"/>
      <c r="I91" s="445"/>
      <c r="N91" s="376"/>
      <c r="O91" s="376"/>
      <c r="P91" s="376"/>
      <c r="Q91" s="376"/>
      <c r="R91" s="378"/>
    </row>
    <row r="92" spans="2:18">
      <c r="B92" s="376"/>
      <c r="C92" s="387"/>
      <c r="F92" s="376"/>
      <c r="G92" s="387"/>
      <c r="H92" s="412"/>
      <c r="I92" s="445"/>
      <c r="N92" s="376"/>
      <c r="O92" s="376"/>
      <c r="P92" s="376"/>
      <c r="Q92" s="376"/>
      <c r="R92" s="378"/>
    </row>
    <row r="93" spans="2:18">
      <c r="F93" s="376"/>
      <c r="G93" s="387"/>
      <c r="H93" s="412"/>
      <c r="I93" s="445"/>
      <c r="N93" s="376"/>
      <c r="O93" s="376"/>
      <c r="P93" s="376"/>
      <c r="Q93" s="376"/>
      <c r="R93" s="378"/>
    </row>
    <row r="94" spans="2:18">
      <c r="F94" s="376"/>
      <c r="G94" s="387"/>
      <c r="H94" s="412"/>
      <c r="I94" s="445"/>
      <c r="N94" s="376"/>
      <c r="O94" s="376"/>
      <c r="P94" s="376"/>
      <c r="Q94" s="376"/>
      <c r="R94" s="378"/>
    </row>
    <row r="95" spans="2:18">
      <c r="F95" s="376"/>
      <c r="G95" s="387"/>
      <c r="H95" s="412"/>
      <c r="I95" s="445"/>
      <c r="N95" s="376"/>
      <c r="O95" s="376"/>
      <c r="P95" s="376"/>
      <c r="Q95" s="376"/>
      <c r="R95" s="378"/>
    </row>
    <row r="96" spans="2:18">
      <c r="F96" s="376"/>
      <c r="G96" s="387"/>
      <c r="H96" s="412"/>
      <c r="I96" s="445"/>
      <c r="N96" s="376"/>
      <c r="O96" s="376"/>
      <c r="P96" s="376"/>
      <c r="Q96" s="376"/>
      <c r="R96" s="378"/>
    </row>
    <row r="97" spans="6:18">
      <c r="F97" s="376"/>
      <c r="G97" s="387"/>
      <c r="H97" s="412"/>
      <c r="I97" s="445"/>
      <c r="N97" s="376"/>
      <c r="O97" s="376"/>
      <c r="P97" s="376"/>
      <c r="Q97" s="376"/>
      <c r="R97" s="378"/>
    </row>
    <row r="98" spans="6:18">
      <c r="F98" s="376"/>
      <c r="G98" s="387"/>
      <c r="H98" s="412"/>
      <c r="I98" s="445"/>
      <c r="N98" s="376"/>
      <c r="O98" s="376"/>
      <c r="P98" s="376"/>
      <c r="Q98" s="376"/>
      <c r="R98" s="378"/>
    </row>
    <row r="99" spans="6:18">
      <c r="F99" s="376"/>
      <c r="G99" s="387"/>
      <c r="H99" s="412"/>
      <c r="I99" s="445"/>
      <c r="N99" s="376"/>
      <c r="O99" s="376"/>
      <c r="P99" s="376"/>
      <c r="Q99" s="376"/>
      <c r="R99" s="378"/>
    </row>
    <row r="100" spans="6:18">
      <c r="F100" s="376"/>
      <c r="G100" s="387"/>
      <c r="H100" s="412"/>
      <c r="I100" s="445"/>
      <c r="N100" s="376"/>
      <c r="O100" s="376"/>
      <c r="P100" s="376"/>
      <c r="Q100" s="376"/>
      <c r="R100" s="378"/>
    </row>
    <row r="101" spans="6:18">
      <c r="F101" s="376"/>
      <c r="G101" s="387"/>
      <c r="H101" s="412"/>
      <c r="I101" s="445"/>
      <c r="N101" s="376"/>
      <c r="O101" s="376"/>
      <c r="P101" s="376"/>
      <c r="Q101" s="376"/>
      <c r="R101" s="378"/>
    </row>
    <row r="102" spans="6:18">
      <c r="F102" s="376"/>
      <c r="G102" s="387"/>
      <c r="I102" s="445"/>
      <c r="N102" s="376"/>
      <c r="O102" s="376"/>
      <c r="P102" s="376"/>
      <c r="Q102" s="376"/>
      <c r="R102" s="378"/>
    </row>
    <row r="103" spans="6:18">
      <c r="I103" s="445"/>
      <c r="N103" s="376"/>
      <c r="O103" s="376"/>
      <c r="P103" s="376"/>
      <c r="Q103" s="376"/>
      <c r="R103" s="378"/>
    </row>
    <row r="104" spans="6:18">
      <c r="I104" s="445"/>
      <c r="N104" s="376"/>
      <c r="O104" s="376"/>
      <c r="P104" s="376"/>
      <c r="Q104" s="376"/>
      <c r="R104" s="378"/>
    </row>
    <row r="105" spans="6:18">
      <c r="N105" s="376"/>
      <c r="O105" s="376"/>
      <c r="P105" s="376"/>
      <c r="Q105" s="376"/>
      <c r="R105" s="378"/>
    </row>
    <row r="106" spans="6:18">
      <c r="N106" s="376"/>
      <c r="O106" s="376"/>
      <c r="P106" s="376"/>
      <c r="Q106" s="376"/>
      <c r="R106" s="378"/>
    </row>
    <row r="107" spans="6:18">
      <c r="N107" s="376"/>
      <c r="O107" s="376"/>
      <c r="P107" s="376"/>
      <c r="Q107" s="376"/>
      <c r="R107" s="378"/>
    </row>
    <row r="108" spans="6:18">
      <c r="N108" s="376"/>
      <c r="O108" s="376"/>
      <c r="P108" s="376"/>
      <c r="Q108" s="376"/>
      <c r="R108" s="378"/>
    </row>
    <row r="109" spans="6:18">
      <c r="N109" s="376"/>
      <c r="O109" s="376"/>
      <c r="P109" s="376"/>
      <c r="Q109" s="376"/>
      <c r="R109" s="378"/>
    </row>
    <row r="110" spans="6:18">
      <c r="N110" s="376"/>
      <c r="O110" s="376"/>
      <c r="P110" s="376"/>
      <c r="Q110" s="376"/>
      <c r="R110" s="378"/>
    </row>
    <row r="111" spans="6:18">
      <c r="N111" s="376"/>
      <c r="O111" s="376"/>
      <c r="P111" s="376"/>
      <c r="Q111" s="376"/>
      <c r="R111" s="378"/>
    </row>
    <row r="112" spans="6:18">
      <c r="N112" s="376"/>
      <c r="O112" s="376"/>
      <c r="P112" s="376"/>
      <c r="Q112" s="376"/>
      <c r="R112" s="378"/>
    </row>
    <row r="113" spans="14:18">
      <c r="N113" s="376"/>
      <c r="O113" s="376"/>
      <c r="P113" s="376"/>
      <c r="Q113" s="376"/>
      <c r="R113" s="378"/>
    </row>
    <row r="114" spans="14:18">
      <c r="N114" s="376"/>
      <c r="O114" s="376"/>
      <c r="P114" s="376"/>
      <c r="Q114" s="376"/>
      <c r="R114" s="378"/>
    </row>
    <row r="115" spans="14:18">
      <c r="N115" s="376"/>
      <c r="O115" s="376"/>
      <c r="P115" s="376"/>
      <c r="Q115" s="376"/>
      <c r="R115" s="378"/>
    </row>
    <row r="116" spans="14:18">
      <c r="N116" s="376"/>
      <c r="O116" s="376"/>
      <c r="P116" s="376"/>
      <c r="Q116" s="376"/>
      <c r="R116" s="378"/>
    </row>
    <row r="117" spans="14:18">
      <c r="N117" s="376"/>
      <c r="O117" s="376"/>
      <c r="P117" s="376"/>
      <c r="Q117" s="376"/>
      <c r="R117" s="378"/>
    </row>
    <row r="118" spans="14:18">
      <c r="N118" s="376"/>
      <c r="O118" s="376"/>
      <c r="P118" s="376"/>
      <c r="Q118" s="376"/>
      <c r="R118" s="378"/>
    </row>
    <row r="119" spans="14:18">
      <c r="N119" s="376"/>
      <c r="O119" s="376"/>
      <c r="P119" s="376"/>
      <c r="Q119" s="376"/>
      <c r="R119" s="378"/>
    </row>
    <row r="120" spans="14:18">
      <c r="N120" s="376"/>
      <c r="O120" s="376"/>
      <c r="P120" s="376"/>
      <c r="Q120" s="376"/>
      <c r="R120" s="378"/>
    </row>
    <row r="121" spans="14:18">
      <c r="N121" s="376"/>
      <c r="O121" s="376"/>
      <c r="P121" s="376"/>
      <c r="Q121" s="376"/>
      <c r="R121" s="378"/>
    </row>
    <row r="122" spans="14:18">
      <c r="N122" s="376"/>
      <c r="O122" s="376"/>
      <c r="P122" s="376"/>
      <c r="Q122" s="376"/>
      <c r="R122" s="378"/>
    </row>
    <row r="123" spans="14:18">
      <c r="N123" s="376"/>
      <c r="O123" s="376"/>
      <c r="P123" s="376"/>
      <c r="Q123" s="376"/>
      <c r="R123" s="378"/>
    </row>
    <row r="124" spans="14:18">
      <c r="N124" s="376"/>
      <c r="O124" s="376"/>
      <c r="P124" s="376"/>
      <c r="Q124" s="376"/>
      <c r="R124" s="378"/>
    </row>
    <row r="125" spans="14:18">
      <c r="N125" s="376"/>
      <c r="O125" s="376"/>
      <c r="P125" s="376"/>
      <c r="Q125" s="376"/>
      <c r="R125" s="378"/>
    </row>
    <row r="126" spans="14:18">
      <c r="N126" s="376"/>
      <c r="O126" s="376"/>
      <c r="P126" s="376"/>
      <c r="Q126" s="376"/>
      <c r="R126" s="378"/>
    </row>
    <row r="127" spans="14:18">
      <c r="N127" s="376"/>
      <c r="O127" s="376"/>
      <c r="P127" s="376"/>
      <c r="Q127" s="376"/>
      <c r="R127" s="378"/>
    </row>
    <row r="128" spans="14:18">
      <c r="N128" s="376"/>
      <c r="O128" s="376"/>
      <c r="P128" s="376"/>
      <c r="Q128" s="376"/>
      <c r="R128" s="378"/>
    </row>
    <row r="129" spans="14:18">
      <c r="N129" s="376"/>
      <c r="O129" s="376"/>
      <c r="P129" s="376"/>
      <c r="Q129" s="376"/>
      <c r="R129" s="378"/>
    </row>
    <row r="130" spans="14:18">
      <c r="N130" s="376"/>
      <c r="O130" s="376"/>
      <c r="P130" s="376"/>
      <c r="Q130" s="376"/>
      <c r="R130" s="378"/>
    </row>
    <row r="131" spans="14:18">
      <c r="N131" s="376"/>
      <c r="O131" s="376"/>
      <c r="P131" s="376"/>
      <c r="Q131" s="376"/>
      <c r="R131" s="378"/>
    </row>
    <row r="132" spans="14:18">
      <c r="N132" s="376"/>
      <c r="O132" s="376"/>
      <c r="P132" s="376"/>
      <c r="Q132" s="376"/>
      <c r="R132" s="378"/>
    </row>
    <row r="133" spans="14:18">
      <c r="N133" s="376"/>
      <c r="O133" s="376"/>
      <c r="P133" s="376"/>
      <c r="Q133" s="376"/>
      <c r="R133" s="378"/>
    </row>
    <row r="134" spans="14:18">
      <c r="N134" s="376"/>
      <c r="O134" s="376"/>
      <c r="P134" s="376"/>
      <c r="Q134" s="376"/>
      <c r="R134" s="378"/>
    </row>
    <row r="135" spans="14:18">
      <c r="N135" s="376"/>
      <c r="O135" s="376"/>
      <c r="P135" s="376"/>
      <c r="Q135" s="376"/>
      <c r="R135" s="378"/>
    </row>
    <row r="136" spans="14:18">
      <c r="N136" s="376"/>
      <c r="O136" s="376"/>
      <c r="P136" s="376"/>
      <c r="Q136" s="376"/>
      <c r="R136" s="378"/>
    </row>
    <row r="137" spans="14:18">
      <c r="N137" s="376"/>
      <c r="O137" s="376"/>
      <c r="P137" s="376"/>
      <c r="Q137" s="376"/>
      <c r="R137" s="378"/>
    </row>
    <row r="138" spans="14:18">
      <c r="N138" s="376"/>
      <c r="O138" s="376"/>
      <c r="P138" s="376"/>
      <c r="Q138" s="376"/>
      <c r="R138" s="378"/>
    </row>
    <row r="139" spans="14:18">
      <c r="N139" s="376"/>
      <c r="O139" s="376"/>
      <c r="P139" s="376"/>
      <c r="Q139" s="376"/>
      <c r="R139" s="378"/>
    </row>
    <row r="140" spans="14:18">
      <c r="N140" s="376"/>
      <c r="O140" s="376"/>
      <c r="P140" s="376"/>
      <c r="Q140" s="376"/>
      <c r="R140" s="378"/>
    </row>
    <row r="141" spans="14:18">
      <c r="N141" s="376"/>
      <c r="O141" s="376"/>
      <c r="P141" s="376"/>
      <c r="Q141" s="376"/>
      <c r="R141" s="378"/>
    </row>
    <row r="142" spans="14:18">
      <c r="N142" s="376"/>
      <c r="O142" s="376"/>
      <c r="P142" s="376"/>
      <c r="Q142" s="376"/>
      <c r="R142" s="378"/>
    </row>
    <row r="143" spans="14:18">
      <c r="N143" s="376"/>
      <c r="O143" s="376"/>
      <c r="P143" s="376"/>
      <c r="Q143" s="376"/>
      <c r="R143" s="378"/>
    </row>
    <row r="144" spans="14:18">
      <c r="N144" s="376"/>
      <c r="O144" s="376"/>
      <c r="P144" s="376"/>
      <c r="Q144" s="376"/>
      <c r="R144" s="378"/>
    </row>
    <row r="145" spans="14:18">
      <c r="N145" s="376"/>
      <c r="O145" s="376"/>
      <c r="P145" s="376"/>
      <c r="Q145" s="376"/>
      <c r="R145" s="378"/>
    </row>
    <row r="146" spans="14:18">
      <c r="N146" s="376"/>
      <c r="O146" s="376"/>
      <c r="P146" s="376"/>
      <c r="Q146" s="376"/>
      <c r="R146" s="378"/>
    </row>
    <row r="147" spans="14:18">
      <c r="N147" s="376"/>
      <c r="O147" s="376"/>
      <c r="P147" s="376"/>
      <c r="Q147" s="376"/>
      <c r="R147" s="378"/>
    </row>
    <row r="148" spans="14:18">
      <c r="N148" s="376"/>
      <c r="O148" s="376"/>
      <c r="P148" s="376"/>
      <c r="Q148" s="376"/>
      <c r="R148" s="378"/>
    </row>
    <row r="149" spans="14:18">
      <c r="N149" s="376"/>
      <c r="O149" s="376"/>
      <c r="P149" s="376"/>
      <c r="Q149" s="376"/>
      <c r="R149" s="378"/>
    </row>
    <row r="150" spans="14:18">
      <c r="N150" s="376"/>
      <c r="O150" s="376"/>
      <c r="P150" s="376"/>
      <c r="Q150" s="376"/>
      <c r="R150" s="378"/>
    </row>
    <row r="151" spans="14:18">
      <c r="N151" s="376"/>
      <c r="O151" s="376"/>
      <c r="P151" s="376"/>
      <c r="Q151" s="376"/>
      <c r="R151" s="378"/>
    </row>
    <row r="152" spans="14:18">
      <c r="N152" s="376"/>
      <c r="O152" s="376"/>
      <c r="P152" s="376"/>
      <c r="Q152" s="376"/>
      <c r="R152" s="378"/>
    </row>
    <row r="153" spans="14:18">
      <c r="N153" s="376"/>
      <c r="O153" s="376"/>
      <c r="P153" s="376"/>
      <c r="Q153" s="376"/>
      <c r="R153" s="378"/>
    </row>
    <row r="154" spans="14:18">
      <c r="N154" s="376"/>
      <c r="O154" s="376"/>
      <c r="P154" s="376"/>
      <c r="Q154" s="376"/>
      <c r="R154" s="378"/>
    </row>
    <row r="155" spans="14:18">
      <c r="N155" s="376"/>
      <c r="O155" s="376"/>
      <c r="P155" s="376"/>
      <c r="Q155" s="376"/>
      <c r="R155" s="378"/>
    </row>
    <row r="156" spans="14:18">
      <c r="N156" s="376"/>
      <c r="O156" s="376"/>
      <c r="P156" s="376"/>
      <c r="Q156" s="376"/>
      <c r="R156" s="378"/>
    </row>
    <row r="157" spans="14:18">
      <c r="N157" s="376"/>
      <c r="O157" s="376"/>
      <c r="P157" s="376"/>
      <c r="Q157" s="376"/>
      <c r="R157" s="378"/>
    </row>
    <row r="158" spans="14:18">
      <c r="N158" s="376"/>
      <c r="O158" s="376"/>
      <c r="P158" s="376"/>
      <c r="Q158" s="376"/>
      <c r="R158" s="378"/>
    </row>
    <row r="159" spans="14:18">
      <c r="N159" s="376"/>
      <c r="O159" s="376"/>
      <c r="P159" s="376"/>
      <c r="Q159" s="376"/>
      <c r="R159" s="378"/>
    </row>
    <row r="160" spans="14:18">
      <c r="N160" s="376"/>
      <c r="O160" s="376"/>
      <c r="P160" s="376"/>
      <c r="Q160" s="376"/>
      <c r="R160" s="378"/>
    </row>
    <row r="161" spans="14:18">
      <c r="N161" s="376"/>
      <c r="O161" s="376"/>
      <c r="P161" s="376"/>
      <c r="Q161" s="376"/>
      <c r="R161" s="378"/>
    </row>
    <row r="162" spans="14:18">
      <c r="N162" s="376"/>
      <c r="O162" s="376"/>
      <c r="P162" s="376"/>
      <c r="Q162" s="376"/>
      <c r="R162" s="378"/>
    </row>
    <row r="163" spans="14:18">
      <c r="N163" s="376"/>
      <c r="O163" s="376"/>
      <c r="P163" s="376"/>
      <c r="Q163" s="376"/>
      <c r="R163" s="378"/>
    </row>
    <row r="164" spans="14:18">
      <c r="N164" s="376"/>
      <c r="O164" s="376"/>
      <c r="P164" s="376"/>
      <c r="Q164" s="376"/>
      <c r="R164" s="378"/>
    </row>
    <row r="165" spans="14:18">
      <c r="N165" s="376"/>
      <c r="O165" s="376"/>
      <c r="P165" s="376"/>
      <c r="Q165" s="376"/>
      <c r="R165" s="378"/>
    </row>
  </sheetData>
  <mergeCells count="47">
    <mergeCell ref="B43:D43"/>
    <mergeCell ref="B45:D45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51:P51"/>
    <mergeCell ref="O46:P46"/>
    <mergeCell ref="O47:P47"/>
    <mergeCell ref="O48:P48"/>
    <mergeCell ref="O49:P49"/>
    <mergeCell ref="O50:P50"/>
  </mergeCells>
  <phoneticPr fontId="0" type="noConversion"/>
  <pageMargins left="0.15748031496062992" right="0.15748031496062992" top="0.23622047244094491" bottom="0.15748031496062992" header="0" footer="0"/>
  <pageSetup scale="8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A1:O178"/>
  <sheetViews>
    <sheetView zoomScale="90" zoomScaleNormal="90" workbookViewId="0">
      <selection activeCell="T22" sqref="T22"/>
    </sheetView>
  </sheetViews>
  <sheetFormatPr baseColWidth="10" defaultRowHeight="13"/>
  <cols>
    <col min="1" max="1" width="14.6328125" bestFit="1" customWidth="1"/>
    <col min="2" max="2" width="15.90625" bestFit="1" customWidth="1"/>
    <col min="3" max="3" width="9" customWidth="1"/>
    <col min="4" max="4" width="12.453125" customWidth="1"/>
    <col min="5" max="5" width="14.90625" bestFit="1" customWidth="1"/>
    <col min="6" max="6" width="16.54296875" bestFit="1" customWidth="1"/>
    <col min="7" max="7" width="13" customWidth="1"/>
    <col min="8" max="8" width="18" style="144" bestFit="1" customWidth="1"/>
    <col min="9" max="9" width="14" style="175" bestFit="1" customWidth="1"/>
    <col min="10" max="11" width="13.90625" bestFit="1" customWidth="1"/>
    <col min="12" max="12" width="13.453125" bestFit="1" customWidth="1"/>
    <col min="13" max="13" width="13.54296875" style="162" bestFit="1" customWidth="1"/>
    <col min="14" max="14" width="19.36328125" style="162" bestFit="1" customWidth="1"/>
    <col min="15" max="15" width="19.90625" customWidth="1"/>
  </cols>
  <sheetData>
    <row r="1" spans="1:15" s="338" customFormat="1" ht="15.5">
      <c r="A1" s="334"/>
      <c r="B1" s="334"/>
      <c r="C1" s="335"/>
      <c r="D1" s="335"/>
      <c r="E1" s="335"/>
      <c r="F1" s="334" t="s">
        <v>39</v>
      </c>
      <c r="G1" s="334"/>
      <c r="H1" s="341"/>
      <c r="I1" s="342"/>
      <c r="M1" s="343"/>
      <c r="N1" s="343"/>
    </row>
    <row r="2" spans="1:15">
      <c r="I2" s="269"/>
    </row>
    <row r="3" spans="1:15">
      <c r="I3" s="269"/>
    </row>
    <row r="4" spans="1:15">
      <c r="I4" s="173"/>
    </row>
    <row r="5" spans="1:15" ht="15.5">
      <c r="A5" s="848" t="s">
        <v>51</v>
      </c>
      <c r="B5" s="849"/>
      <c r="C5" s="849"/>
      <c r="I5" s="173"/>
    </row>
    <row r="6" spans="1:15">
      <c r="H6" s="43"/>
      <c r="I6" s="174"/>
      <c r="J6" s="30"/>
      <c r="K6" s="30"/>
    </row>
    <row r="7" spans="1:15" ht="15.5">
      <c r="A7" s="18"/>
      <c r="B7" s="18"/>
    </row>
    <row r="8" spans="1:15">
      <c r="A8" s="19" t="s">
        <v>114</v>
      </c>
      <c r="B8" s="19" t="s">
        <v>35</v>
      </c>
      <c r="C8" s="19" t="s">
        <v>302</v>
      </c>
      <c r="D8" s="19" t="s">
        <v>25</v>
      </c>
      <c r="E8" s="19" t="s">
        <v>26</v>
      </c>
      <c r="F8" s="19" t="s">
        <v>18</v>
      </c>
      <c r="G8" s="19" t="s">
        <v>19</v>
      </c>
      <c r="H8" s="145" t="s">
        <v>21</v>
      </c>
      <c r="I8" s="216" t="s">
        <v>22</v>
      </c>
      <c r="J8" s="19" t="s">
        <v>27</v>
      </c>
      <c r="K8" s="19" t="s">
        <v>34</v>
      </c>
      <c r="L8" s="36" t="s">
        <v>55</v>
      </c>
      <c r="M8" s="36" t="s">
        <v>60</v>
      </c>
      <c r="N8" s="36" t="s">
        <v>61</v>
      </c>
    </row>
    <row r="9" spans="1:15">
      <c r="A9" s="208">
        <v>46003</v>
      </c>
      <c r="B9" s="208" t="s">
        <v>336</v>
      </c>
      <c r="C9" s="208"/>
      <c r="D9" s="209" t="s">
        <v>106</v>
      </c>
      <c r="E9" s="209" t="s">
        <v>59</v>
      </c>
      <c r="F9" s="210">
        <v>-500</v>
      </c>
      <c r="G9" s="219">
        <v>909.01</v>
      </c>
      <c r="H9" s="219">
        <v>888.99</v>
      </c>
      <c r="I9" s="211">
        <v>11259.969178505935</v>
      </c>
      <c r="J9" s="212">
        <v>-2.2023960132451767E-2</v>
      </c>
      <c r="K9" s="213">
        <v>500000</v>
      </c>
      <c r="L9" s="220">
        <v>-7</v>
      </c>
      <c r="M9" s="244">
        <v>46027</v>
      </c>
      <c r="N9" s="244">
        <v>46028</v>
      </c>
      <c r="O9" s="593"/>
    </row>
    <row r="10" spans="1:15">
      <c r="A10" s="208">
        <v>46003</v>
      </c>
      <c r="B10" s="208" t="s">
        <v>336</v>
      </c>
      <c r="C10" s="208"/>
      <c r="D10" s="209" t="s">
        <v>106</v>
      </c>
      <c r="E10" s="209" t="s">
        <v>59</v>
      </c>
      <c r="F10" s="210">
        <v>-500</v>
      </c>
      <c r="G10" s="219">
        <v>909.08</v>
      </c>
      <c r="H10" s="219">
        <v>888.99</v>
      </c>
      <c r="I10" s="211">
        <v>11299.339700109131</v>
      </c>
      <c r="J10" s="212">
        <v>-2.2099265191182327E-2</v>
      </c>
      <c r="K10" s="213">
        <v>500000</v>
      </c>
      <c r="L10" s="220">
        <v>-7</v>
      </c>
      <c r="M10" s="244">
        <v>46027</v>
      </c>
      <c r="N10" s="244">
        <v>46028</v>
      </c>
      <c r="O10" s="593"/>
    </row>
    <row r="11" spans="1:15">
      <c r="A11" s="208">
        <v>46006</v>
      </c>
      <c r="B11" s="208" t="s">
        <v>336</v>
      </c>
      <c r="C11" s="208"/>
      <c r="D11" s="209" t="s">
        <v>106</v>
      </c>
      <c r="E11" s="209" t="s">
        <v>59</v>
      </c>
      <c r="F11" s="210">
        <v>-500</v>
      </c>
      <c r="G11" s="219">
        <v>911.79</v>
      </c>
      <c r="H11" s="219">
        <v>888.99</v>
      </c>
      <c r="I11" s="211">
        <v>12823.541322174577</v>
      </c>
      <c r="J11" s="212">
        <v>-2.5005757904780657E-2</v>
      </c>
      <c r="K11" s="213">
        <v>500000</v>
      </c>
      <c r="L11" s="220">
        <v>-7</v>
      </c>
      <c r="M11" s="244">
        <v>46027</v>
      </c>
      <c r="N11" s="244">
        <v>46028</v>
      </c>
      <c r="O11" s="593"/>
    </row>
    <row r="12" spans="1:15">
      <c r="A12" s="208">
        <v>46006</v>
      </c>
      <c r="B12" s="208" t="s">
        <v>336</v>
      </c>
      <c r="C12" s="208"/>
      <c r="D12" s="209" t="s">
        <v>106</v>
      </c>
      <c r="E12" s="209" t="s">
        <v>59</v>
      </c>
      <c r="F12" s="210">
        <v>-500</v>
      </c>
      <c r="G12" s="219">
        <v>905.86</v>
      </c>
      <c r="H12" s="219">
        <v>888.99</v>
      </c>
      <c r="I12" s="211">
        <v>9488.295706363404</v>
      </c>
      <c r="J12" s="212">
        <v>-1.8623186805908201E-2</v>
      </c>
      <c r="K12" s="213">
        <v>500000</v>
      </c>
      <c r="L12" s="220">
        <v>-7</v>
      </c>
      <c r="M12" s="244">
        <v>46027</v>
      </c>
      <c r="N12" s="244">
        <v>46028</v>
      </c>
      <c r="O12" s="593"/>
    </row>
    <row r="13" spans="1:15">
      <c r="A13" s="208">
        <v>46009</v>
      </c>
      <c r="B13" s="208" t="s">
        <v>336</v>
      </c>
      <c r="C13" s="208"/>
      <c r="D13" s="209" t="s">
        <v>106</v>
      </c>
      <c r="E13" s="209" t="s">
        <v>59</v>
      </c>
      <c r="F13" s="210">
        <v>-500</v>
      </c>
      <c r="G13" s="219">
        <v>912.81</v>
      </c>
      <c r="H13" s="219">
        <v>888.99</v>
      </c>
      <c r="I13" s="211">
        <v>13397.226065535009</v>
      </c>
      <c r="J13" s="212">
        <v>-2.6095244355342228E-2</v>
      </c>
      <c r="K13" s="213">
        <v>500000</v>
      </c>
      <c r="L13" s="220">
        <v>-7</v>
      </c>
      <c r="M13" s="244">
        <v>46027</v>
      </c>
      <c r="N13" s="244">
        <v>46028</v>
      </c>
      <c r="O13" s="593"/>
    </row>
    <row r="14" spans="1:15">
      <c r="A14" s="208">
        <v>46009</v>
      </c>
      <c r="B14" s="208" t="s">
        <v>336</v>
      </c>
      <c r="C14" s="208"/>
      <c r="D14" s="209" t="s">
        <v>106</v>
      </c>
      <c r="E14" s="209" t="s">
        <v>59</v>
      </c>
      <c r="F14" s="210">
        <v>500</v>
      </c>
      <c r="G14" s="219">
        <v>911.15</v>
      </c>
      <c r="H14" s="219">
        <v>888.99</v>
      </c>
      <c r="I14" s="211">
        <v>-12463.582267517051</v>
      </c>
      <c r="J14" s="212">
        <v>-2.4320913131756536E-2</v>
      </c>
      <c r="K14" s="213">
        <v>500000</v>
      </c>
      <c r="L14" s="220">
        <v>-7</v>
      </c>
      <c r="M14" s="244">
        <v>46027</v>
      </c>
      <c r="N14" s="244">
        <v>46028</v>
      </c>
      <c r="O14" s="593"/>
    </row>
    <row r="15" spans="1:15">
      <c r="A15" s="208">
        <v>46013</v>
      </c>
      <c r="B15" s="208" t="s">
        <v>336</v>
      </c>
      <c r="C15" s="208"/>
      <c r="D15" s="209" t="s">
        <v>106</v>
      </c>
      <c r="E15" s="209" t="s">
        <v>59</v>
      </c>
      <c r="F15" s="210">
        <v>500</v>
      </c>
      <c r="G15" s="219">
        <v>906.81</v>
      </c>
      <c r="H15" s="219">
        <v>888.99</v>
      </c>
      <c r="I15" s="211">
        <v>-10022.609928120641</v>
      </c>
      <c r="J15" s="212">
        <v>-1.9651305124557445E-2</v>
      </c>
      <c r="K15" s="213">
        <v>500000</v>
      </c>
      <c r="L15" s="220">
        <v>-7</v>
      </c>
      <c r="M15" s="244">
        <v>46027</v>
      </c>
      <c r="N15" s="244">
        <v>46028</v>
      </c>
      <c r="O15" s="593"/>
    </row>
    <row r="16" spans="1:15">
      <c r="A16" s="208">
        <v>46013</v>
      </c>
      <c r="B16" s="208" t="s">
        <v>336</v>
      </c>
      <c r="C16" s="208"/>
      <c r="D16" s="209" t="s">
        <v>106</v>
      </c>
      <c r="E16" s="209" t="s">
        <v>59</v>
      </c>
      <c r="F16" s="210">
        <v>500</v>
      </c>
      <c r="G16" s="219">
        <v>906.56</v>
      </c>
      <c r="H16" s="219">
        <v>888.99</v>
      </c>
      <c r="I16" s="211">
        <v>-9882.0009223950419</v>
      </c>
      <c r="J16" s="212">
        <v>-1.9380956583127357E-2</v>
      </c>
      <c r="K16" s="213">
        <v>500000</v>
      </c>
      <c r="L16" s="220">
        <v>-7</v>
      </c>
      <c r="M16" s="244">
        <v>46027</v>
      </c>
      <c r="N16" s="244">
        <v>46028</v>
      </c>
      <c r="O16" s="593"/>
    </row>
    <row r="17" spans="1:15">
      <c r="A17" s="208">
        <v>46013</v>
      </c>
      <c r="B17" s="208" t="s">
        <v>336</v>
      </c>
      <c r="C17" s="208"/>
      <c r="D17" s="209" t="s">
        <v>106</v>
      </c>
      <c r="E17" s="209" t="s">
        <v>59</v>
      </c>
      <c r="F17" s="210">
        <v>500</v>
      </c>
      <c r="G17" s="219">
        <v>905.86</v>
      </c>
      <c r="H17" s="219">
        <v>888.99</v>
      </c>
      <c r="I17" s="211">
        <v>-9488.295706363404</v>
      </c>
      <c r="J17" s="212">
        <v>-1.8623186805908201E-2</v>
      </c>
      <c r="K17" s="213">
        <v>500000</v>
      </c>
      <c r="L17" s="220">
        <v>-7</v>
      </c>
      <c r="M17" s="244">
        <v>46027</v>
      </c>
      <c r="N17" s="244">
        <v>46028</v>
      </c>
      <c r="O17" s="593"/>
    </row>
    <row r="18" spans="1:15">
      <c r="A18" s="208">
        <v>46015</v>
      </c>
      <c r="B18" s="208" t="s">
        <v>336</v>
      </c>
      <c r="C18" s="208"/>
      <c r="D18" s="209" t="s">
        <v>106</v>
      </c>
      <c r="E18" s="209" t="s">
        <v>59</v>
      </c>
      <c r="F18" s="210">
        <v>-500</v>
      </c>
      <c r="G18" s="219">
        <v>905.66</v>
      </c>
      <c r="H18" s="219">
        <v>888.99</v>
      </c>
      <c r="I18" s="211">
        <v>9375.8085017828998</v>
      </c>
      <c r="J18" s="212">
        <v>-1.8406466002694123E-2</v>
      </c>
      <c r="K18" s="213">
        <v>500000</v>
      </c>
      <c r="L18" s="220">
        <v>-7</v>
      </c>
      <c r="M18" s="244">
        <v>46027</v>
      </c>
      <c r="N18" s="244">
        <v>46028</v>
      </c>
      <c r="O18" s="593"/>
    </row>
    <row r="19" spans="1:15">
      <c r="A19" s="208">
        <v>46015</v>
      </c>
      <c r="B19" s="208" t="s">
        <v>336</v>
      </c>
      <c r="C19" s="208"/>
      <c r="D19" s="209" t="s">
        <v>106</v>
      </c>
      <c r="E19" s="209" t="s">
        <v>59</v>
      </c>
      <c r="F19" s="210">
        <v>-500</v>
      </c>
      <c r="G19" s="219">
        <v>904.13</v>
      </c>
      <c r="H19" s="219">
        <v>888.99</v>
      </c>
      <c r="I19" s="211">
        <v>8515.2813867422501</v>
      </c>
      <c r="J19" s="212">
        <v>-1.6745379536128639E-2</v>
      </c>
      <c r="K19" s="213">
        <v>500000</v>
      </c>
      <c r="L19" s="220">
        <v>-7</v>
      </c>
      <c r="M19" s="244">
        <v>46027</v>
      </c>
      <c r="N19" s="244">
        <v>46028</v>
      </c>
      <c r="O19" s="593"/>
    </row>
    <row r="20" spans="1:15">
      <c r="A20" s="208">
        <v>46024</v>
      </c>
      <c r="B20" s="208" t="s">
        <v>336</v>
      </c>
      <c r="C20" s="208"/>
      <c r="D20" s="209" t="s">
        <v>106</v>
      </c>
      <c r="E20" s="209" t="s">
        <v>59</v>
      </c>
      <c r="F20" s="210">
        <v>500</v>
      </c>
      <c r="G20" s="219">
        <v>899.8</v>
      </c>
      <c r="H20" s="219">
        <v>888.99</v>
      </c>
      <c r="I20" s="211">
        <v>-6079.9334075748575</v>
      </c>
      <c r="J20" s="212">
        <v>-1.2013780840186648E-2</v>
      </c>
      <c r="K20" s="213">
        <v>500000</v>
      </c>
      <c r="L20" s="220">
        <v>-7</v>
      </c>
      <c r="M20" s="244">
        <v>46027</v>
      </c>
      <c r="N20" s="244">
        <v>46028</v>
      </c>
      <c r="O20" s="593"/>
    </row>
    <row r="21" spans="1:15">
      <c r="A21" s="208"/>
      <c r="B21" s="208"/>
      <c r="C21" s="208"/>
      <c r="D21" s="209"/>
      <c r="E21" s="209"/>
      <c r="F21" s="210"/>
      <c r="G21" s="219"/>
      <c r="H21" s="219"/>
      <c r="I21" s="211"/>
      <c r="J21" s="212"/>
      <c r="K21" s="213"/>
      <c r="L21" s="220"/>
      <c r="M21" s="244"/>
      <c r="N21" s="244"/>
    </row>
    <row r="22" spans="1:15">
      <c r="A22" s="208"/>
      <c r="B22" s="208"/>
      <c r="C22" s="208"/>
      <c r="D22" s="209"/>
      <c r="E22" s="209"/>
      <c r="F22" s="210"/>
      <c r="G22" s="219"/>
      <c r="H22" s="219"/>
      <c r="I22" s="211"/>
      <c r="J22" s="212"/>
      <c r="K22" s="213"/>
      <c r="L22" s="220"/>
      <c r="M22" s="244"/>
      <c r="N22" s="244"/>
    </row>
    <row r="23" spans="1:15">
      <c r="A23" s="208"/>
      <c r="B23" s="208"/>
      <c r="C23" s="208"/>
      <c r="D23" s="209"/>
      <c r="E23" s="209"/>
      <c r="F23" s="210"/>
      <c r="G23" s="219"/>
      <c r="H23" s="219"/>
      <c r="I23" s="211"/>
      <c r="J23" s="212"/>
      <c r="K23" s="213"/>
      <c r="L23" s="220"/>
      <c r="M23" s="244"/>
      <c r="N23" s="244"/>
    </row>
    <row r="24" spans="1:15">
      <c r="A24" s="208"/>
      <c r="B24" s="208"/>
      <c r="C24" s="208"/>
      <c r="D24" s="209"/>
      <c r="E24" s="209"/>
      <c r="F24" s="210"/>
      <c r="G24" s="219"/>
      <c r="H24" s="219"/>
      <c r="I24" s="211"/>
      <c r="J24" s="212"/>
      <c r="K24" s="213"/>
      <c r="L24" s="220"/>
      <c r="M24" s="244"/>
      <c r="N24" s="244"/>
    </row>
    <row r="25" spans="1:15">
      <c r="A25" s="208"/>
      <c r="B25" s="208"/>
      <c r="C25" s="208"/>
      <c r="D25" s="209"/>
      <c r="E25" s="209"/>
      <c r="F25" s="210"/>
      <c r="G25" s="219"/>
      <c r="H25" s="219"/>
      <c r="I25" s="211"/>
      <c r="J25" s="212"/>
      <c r="K25" s="213"/>
      <c r="L25" s="220"/>
      <c r="M25" s="244"/>
      <c r="N25" s="244"/>
    </row>
    <row r="26" spans="1:15">
      <c r="A26" s="208"/>
      <c r="B26" s="208"/>
      <c r="C26" s="208"/>
      <c r="D26" s="209"/>
      <c r="E26" s="209"/>
      <c r="F26" s="210"/>
      <c r="G26" s="219"/>
      <c r="H26" s="219"/>
      <c r="I26" s="211"/>
      <c r="J26" s="212"/>
      <c r="K26" s="213"/>
      <c r="L26" s="220"/>
      <c r="M26" s="244"/>
      <c r="N26" s="244"/>
    </row>
    <row r="27" spans="1:15">
      <c r="A27" s="208"/>
      <c r="B27" s="208"/>
      <c r="C27" s="208"/>
      <c r="D27" s="209"/>
      <c r="E27" s="209"/>
      <c r="F27" s="210"/>
      <c r="G27" s="219"/>
      <c r="H27" s="219"/>
      <c r="I27" s="211"/>
      <c r="J27" s="212"/>
      <c r="K27" s="213"/>
      <c r="L27" s="220"/>
      <c r="M27" s="244"/>
      <c r="N27" s="244"/>
    </row>
    <row r="28" spans="1:15">
      <c r="A28" s="194"/>
      <c r="B28" s="196"/>
      <c r="C28" s="195"/>
      <c r="D28" s="196"/>
      <c r="E28" s="196"/>
      <c r="F28" s="197"/>
      <c r="G28" s="198"/>
      <c r="H28" s="255"/>
      <c r="I28" s="611"/>
      <c r="J28" s="612"/>
      <c r="K28" s="201"/>
      <c r="L28" s="613"/>
      <c r="M28" s="604"/>
      <c r="N28" s="604"/>
    </row>
    <row r="29" spans="1:15">
      <c r="A29" s="194"/>
      <c r="B29" s="194"/>
      <c r="C29" s="194"/>
      <c r="D29" s="196"/>
      <c r="E29" s="196"/>
      <c r="F29" s="255"/>
      <c r="G29" s="605"/>
      <c r="H29" s="605"/>
      <c r="I29" s="199"/>
      <c r="J29" s="200"/>
      <c r="K29" s="201"/>
      <c r="L29" s="606"/>
      <c r="M29" s="604"/>
      <c r="N29" s="604"/>
    </row>
    <row r="30" spans="1:15">
      <c r="A30" s="194"/>
      <c r="B30" s="194"/>
      <c r="C30" s="195"/>
      <c r="D30" s="196"/>
      <c r="E30" s="196"/>
      <c r="F30" s="197"/>
      <c r="G30" s="198"/>
      <c r="H30" s="198"/>
      <c r="I30" s="199">
        <v>28223.039629242223</v>
      </c>
      <c r="J30" s="200"/>
      <c r="K30" s="201"/>
      <c r="L30" s="202"/>
    </row>
    <row r="31" spans="1:15">
      <c r="F31" s="49"/>
      <c r="H31" s="13" t="s">
        <v>66</v>
      </c>
      <c r="I31" s="252">
        <v>0</v>
      </c>
      <c r="K31" s="214"/>
    </row>
    <row r="32" spans="1:15">
      <c r="F32" s="49"/>
      <c r="H32" s="13" t="s">
        <v>62</v>
      </c>
      <c r="I32" s="253">
        <v>0</v>
      </c>
      <c r="K32" s="214"/>
    </row>
    <row r="33" spans="1:15">
      <c r="F33" s="49"/>
      <c r="H33" s="13" t="s">
        <v>59</v>
      </c>
      <c r="I33" s="253">
        <v>0</v>
      </c>
      <c r="K33" s="214"/>
    </row>
    <row r="34" spans="1:15">
      <c r="E34" s="49"/>
      <c r="F34" s="49"/>
      <c r="G34" s="332"/>
      <c r="H34" s="13" t="s">
        <v>108</v>
      </c>
      <c r="I34" s="253">
        <v>0</v>
      </c>
      <c r="K34" s="214"/>
    </row>
    <row r="35" spans="1:15">
      <c r="E35" s="49"/>
      <c r="F35" s="49"/>
      <c r="H35" s="13" t="s">
        <v>36</v>
      </c>
      <c r="I35" s="253">
        <v>0</v>
      </c>
      <c r="K35" s="214"/>
    </row>
    <row r="36" spans="1:15">
      <c r="A36" s="850" t="s">
        <v>42</v>
      </c>
      <c r="B36" s="851"/>
      <c r="C36" s="851"/>
      <c r="D36" s="35"/>
      <c r="E36" s="49"/>
      <c r="F36" s="49"/>
      <c r="G36" s="89"/>
      <c r="H36" s="146"/>
      <c r="I36" s="178"/>
      <c r="J36" s="84"/>
      <c r="K36" s="215"/>
      <c r="L36" s="35"/>
    </row>
    <row r="37" spans="1:15">
      <c r="A37" s="35"/>
      <c r="B37" s="35"/>
      <c r="C37" s="35"/>
      <c r="D37" s="35"/>
      <c r="E37" s="182"/>
      <c r="F37" s="89"/>
      <c r="G37" s="89"/>
      <c r="H37" s="146"/>
      <c r="I37" s="333"/>
      <c r="J37" s="84"/>
      <c r="K37" s="35"/>
      <c r="L37" s="35"/>
    </row>
    <row r="38" spans="1:15">
      <c r="A38" s="35"/>
      <c r="B38" s="35"/>
      <c r="C38" s="35"/>
      <c r="D38" s="35"/>
      <c r="E38" s="35"/>
      <c r="F38" s="89"/>
      <c r="G38" s="35"/>
      <c r="H38" s="146"/>
      <c r="I38" s="179"/>
      <c r="J38" s="88"/>
      <c r="K38" s="35"/>
      <c r="L38" s="89"/>
    </row>
    <row r="39" spans="1:15">
      <c r="A39" s="36" t="s">
        <v>138</v>
      </c>
      <c r="B39" s="36" t="s">
        <v>35</v>
      </c>
      <c r="C39" s="36" t="s">
        <v>17</v>
      </c>
      <c r="D39" s="36" t="s">
        <v>25</v>
      </c>
      <c r="E39" s="36" t="s">
        <v>26</v>
      </c>
      <c r="F39" s="36" t="s">
        <v>18</v>
      </c>
      <c r="G39" s="36" t="s">
        <v>19</v>
      </c>
      <c r="H39" s="147" t="s">
        <v>21</v>
      </c>
      <c r="I39" s="216" t="s">
        <v>22</v>
      </c>
      <c r="J39" s="36" t="s">
        <v>27</v>
      </c>
      <c r="K39" s="36" t="s">
        <v>34</v>
      </c>
      <c r="L39" s="36" t="s">
        <v>55</v>
      </c>
      <c r="M39" s="36" t="s">
        <v>124</v>
      </c>
      <c r="N39" s="36" t="s">
        <v>140</v>
      </c>
    </row>
    <row r="40" spans="1:15" ht="14">
      <c r="A40" s="189"/>
      <c r="B40" s="189"/>
      <c r="C40" s="166"/>
      <c r="D40" s="20" t="s">
        <v>106</v>
      </c>
      <c r="E40" s="20" t="s">
        <v>59</v>
      </c>
      <c r="F40" s="186"/>
      <c r="G40" s="167"/>
      <c r="H40" s="603">
        <v>898.49</v>
      </c>
      <c r="I40" s="176">
        <v>0</v>
      </c>
      <c r="J40" s="39" t="s">
        <v>805</v>
      </c>
      <c r="K40" s="98">
        <v>0</v>
      </c>
      <c r="L40" s="168" t="s">
        <v>805</v>
      </c>
      <c r="M40" s="193"/>
      <c r="N40" s="193"/>
      <c r="O40" s="353">
        <v>0</v>
      </c>
    </row>
    <row r="41" spans="1:15" ht="14">
      <c r="A41" s="189">
        <v>46097</v>
      </c>
      <c r="B41" s="189" t="s">
        <v>714</v>
      </c>
      <c r="C41" s="166"/>
      <c r="D41" s="20" t="s">
        <v>106</v>
      </c>
      <c r="E41" s="20" t="s">
        <v>59</v>
      </c>
      <c r="F41" s="186">
        <v>1000</v>
      </c>
      <c r="G41" s="186">
        <v>917.59</v>
      </c>
      <c r="H41" s="603">
        <v>898.49</v>
      </c>
      <c r="I41" s="176">
        <v>-21.257888234704918</v>
      </c>
      <c r="J41" s="39">
        <v>-2.0815396854804456E-2</v>
      </c>
      <c r="K41" s="98">
        <v>1000</v>
      </c>
      <c r="L41" s="168">
        <v>-20</v>
      </c>
      <c r="M41" s="193">
        <v>46105</v>
      </c>
      <c r="N41" s="193">
        <v>46106</v>
      </c>
      <c r="O41" s="353" t="s">
        <v>806</v>
      </c>
    </row>
    <row r="42" spans="1:15" ht="14">
      <c r="A42" s="189">
        <v>46097</v>
      </c>
      <c r="B42" s="189" t="s">
        <v>714</v>
      </c>
      <c r="C42" s="166"/>
      <c r="D42" s="20" t="s">
        <v>106</v>
      </c>
      <c r="E42" s="20" t="s">
        <v>59</v>
      </c>
      <c r="F42" s="186">
        <v>1000</v>
      </c>
      <c r="G42" s="167">
        <v>916.24</v>
      </c>
      <c r="H42" s="603">
        <v>898.49</v>
      </c>
      <c r="I42" s="176">
        <v>-19.755367338534651</v>
      </c>
      <c r="J42" s="39">
        <v>-1.9372653453243693E-2</v>
      </c>
      <c r="K42" s="98">
        <v>1000</v>
      </c>
      <c r="L42" s="168">
        <v>-20</v>
      </c>
      <c r="M42" s="193">
        <v>46105</v>
      </c>
      <c r="N42" s="193">
        <v>46106</v>
      </c>
      <c r="O42" s="353" t="s">
        <v>806</v>
      </c>
    </row>
    <row r="43" spans="1:15" ht="14">
      <c r="A43" s="189">
        <v>46097</v>
      </c>
      <c r="B43" s="189" t="s">
        <v>714</v>
      </c>
      <c r="C43" s="166"/>
      <c r="D43" s="20" t="s">
        <v>106</v>
      </c>
      <c r="E43" s="20" t="s">
        <v>59</v>
      </c>
      <c r="F43" s="186">
        <v>-500</v>
      </c>
      <c r="G43" s="167">
        <v>910.73</v>
      </c>
      <c r="H43" s="603">
        <v>898.49</v>
      </c>
      <c r="I43" s="176">
        <v>6.8114280626384316</v>
      </c>
      <c r="J43" s="39">
        <v>-1.3439768098119101E-2</v>
      </c>
      <c r="K43" s="98">
        <v>500</v>
      </c>
      <c r="L43" s="168">
        <v>-20</v>
      </c>
      <c r="M43" s="193">
        <v>46105</v>
      </c>
      <c r="N43" s="193">
        <v>46106</v>
      </c>
      <c r="O43" s="353" t="s">
        <v>806</v>
      </c>
    </row>
    <row r="44" spans="1:15" ht="14">
      <c r="A44" s="189">
        <v>46097</v>
      </c>
      <c r="B44" s="189" t="s">
        <v>714</v>
      </c>
      <c r="C44" s="166"/>
      <c r="D44" s="20" t="s">
        <v>106</v>
      </c>
      <c r="E44" s="20" t="s">
        <v>59</v>
      </c>
      <c r="F44" s="186">
        <v>500</v>
      </c>
      <c r="G44" s="167">
        <v>908.67</v>
      </c>
      <c r="H44" s="603">
        <v>898.49</v>
      </c>
      <c r="I44" s="176">
        <v>-5.665060267782585</v>
      </c>
      <c r="J44" s="39">
        <v>-1.1203187075615956E-2</v>
      </c>
      <c r="K44" s="98">
        <v>500</v>
      </c>
      <c r="L44" s="168">
        <v>-20</v>
      </c>
      <c r="M44" s="193">
        <v>46105</v>
      </c>
      <c r="N44" s="193">
        <v>46106</v>
      </c>
      <c r="O44" s="353" t="s">
        <v>806</v>
      </c>
    </row>
    <row r="45" spans="1:15" ht="14">
      <c r="A45" s="189">
        <v>46097</v>
      </c>
      <c r="B45" s="189" t="s">
        <v>714</v>
      </c>
      <c r="C45" s="166"/>
      <c r="D45" s="20" t="s">
        <v>106</v>
      </c>
      <c r="E45" s="20" t="s">
        <v>59</v>
      </c>
      <c r="F45" s="186">
        <v>-500</v>
      </c>
      <c r="G45" s="167">
        <v>905.86</v>
      </c>
      <c r="H45" s="603">
        <v>898.49</v>
      </c>
      <c r="I45" s="176">
        <v>4.1013255573239569</v>
      </c>
      <c r="J45" s="39">
        <v>-8.1359150420594849E-3</v>
      </c>
      <c r="K45" s="98">
        <v>500</v>
      </c>
      <c r="L45" s="168">
        <v>-20</v>
      </c>
      <c r="M45" s="193">
        <v>46105</v>
      </c>
      <c r="N45" s="193">
        <v>46106</v>
      </c>
      <c r="O45" s="353" t="s">
        <v>806</v>
      </c>
    </row>
    <row r="46" spans="1:15" ht="14">
      <c r="A46" s="189">
        <v>46097</v>
      </c>
      <c r="B46" s="189" t="s">
        <v>714</v>
      </c>
      <c r="C46" s="166"/>
      <c r="D46" s="20" t="s">
        <v>106</v>
      </c>
      <c r="E46" s="20" t="s">
        <v>59</v>
      </c>
      <c r="F46" s="186">
        <v>-500</v>
      </c>
      <c r="G46" s="167">
        <v>905.86</v>
      </c>
      <c r="H46" s="603">
        <v>898.49</v>
      </c>
      <c r="I46" s="176">
        <v>4.1013255573239569</v>
      </c>
      <c r="J46" s="39">
        <v>-8.1359150420594849E-3</v>
      </c>
      <c r="K46" s="98">
        <v>500</v>
      </c>
      <c r="L46" s="168">
        <v>-20</v>
      </c>
      <c r="M46" s="193">
        <v>46105</v>
      </c>
      <c r="N46" s="193">
        <v>46106</v>
      </c>
      <c r="O46" s="353" t="s">
        <v>806</v>
      </c>
    </row>
    <row r="47" spans="1:15" ht="14">
      <c r="A47" s="189">
        <v>46097</v>
      </c>
      <c r="B47" s="189" t="s">
        <v>714</v>
      </c>
      <c r="C47" s="166"/>
      <c r="D47" s="20" t="s">
        <v>106</v>
      </c>
      <c r="E47" s="20" t="s">
        <v>59</v>
      </c>
      <c r="F47" s="186">
        <v>500</v>
      </c>
      <c r="G47" s="167">
        <v>909.5</v>
      </c>
      <c r="H47" s="603">
        <v>898.49</v>
      </c>
      <c r="I47" s="176">
        <v>-6.1269463210497559</v>
      </c>
      <c r="J47" s="39">
        <v>-1.2105552501374371E-2</v>
      </c>
      <c r="K47" s="98">
        <v>500</v>
      </c>
      <c r="L47" s="168">
        <v>-20</v>
      </c>
      <c r="M47" s="193">
        <v>46105</v>
      </c>
      <c r="N47" s="193">
        <v>46106</v>
      </c>
      <c r="O47" s="353" t="s">
        <v>806</v>
      </c>
    </row>
    <row r="48" spans="1:15" ht="14">
      <c r="A48" s="189">
        <v>46097</v>
      </c>
      <c r="B48" s="189" t="s">
        <v>714</v>
      </c>
      <c r="C48" s="166"/>
      <c r="D48" s="20" t="s">
        <v>106</v>
      </c>
      <c r="E48" s="20" t="s">
        <v>59</v>
      </c>
      <c r="F48" s="186">
        <v>500</v>
      </c>
      <c r="G48" s="167">
        <v>910.82</v>
      </c>
      <c r="H48" s="603">
        <v>898.49</v>
      </c>
      <c r="I48" s="176">
        <v>-6.8615120925107904</v>
      </c>
      <c r="J48" s="39">
        <v>-1.3537252146417558E-2</v>
      </c>
      <c r="K48" s="98">
        <v>500</v>
      </c>
      <c r="L48" s="168">
        <v>-20</v>
      </c>
      <c r="M48" s="193">
        <v>46105</v>
      </c>
      <c r="N48" s="193">
        <v>46106</v>
      </c>
      <c r="O48" s="353" t="s">
        <v>806</v>
      </c>
    </row>
    <row r="49" spans="1:15" ht="14">
      <c r="A49" s="189"/>
      <c r="B49" s="189"/>
      <c r="C49" s="166"/>
      <c r="D49" s="20" t="s">
        <v>106</v>
      </c>
      <c r="E49" s="20" t="s">
        <v>59</v>
      </c>
      <c r="F49" s="186"/>
      <c r="G49" s="167"/>
      <c r="H49" s="603">
        <v>898.49</v>
      </c>
      <c r="I49" s="176">
        <v>0</v>
      </c>
      <c r="J49" s="39" t="s">
        <v>805</v>
      </c>
      <c r="K49" s="98">
        <v>0</v>
      </c>
      <c r="L49" s="168" t="s">
        <v>805</v>
      </c>
      <c r="M49" s="193"/>
      <c r="N49" s="193"/>
      <c r="O49" s="353">
        <v>0</v>
      </c>
    </row>
    <row r="50" spans="1:15" ht="14">
      <c r="A50" s="189"/>
      <c r="B50" s="189"/>
      <c r="C50" s="166"/>
      <c r="D50" s="20" t="s">
        <v>106</v>
      </c>
      <c r="E50" s="20" t="s">
        <v>59</v>
      </c>
      <c r="F50" s="186"/>
      <c r="G50" s="167"/>
      <c r="H50" s="603">
        <v>898.49</v>
      </c>
      <c r="I50" s="176">
        <v>0</v>
      </c>
      <c r="J50" s="39" t="s">
        <v>805</v>
      </c>
      <c r="K50" s="98">
        <v>0</v>
      </c>
      <c r="L50" s="168" t="s">
        <v>805</v>
      </c>
      <c r="M50" s="193"/>
      <c r="N50" s="193"/>
      <c r="O50" s="353">
        <v>0</v>
      </c>
    </row>
    <row r="51" spans="1:15" ht="14">
      <c r="A51" s="189"/>
      <c r="B51" s="189"/>
      <c r="C51" s="166"/>
      <c r="D51" s="20" t="s">
        <v>106</v>
      </c>
      <c r="E51" s="20" t="s">
        <v>59</v>
      </c>
      <c r="F51" s="186"/>
      <c r="G51" s="167"/>
      <c r="H51" s="603">
        <v>898.49</v>
      </c>
      <c r="I51" s="176">
        <v>0</v>
      </c>
      <c r="J51" s="39" t="s">
        <v>805</v>
      </c>
      <c r="K51" s="98">
        <v>0</v>
      </c>
      <c r="L51" s="168" t="s">
        <v>805</v>
      </c>
      <c r="M51" s="193"/>
      <c r="N51" s="193"/>
      <c r="O51" s="353">
        <v>0</v>
      </c>
    </row>
    <row r="52" spans="1:15" ht="14">
      <c r="A52" s="189"/>
      <c r="B52" s="189"/>
      <c r="C52" s="166"/>
      <c r="D52" s="20" t="s">
        <v>106</v>
      </c>
      <c r="E52" s="20" t="s">
        <v>59</v>
      </c>
      <c r="F52" s="186"/>
      <c r="G52" s="186"/>
      <c r="H52" s="603">
        <v>898.49</v>
      </c>
      <c r="I52" s="176">
        <v>0</v>
      </c>
      <c r="J52" s="39" t="s">
        <v>805</v>
      </c>
      <c r="K52" s="98">
        <v>0</v>
      </c>
      <c r="L52" s="168" t="s">
        <v>805</v>
      </c>
      <c r="M52" s="193"/>
      <c r="N52" s="193"/>
      <c r="O52" s="353">
        <v>0</v>
      </c>
    </row>
    <row r="53" spans="1:15" ht="14">
      <c r="A53" s="189"/>
      <c r="B53" s="189"/>
      <c r="C53" s="166"/>
      <c r="D53" s="20" t="s">
        <v>106</v>
      </c>
      <c r="E53" s="20" t="s">
        <v>59</v>
      </c>
      <c r="F53" s="186"/>
      <c r="G53" s="167"/>
      <c r="H53" s="603">
        <v>898.49</v>
      </c>
      <c r="I53" s="176">
        <v>0</v>
      </c>
      <c r="J53" s="39" t="s">
        <v>805</v>
      </c>
      <c r="K53" s="98">
        <v>0</v>
      </c>
      <c r="L53" s="168" t="s">
        <v>805</v>
      </c>
      <c r="M53" s="193"/>
      <c r="N53" s="193"/>
      <c r="O53" s="353">
        <v>0</v>
      </c>
    </row>
    <row r="54" spans="1:15" ht="14">
      <c r="A54" s="189"/>
      <c r="B54" s="189"/>
      <c r="C54" s="166"/>
      <c r="D54" s="20" t="s">
        <v>106</v>
      </c>
      <c r="E54" s="20" t="s">
        <v>59</v>
      </c>
      <c r="F54" s="186"/>
      <c r="G54" s="167"/>
      <c r="H54" s="603">
        <v>898.49</v>
      </c>
      <c r="I54" s="176">
        <v>0</v>
      </c>
      <c r="J54" s="39" t="s">
        <v>805</v>
      </c>
      <c r="K54" s="98">
        <v>0</v>
      </c>
      <c r="L54" s="168" t="s">
        <v>805</v>
      </c>
      <c r="M54" s="193"/>
      <c r="N54" s="193"/>
      <c r="O54" s="353">
        <v>0</v>
      </c>
    </row>
    <row r="55" spans="1:15" ht="14">
      <c r="A55" s="189"/>
      <c r="B55" s="189"/>
      <c r="C55" s="166"/>
      <c r="D55" s="20" t="s">
        <v>106</v>
      </c>
      <c r="E55" s="20" t="s">
        <v>59</v>
      </c>
      <c r="F55" s="186"/>
      <c r="G55" s="167"/>
      <c r="H55" s="603">
        <v>898.49</v>
      </c>
      <c r="I55" s="176">
        <v>0</v>
      </c>
      <c r="J55" s="39" t="s">
        <v>805</v>
      </c>
      <c r="K55" s="98">
        <v>0</v>
      </c>
      <c r="L55" s="168" t="s">
        <v>805</v>
      </c>
      <c r="M55" s="193"/>
      <c r="N55" s="193"/>
      <c r="O55" s="353">
        <v>0</v>
      </c>
    </row>
    <row r="56" spans="1:15" ht="14">
      <c r="A56" s="189"/>
      <c r="B56" s="189"/>
      <c r="C56" s="166"/>
      <c r="D56" s="20" t="s">
        <v>106</v>
      </c>
      <c r="E56" s="20" t="s">
        <v>59</v>
      </c>
      <c r="F56" s="186"/>
      <c r="G56" s="167"/>
      <c r="H56" s="603">
        <v>898.49</v>
      </c>
      <c r="I56" s="176">
        <v>0</v>
      </c>
      <c r="J56" s="39" t="s">
        <v>805</v>
      </c>
      <c r="K56" s="98">
        <v>0</v>
      </c>
      <c r="L56" s="168" t="s">
        <v>805</v>
      </c>
      <c r="M56" s="193"/>
      <c r="N56" s="193"/>
      <c r="O56" s="353">
        <v>0</v>
      </c>
    </row>
    <row r="57" spans="1:15" ht="14">
      <c r="A57" s="189"/>
      <c r="B57" s="189"/>
      <c r="C57" s="166"/>
      <c r="D57" s="20" t="s">
        <v>106</v>
      </c>
      <c r="E57" s="20" t="s">
        <v>59</v>
      </c>
      <c r="F57" s="186"/>
      <c r="G57" s="167"/>
      <c r="H57" s="603">
        <v>898.49</v>
      </c>
      <c r="I57" s="176">
        <v>0</v>
      </c>
      <c r="J57" s="39" t="s">
        <v>805</v>
      </c>
      <c r="K57" s="98">
        <v>0</v>
      </c>
      <c r="L57" s="168" t="s">
        <v>805</v>
      </c>
      <c r="M57" s="193"/>
      <c r="N57" s="193"/>
      <c r="O57" s="353">
        <v>0</v>
      </c>
    </row>
    <row r="58" spans="1:15" ht="14">
      <c r="A58" s="189"/>
      <c r="B58" s="189"/>
      <c r="C58" s="166"/>
      <c r="D58" s="20" t="s">
        <v>106</v>
      </c>
      <c r="E58" s="20" t="s">
        <v>59</v>
      </c>
      <c r="F58" s="186"/>
      <c r="G58" s="167"/>
      <c r="H58" s="603">
        <v>898.49</v>
      </c>
      <c r="I58" s="176">
        <v>0</v>
      </c>
      <c r="J58" s="39" t="s">
        <v>805</v>
      </c>
      <c r="K58" s="98">
        <v>0</v>
      </c>
      <c r="L58" s="168" t="s">
        <v>805</v>
      </c>
      <c r="M58" s="193"/>
      <c r="N58" s="193"/>
      <c r="O58" s="353">
        <v>0</v>
      </c>
    </row>
    <row r="59" spans="1:15" ht="14">
      <c r="A59" s="189"/>
      <c r="B59" s="189"/>
      <c r="C59" s="166"/>
      <c r="D59" s="20" t="s">
        <v>106</v>
      </c>
      <c r="E59" s="20" t="s">
        <v>59</v>
      </c>
      <c r="F59" s="186"/>
      <c r="G59" s="167"/>
      <c r="H59" s="603">
        <v>898.49</v>
      </c>
      <c r="I59" s="176">
        <v>0</v>
      </c>
      <c r="J59" s="39" t="s">
        <v>805</v>
      </c>
      <c r="K59" s="98">
        <v>0</v>
      </c>
      <c r="L59" s="168" t="s">
        <v>805</v>
      </c>
      <c r="M59" s="193"/>
      <c r="N59" s="193"/>
      <c r="O59" s="353">
        <v>0</v>
      </c>
    </row>
    <row r="60" spans="1:15" ht="14">
      <c r="A60" s="189"/>
      <c r="B60" s="189"/>
      <c r="C60" s="166"/>
      <c r="D60" s="20" t="s">
        <v>106</v>
      </c>
      <c r="E60" s="20" t="s">
        <v>59</v>
      </c>
      <c r="F60" s="186"/>
      <c r="G60" s="167"/>
      <c r="H60" s="603">
        <v>898.49</v>
      </c>
      <c r="I60" s="176">
        <v>0</v>
      </c>
      <c r="J60" s="39" t="s">
        <v>805</v>
      </c>
      <c r="K60" s="98">
        <v>0</v>
      </c>
      <c r="L60" s="168" t="s">
        <v>805</v>
      </c>
      <c r="M60" s="193"/>
      <c r="N60" s="193"/>
      <c r="O60" s="353">
        <v>0</v>
      </c>
    </row>
    <row r="61" spans="1:15" ht="14">
      <c r="A61" s="189"/>
      <c r="B61" s="189"/>
      <c r="C61" s="166"/>
      <c r="D61" s="20" t="s">
        <v>106</v>
      </c>
      <c r="E61" s="20" t="s">
        <v>59</v>
      </c>
      <c r="F61" s="186"/>
      <c r="G61" s="167"/>
      <c r="H61" s="603">
        <v>898.49</v>
      </c>
      <c r="I61" s="176">
        <v>0</v>
      </c>
      <c r="J61" s="39" t="s">
        <v>805</v>
      </c>
      <c r="K61" s="98">
        <v>0</v>
      </c>
      <c r="L61" s="168" t="s">
        <v>805</v>
      </c>
      <c r="M61" s="193"/>
      <c r="N61" s="193"/>
      <c r="O61" s="353">
        <v>0</v>
      </c>
    </row>
    <row r="62" spans="1:15" ht="14">
      <c r="A62" s="189"/>
      <c r="B62" s="189"/>
      <c r="C62" s="166"/>
      <c r="D62" s="20" t="s">
        <v>106</v>
      </c>
      <c r="E62" s="20" t="s">
        <v>59</v>
      </c>
      <c r="F62" s="186"/>
      <c r="G62" s="167"/>
      <c r="H62" s="603">
        <v>898.49</v>
      </c>
      <c r="I62" s="176">
        <v>0</v>
      </c>
      <c r="J62" s="39" t="s">
        <v>805</v>
      </c>
      <c r="K62" s="98">
        <v>0</v>
      </c>
      <c r="L62" s="168" t="s">
        <v>805</v>
      </c>
      <c r="M62" s="193"/>
      <c r="N62" s="193"/>
      <c r="O62" s="353">
        <v>0</v>
      </c>
    </row>
    <row r="63" spans="1:15" ht="14">
      <c r="A63" s="189"/>
      <c r="B63" s="189"/>
      <c r="C63" s="166"/>
      <c r="D63" s="20" t="s">
        <v>106</v>
      </c>
      <c r="E63" s="20" t="s">
        <v>59</v>
      </c>
      <c r="F63" s="186"/>
      <c r="G63" s="167"/>
      <c r="H63" s="603">
        <v>898.49</v>
      </c>
      <c r="I63" s="176">
        <v>0</v>
      </c>
      <c r="J63" s="39" t="s">
        <v>805</v>
      </c>
      <c r="K63" s="98">
        <v>0</v>
      </c>
      <c r="L63" s="168" t="s">
        <v>805</v>
      </c>
      <c r="M63" s="193"/>
      <c r="N63" s="193"/>
      <c r="O63" s="353">
        <v>0</v>
      </c>
    </row>
    <row r="64" spans="1:15" ht="14">
      <c r="A64" s="189"/>
      <c r="B64" s="189"/>
      <c r="C64" s="166"/>
      <c r="D64" s="20" t="s">
        <v>106</v>
      </c>
      <c r="E64" s="20" t="s">
        <v>59</v>
      </c>
      <c r="F64" s="186"/>
      <c r="G64" s="167"/>
      <c r="H64" s="603">
        <v>898.49</v>
      </c>
      <c r="I64" s="176">
        <v>0</v>
      </c>
      <c r="J64" s="39" t="s">
        <v>805</v>
      </c>
      <c r="K64" s="98">
        <v>0</v>
      </c>
      <c r="L64" s="168" t="s">
        <v>805</v>
      </c>
      <c r="M64" s="193"/>
      <c r="N64" s="193"/>
      <c r="O64" s="353">
        <v>0</v>
      </c>
    </row>
    <row r="65" spans="1:15" ht="14">
      <c r="A65" s="189"/>
      <c r="B65" s="189"/>
      <c r="C65" s="166"/>
      <c r="D65" s="20" t="s">
        <v>106</v>
      </c>
      <c r="E65" s="20" t="s">
        <v>59</v>
      </c>
      <c r="F65" s="186"/>
      <c r="G65" s="167"/>
      <c r="H65" s="603">
        <v>898.49</v>
      </c>
      <c r="I65" s="176">
        <v>0</v>
      </c>
      <c r="J65" s="39" t="s">
        <v>805</v>
      </c>
      <c r="K65" s="98">
        <v>0</v>
      </c>
      <c r="L65" s="168" t="s">
        <v>805</v>
      </c>
      <c r="M65" s="193"/>
      <c r="N65" s="193"/>
      <c r="O65" s="353">
        <v>0</v>
      </c>
    </row>
    <row r="66" spans="1:15" ht="14">
      <c r="A66" s="189"/>
      <c r="B66" s="189"/>
      <c r="C66" s="166"/>
      <c r="D66" s="20" t="s">
        <v>106</v>
      </c>
      <c r="E66" s="20" t="s">
        <v>59</v>
      </c>
      <c r="F66" s="186"/>
      <c r="G66" s="167"/>
      <c r="H66" s="603">
        <v>898.49</v>
      </c>
      <c r="I66" s="176">
        <v>0</v>
      </c>
      <c r="J66" s="39" t="s">
        <v>805</v>
      </c>
      <c r="K66" s="98">
        <v>0</v>
      </c>
      <c r="L66" s="168" t="s">
        <v>805</v>
      </c>
      <c r="M66" s="193"/>
      <c r="N66" s="193"/>
      <c r="O66" s="353">
        <v>0</v>
      </c>
    </row>
    <row r="67" spans="1:15" ht="14">
      <c r="A67" s="189"/>
      <c r="B67" s="189"/>
      <c r="C67" s="166"/>
      <c r="D67" s="20" t="s">
        <v>106</v>
      </c>
      <c r="E67" s="20" t="s">
        <v>59</v>
      </c>
      <c r="F67" s="186"/>
      <c r="G67" s="167"/>
      <c r="H67" s="603">
        <v>898.49</v>
      </c>
      <c r="I67" s="176">
        <v>0</v>
      </c>
      <c r="J67" s="39" t="s">
        <v>805</v>
      </c>
      <c r="K67" s="98">
        <v>0</v>
      </c>
      <c r="L67" s="168" t="s">
        <v>805</v>
      </c>
      <c r="M67" s="193"/>
      <c r="N67" s="193"/>
      <c r="O67" s="353">
        <v>0</v>
      </c>
    </row>
    <row r="68" spans="1:15" ht="14">
      <c r="A68" s="189"/>
      <c r="B68" s="189"/>
      <c r="C68" s="166"/>
      <c r="D68" s="20" t="s">
        <v>106</v>
      </c>
      <c r="E68" s="20" t="s">
        <v>59</v>
      </c>
      <c r="F68" s="186"/>
      <c r="G68" s="167"/>
      <c r="H68" s="603">
        <v>898.49</v>
      </c>
      <c r="I68" s="176">
        <v>0</v>
      </c>
      <c r="J68" s="39" t="s">
        <v>805</v>
      </c>
      <c r="K68" s="98">
        <v>0</v>
      </c>
      <c r="L68" s="168" t="s">
        <v>805</v>
      </c>
      <c r="M68" s="193"/>
      <c r="N68" s="193"/>
      <c r="O68" s="353">
        <v>0</v>
      </c>
    </row>
    <row r="69" spans="1:15" ht="14">
      <c r="A69" s="189"/>
      <c r="B69" s="189"/>
      <c r="C69" s="166"/>
      <c r="D69" s="20" t="s">
        <v>106</v>
      </c>
      <c r="E69" s="20" t="s">
        <v>59</v>
      </c>
      <c r="F69" s="186"/>
      <c r="G69" s="167"/>
      <c r="H69" s="603">
        <v>898.49</v>
      </c>
      <c r="I69" s="176">
        <v>0</v>
      </c>
      <c r="J69" s="39" t="s">
        <v>805</v>
      </c>
      <c r="K69" s="98">
        <v>0</v>
      </c>
      <c r="L69" s="168" t="s">
        <v>805</v>
      </c>
      <c r="M69" s="193"/>
      <c r="N69" s="193"/>
      <c r="O69" s="353">
        <v>0</v>
      </c>
    </row>
    <row r="70" spans="1:15" ht="14">
      <c r="A70" s="189"/>
      <c r="B70" s="189"/>
      <c r="C70" s="166"/>
      <c r="D70" s="20" t="s">
        <v>106</v>
      </c>
      <c r="E70" s="20" t="s">
        <v>59</v>
      </c>
      <c r="F70" s="186"/>
      <c r="G70" s="167"/>
      <c r="H70" s="603">
        <v>898.49</v>
      </c>
      <c r="I70" s="176">
        <v>0</v>
      </c>
      <c r="J70" s="39" t="s">
        <v>805</v>
      </c>
      <c r="K70" s="98">
        <v>0</v>
      </c>
      <c r="L70" s="168" t="s">
        <v>805</v>
      </c>
      <c r="M70" s="193"/>
      <c r="N70" s="193"/>
      <c r="O70" s="353">
        <v>0</v>
      </c>
    </row>
    <row r="71" spans="1:15" ht="14">
      <c r="A71" s="189"/>
      <c r="B71" s="189"/>
      <c r="C71" s="166"/>
      <c r="D71" s="20" t="s">
        <v>106</v>
      </c>
      <c r="E71" s="20" t="s">
        <v>59</v>
      </c>
      <c r="F71" s="186"/>
      <c r="G71" s="167"/>
      <c r="H71" s="603">
        <v>898.49</v>
      </c>
      <c r="I71" s="176">
        <v>0</v>
      </c>
      <c r="J71" s="39" t="s">
        <v>805</v>
      </c>
      <c r="K71" s="98">
        <v>0</v>
      </c>
      <c r="L71" s="168" t="s">
        <v>805</v>
      </c>
      <c r="M71" s="193"/>
      <c r="N71" s="193"/>
      <c r="O71" s="353">
        <v>0</v>
      </c>
    </row>
    <row r="72" spans="1:15" ht="14">
      <c r="A72" s="189"/>
      <c r="B72" s="189"/>
      <c r="C72" s="166"/>
      <c r="D72" s="20" t="s">
        <v>106</v>
      </c>
      <c r="E72" s="20" t="s">
        <v>59</v>
      </c>
      <c r="F72" s="186"/>
      <c r="G72" s="167"/>
      <c r="H72" s="603">
        <v>898.49</v>
      </c>
      <c r="I72" s="176">
        <v>0</v>
      </c>
      <c r="J72" s="39" t="s">
        <v>805</v>
      </c>
      <c r="K72" s="98">
        <v>0</v>
      </c>
      <c r="L72" s="168" t="s">
        <v>805</v>
      </c>
      <c r="M72" s="193"/>
      <c r="N72" s="193"/>
      <c r="O72" s="353">
        <v>0</v>
      </c>
    </row>
    <row r="73" spans="1:15" ht="14">
      <c r="A73" s="189"/>
      <c r="B73" s="189"/>
      <c r="C73" s="166"/>
      <c r="D73" s="20" t="s">
        <v>106</v>
      </c>
      <c r="E73" s="20" t="s">
        <v>59</v>
      </c>
      <c r="F73" s="186"/>
      <c r="G73" s="167"/>
      <c r="H73" s="603">
        <v>898.49</v>
      </c>
      <c r="I73" s="176">
        <v>0</v>
      </c>
      <c r="J73" s="39" t="s">
        <v>805</v>
      </c>
      <c r="K73" s="98">
        <v>0</v>
      </c>
      <c r="L73" s="168" t="s">
        <v>805</v>
      </c>
      <c r="M73" s="193"/>
      <c r="N73" s="193"/>
      <c r="O73" s="353">
        <v>0</v>
      </c>
    </row>
    <row r="74" spans="1:15" ht="14">
      <c r="A74" s="189"/>
      <c r="B74" s="189"/>
      <c r="C74" s="166"/>
      <c r="D74" s="20" t="s">
        <v>106</v>
      </c>
      <c r="E74" s="20" t="s">
        <v>59</v>
      </c>
      <c r="F74" s="186"/>
      <c r="G74" s="167"/>
      <c r="H74" s="603">
        <v>898.49</v>
      </c>
      <c r="I74" s="176">
        <v>0</v>
      </c>
      <c r="J74" s="39" t="s">
        <v>805</v>
      </c>
      <c r="K74" s="98">
        <v>0</v>
      </c>
      <c r="L74" s="168" t="s">
        <v>805</v>
      </c>
      <c r="M74" s="193"/>
      <c r="N74" s="193"/>
      <c r="O74" s="353">
        <v>0</v>
      </c>
    </row>
    <row r="75" spans="1:15" ht="14">
      <c r="A75" s="189"/>
      <c r="B75" s="189"/>
      <c r="C75" s="166"/>
      <c r="D75" s="20" t="s">
        <v>106</v>
      </c>
      <c r="E75" s="20" t="s">
        <v>59</v>
      </c>
      <c r="F75" s="186"/>
      <c r="G75" s="167"/>
      <c r="H75" s="603">
        <v>898.49</v>
      </c>
      <c r="I75" s="176">
        <v>0</v>
      </c>
      <c r="J75" s="39" t="s">
        <v>805</v>
      </c>
      <c r="K75" s="98">
        <v>0</v>
      </c>
      <c r="L75" s="168" t="s">
        <v>805</v>
      </c>
      <c r="M75" s="193"/>
      <c r="N75" s="193"/>
      <c r="O75" s="353">
        <v>0</v>
      </c>
    </row>
    <row r="76" spans="1:15" ht="14">
      <c r="A76" s="189"/>
      <c r="B76" s="189"/>
      <c r="C76" s="166"/>
      <c r="D76" s="20" t="s">
        <v>106</v>
      </c>
      <c r="E76" s="20" t="s">
        <v>59</v>
      </c>
      <c r="F76" s="186"/>
      <c r="G76" s="167"/>
      <c r="H76" s="603">
        <v>898.49</v>
      </c>
      <c r="I76" s="176">
        <v>0</v>
      </c>
      <c r="J76" s="39" t="s">
        <v>805</v>
      </c>
      <c r="K76" s="98">
        <v>0</v>
      </c>
      <c r="L76" s="168" t="s">
        <v>805</v>
      </c>
      <c r="M76" s="193"/>
      <c r="N76" s="193"/>
      <c r="O76" s="353">
        <v>0</v>
      </c>
    </row>
    <row r="77" spans="1:15" ht="14">
      <c r="A77" s="189"/>
      <c r="B77" s="189"/>
      <c r="C77" s="166"/>
      <c r="D77" s="20" t="s">
        <v>106</v>
      </c>
      <c r="E77" s="20" t="s">
        <v>59</v>
      </c>
      <c r="F77" s="186"/>
      <c r="G77" s="167"/>
      <c r="H77" s="603">
        <v>898.49</v>
      </c>
      <c r="I77" s="176">
        <v>0</v>
      </c>
      <c r="J77" s="39" t="s">
        <v>805</v>
      </c>
      <c r="K77" s="98">
        <v>0</v>
      </c>
      <c r="L77" s="168" t="s">
        <v>805</v>
      </c>
      <c r="M77" s="193"/>
      <c r="N77" s="193"/>
      <c r="O77" s="353">
        <v>0</v>
      </c>
    </row>
    <row r="78" spans="1:15" ht="14">
      <c r="A78" s="189"/>
      <c r="B78" s="189"/>
      <c r="C78" s="166"/>
      <c r="D78" s="20" t="s">
        <v>106</v>
      </c>
      <c r="E78" s="20" t="s">
        <v>59</v>
      </c>
      <c r="F78" s="186"/>
      <c r="G78" s="167"/>
      <c r="H78" s="603">
        <v>898.49</v>
      </c>
      <c r="I78" s="176">
        <v>0</v>
      </c>
      <c r="J78" s="39" t="s">
        <v>805</v>
      </c>
      <c r="K78" s="98">
        <v>0</v>
      </c>
      <c r="L78" s="168" t="s">
        <v>805</v>
      </c>
      <c r="M78" s="193"/>
      <c r="N78" s="193"/>
      <c r="O78" s="353">
        <v>0</v>
      </c>
    </row>
    <row r="79" spans="1:15" ht="14">
      <c r="A79" s="189"/>
      <c r="B79" s="189"/>
      <c r="C79" s="166"/>
      <c r="D79" s="20" t="s">
        <v>106</v>
      </c>
      <c r="E79" s="20" t="s">
        <v>59</v>
      </c>
      <c r="F79" s="186"/>
      <c r="G79" s="167"/>
      <c r="H79" s="603">
        <v>898.49</v>
      </c>
      <c r="I79" s="176">
        <v>0</v>
      </c>
      <c r="J79" s="39" t="s">
        <v>805</v>
      </c>
      <c r="K79" s="98">
        <v>0</v>
      </c>
      <c r="L79" s="168" t="s">
        <v>805</v>
      </c>
      <c r="M79" s="193"/>
      <c r="N79" s="193"/>
      <c r="O79" s="353">
        <v>0</v>
      </c>
    </row>
    <row r="80" spans="1:15" ht="14">
      <c r="A80" s="189"/>
      <c r="B80" s="189"/>
      <c r="C80" s="166"/>
      <c r="D80" s="20" t="s">
        <v>106</v>
      </c>
      <c r="E80" s="20" t="s">
        <v>59</v>
      </c>
      <c r="F80" s="186"/>
      <c r="G80" s="167"/>
      <c r="H80" s="603">
        <v>898.49</v>
      </c>
      <c r="I80" s="176">
        <v>0</v>
      </c>
      <c r="J80" s="39" t="s">
        <v>805</v>
      </c>
      <c r="K80" s="98">
        <v>0</v>
      </c>
      <c r="L80" s="168" t="s">
        <v>805</v>
      </c>
      <c r="M80" s="193"/>
      <c r="N80" s="193"/>
      <c r="O80" s="353">
        <v>0</v>
      </c>
    </row>
    <row r="81" spans="1:15" ht="14">
      <c r="A81" s="189"/>
      <c r="B81" s="189"/>
      <c r="C81" s="166"/>
      <c r="D81" s="20" t="s">
        <v>106</v>
      </c>
      <c r="E81" s="20" t="s">
        <v>59</v>
      </c>
      <c r="F81" s="186"/>
      <c r="G81" s="167"/>
      <c r="H81" s="603">
        <v>898.49</v>
      </c>
      <c r="I81" s="176">
        <v>0</v>
      </c>
      <c r="J81" s="39" t="s">
        <v>805</v>
      </c>
      <c r="K81" s="98">
        <v>0</v>
      </c>
      <c r="L81" s="168" t="s">
        <v>805</v>
      </c>
      <c r="M81" s="193"/>
      <c r="N81" s="193"/>
      <c r="O81" s="353">
        <v>0</v>
      </c>
    </row>
    <row r="82" spans="1:15" ht="14">
      <c r="A82" s="189"/>
      <c r="B82" s="189"/>
      <c r="C82" s="166"/>
      <c r="D82" s="20" t="s">
        <v>106</v>
      </c>
      <c r="E82" s="20" t="s">
        <v>59</v>
      </c>
      <c r="F82" s="186"/>
      <c r="G82" s="167"/>
      <c r="H82" s="603">
        <v>898.49</v>
      </c>
      <c r="I82" s="176">
        <v>0</v>
      </c>
      <c r="J82" s="39" t="s">
        <v>805</v>
      </c>
      <c r="K82" s="98">
        <v>0</v>
      </c>
      <c r="L82" s="168" t="s">
        <v>805</v>
      </c>
      <c r="M82" s="193"/>
      <c r="N82" s="193"/>
      <c r="O82" s="353">
        <v>0</v>
      </c>
    </row>
    <row r="83" spans="1:15" ht="14">
      <c r="A83" s="189"/>
      <c r="B83" s="189"/>
      <c r="C83" s="166"/>
      <c r="D83" s="20" t="s">
        <v>106</v>
      </c>
      <c r="E83" s="20" t="s">
        <v>59</v>
      </c>
      <c r="F83" s="186"/>
      <c r="G83" s="167"/>
      <c r="H83" s="603">
        <v>898.49</v>
      </c>
      <c r="I83" s="176">
        <v>0</v>
      </c>
      <c r="J83" s="39" t="s">
        <v>805</v>
      </c>
      <c r="K83" s="98">
        <v>0</v>
      </c>
      <c r="L83" s="168" t="s">
        <v>805</v>
      </c>
      <c r="M83" s="193"/>
      <c r="N83" s="193"/>
      <c r="O83" s="353">
        <v>0</v>
      </c>
    </row>
    <row r="84" spans="1:15" ht="14">
      <c r="A84" s="189"/>
      <c r="B84" s="189"/>
      <c r="C84" s="166"/>
      <c r="D84" s="20" t="s">
        <v>106</v>
      </c>
      <c r="E84" s="20" t="s">
        <v>59</v>
      </c>
      <c r="F84" s="186"/>
      <c r="G84" s="167"/>
      <c r="H84" s="603">
        <v>898.49</v>
      </c>
      <c r="I84" s="176">
        <v>0</v>
      </c>
      <c r="J84" s="39" t="s">
        <v>805</v>
      </c>
      <c r="K84" s="98">
        <v>0</v>
      </c>
      <c r="L84" s="168" t="s">
        <v>805</v>
      </c>
      <c r="M84" s="193"/>
      <c r="N84" s="193"/>
      <c r="O84" s="353">
        <v>0</v>
      </c>
    </row>
    <row r="85" spans="1:15" ht="14">
      <c r="A85" s="189"/>
      <c r="B85" s="189"/>
      <c r="C85" s="166"/>
      <c r="D85" s="20" t="s">
        <v>106</v>
      </c>
      <c r="E85" s="20" t="s">
        <v>59</v>
      </c>
      <c r="F85" s="186"/>
      <c r="G85" s="167"/>
      <c r="H85" s="603">
        <v>898.49</v>
      </c>
      <c r="I85" s="176">
        <v>0</v>
      </c>
      <c r="J85" s="39" t="s">
        <v>805</v>
      </c>
      <c r="K85" s="98">
        <v>0</v>
      </c>
      <c r="L85" s="168" t="s">
        <v>805</v>
      </c>
      <c r="M85" s="193"/>
      <c r="N85" s="193"/>
      <c r="O85" s="353">
        <v>0</v>
      </c>
    </row>
    <row r="86" spans="1:15" ht="14">
      <c r="A86" s="189"/>
      <c r="B86" s="189"/>
      <c r="C86" s="166"/>
      <c r="D86" s="20" t="s">
        <v>106</v>
      </c>
      <c r="E86" s="20" t="s">
        <v>59</v>
      </c>
      <c r="F86" s="186"/>
      <c r="G86" s="167"/>
      <c r="H86" s="603">
        <v>898.49</v>
      </c>
      <c r="I86" s="176">
        <v>0</v>
      </c>
      <c r="J86" s="39" t="s">
        <v>805</v>
      </c>
      <c r="K86" s="98">
        <v>0</v>
      </c>
      <c r="L86" s="168" t="s">
        <v>805</v>
      </c>
      <c r="M86" s="193"/>
      <c r="N86" s="193"/>
      <c r="O86" s="353">
        <v>0</v>
      </c>
    </row>
    <row r="87" spans="1:15" ht="14">
      <c r="A87" s="189"/>
      <c r="B87" s="189"/>
      <c r="C87" s="166"/>
      <c r="D87" s="20" t="s">
        <v>106</v>
      </c>
      <c r="E87" s="20" t="s">
        <v>59</v>
      </c>
      <c r="F87" s="186"/>
      <c r="G87" s="186"/>
      <c r="H87" s="603">
        <v>898.49</v>
      </c>
      <c r="I87" s="176">
        <v>0</v>
      </c>
      <c r="J87" s="39" t="s">
        <v>805</v>
      </c>
      <c r="K87" s="98">
        <v>0</v>
      </c>
      <c r="L87" s="168" t="s">
        <v>805</v>
      </c>
      <c r="M87" s="193"/>
      <c r="N87" s="193"/>
      <c r="O87" s="353">
        <v>0</v>
      </c>
    </row>
    <row r="88" spans="1:15" ht="14">
      <c r="A88" s="189"/>
      <c r="B88" s="189"/>
      <c r="C88" s="166"/>
      <c r="D88" s="20" t="s">
        <v>106</v>
      </c>
      <c r="E88" s="20" t="s">
        <v>59</v>
      </c>
      <c r="F88" s="186"/>
      <c r="G88" s="186"/>
      <c r="H88" s="603">
        <v>898.49</v>
      </c>
      <c r="I88" s="176">
        <v>0</v>
      </c>
      <c r="J88" s="39" t="s">
        <v>805</v>
      </c>
      <c r="K88" s="98">
        <v>0</v>
      </c>
      <c r="L88" s="168" t="s">
        <v>805</v>
      </c>
      <c r="M88" s="193"/>
      <c r="N88" s="193"/>
      <c r="O88" s="353">
        <v>0</v>
      </c>
    </row>
    <row r="89" spans="1:15" ht="14">
      <c r="A89" s="189"/>
      <c r="B89" s="189"/>
      <c r="C89" s="166"/>
      <c r="D89" s="20" t="s">
        <v>106</v>
      </c>
      <c r="E89" s="20" t="s">
        <v>59</v>
      </c>
      <c r="F89" s="186"/>
      <c r="G89" s="186"/>
      <c r="H89" s="603">
        <v>898.49</v>
      </c>
      <c r="I89" s="176">
        <v>0</v>
      </c>
      <c r="J89" s="39" t="s">
        <v>805</v>
      </c>
      <c r="K89" s="98">
        <v>0</v>
      </c>
      <c r="L89" s="168" t="s">
        <v>805</v>
      </c>
      <c r="M89" s="193"/>
      <c r="N89" s="193"/>
      <c r="O89" s="353">
        <v>0</v>
      </c>
    </row>
    <row r="90" spans="1:15" ht="14">
      <c r="A90" s="189"/>
      <c r="B90" s="189"/>
      <c r="C90" s="166"/>
      <c r="D90" s="20" t="s">
        <v>106</v>
      </c>
      <c r="E90" s="20" t="s">
        <v>59</v>
      </c>
      <c r="F90" s="186"/>
      <c r="G90" s="186"/>
      <c r="H90" s="603">
        <v>898.49</v>
      </c>
      <c r="I90" s="176">
        <v>0</v>
      </c>
      <c r="J90" s="39" t="s">
        <v>805</v>
      </c>
      <c r="K90" s="98">
        <v>0</v>
      </c>
      <c r="L90" s="168" t="s">
        <v>805</v>
      </c>
      <c r="M90" s="193"/>
      <c r="N90" s="193"/>
      <c r="O90" s="353">
        <v>0</v>
      </c>
    </row>
    <row r="91" spans="1:15" ht="14">
      <c r="A91" s="189"/>
      <c r="B91" s="189"/>
      <c r="C91" s="166"/>
      <c r="D91" s="20" t="s">
        <v>106</v>
      </c>
      <c r="E91" s="20" t="s">
        <v>59</v>
      </c>
      <c r="F91" s="186"/>
      <c r="G91" s="186"/>
      <c r="H91" s="603">
        <v>898.49</v>
      </c>
      <c r="I91" s="176">
        <v>0</v>
      </c>
      <c r="J91" s="39" t="s">
        <v>805</v>
      </c>
      <c r="K91" s="98">
        <v>0</v>
      </c>
      <c r="L91" s="168" t="s">
        <v>805</v>
      </c>
      <c r="M91" s="193"/>
      <c r="N91" s="193"/>
      <c r="O91" s="353">
        <v>0</v>
      </c>
    </row>
    <row r="92" spans="1:15" ht="14">
      <c r="A92" s="189"/>
      <c r="B92" s="189"/>
      <c r="C92" s="166"/>
      <c r="D92" s="20" t="s">
        <v>106</v>
      </c>
      <c r="E92" s="20" t="s">
        <v>59</v>
      </c>
      <c r="F92" s="186"/>
      <c r="G92" s="186"/>
      <c r="H92" s="603">
        <v>898.49</v>
      </c>
      <c r="I92" s="176">
        <v>0</v>
      </c>
      <c r="J92" s="39" t="s">
        <v>805</v>
      </c>
      <c r="K92" s="98">
        <v>0</v>
      </c>
      <c r="L92" s="168" t="s">
        <v>805</v>
      </c>
      <c r="M92" s="193"/>
      <c r="N92" s="193"/>
      <c r="O92" s="353">
        <v>0</v>
      </c>
    </row>
    <row r="93" spans="1:15" ht="14">
      <c r="A93" s="189"/>
      <c r="B93" s="189"/>
      <c r="C93" s="166"/>
      <c r="D93" s="20" t="s">
        <v>106</v>
      </c>
      <c r="E93" s="20" t="s">
        <v>59</v>
      </c>
      <c r="F93" s="186"/>
      <c r="G93" s="186"/>
      <c r="H93" s="603">
        <v>898.49</v>
      </c>
      <c r="I93" s="176">
        <v>0</v>
      </c>
      <c r="J93" s="39" t="s">
        <v>805</v>
      </c>
      <c r="K93" s="98">
        <v>0</v>
      </c>
      <c r="L93" s="168" t="s">
        <v>805</v>
      </c>
      <c r="M93" s="193"/>
      <c r="N93" s="193"/>
      <c r="O93" s="353">
        <v>0</v>
      </c>
    </row>
    <row r="94" spans="1:15" ht="14">
      <c r="A94" s="189"/>
      <c r="B94" s="189"/>
      <c r="C94" s="166"/>
      <c r="D94" s="20" t="s">
        <v>106</v>
      </c>
      <c r="E94" s="20" t="s">
        <v>59</v>
      </c>
      <c r="F94" s="186"/>
      <c r="G94" s="186"/>
      <c r="H94" s="603">
        <v>898.49</v>
      </c>
      <c r="I94" s="176">
        <v>0</v>
      </c>
      <c r="J94" s="39" t="s">
        <v>805</v>
      </c>
      <c r="K94" s="98">
        <v>0</v>
      </c>
      <c r="L94" s="168" t="s">
        <v>805</v>
      </c>
      <c r="M94" s="193"/>
      <c r="N94" s="193"/>
      <c r="O94" s="353">
        <v>0</v>
      </c>
    </row>
    <row r="95" spans="1:15" ht="14">
      <c r="A95" s="189"/>
      <c r="B95" s="189"/>
      <c r="C95" s="166"/>
      <c r="D95" s="20" t="s">
        <v>106</v>
      </c>
      <c r="E95" s="20" t="s">
        <v>59</v>
      </c>
      <c r="F95" s="186"/>
      <c r="G95" s="186"/>
      <c r="H95" s="603">
        <v>898.49</v>
      </c>
      <c r="I95" s="176">
        <v>0</v>
      </c>
      <c r="J95" s="39" t="s">
        <v>805</v>
      </c>
      <c r="K95" s="98">
        <v>0</v>
      </c>
      <c r="L95" s="168" t="s">
        <v>805</v>
      </c>
      <c r="M95" s="193"/>
      <c r="N95" s="193"/>
      <c r="O95" s="353">
        <v>0</v>
      </c>
    </row>
    <row r="96" spans="1:15" ht="14">
      <c r="A96" s="189"/>
      <c r="B96" s="189"/>
      <c r="C96" s="166"/>
      <c r="D96" s="20" t="s">
        <v>106</v>
      </c>
      <c r="E96" s="20" t="s">
        <v>59</v>
      </c>
      <c r="F96" s="186"/>
      <c r="G96" s="186"/>
      <c r="H96" s="603">
        <v>898.49</v>
      </c>
      <c r="I96" s="176">
        <v>0</v>
      </c>
      <c r="J96" s="39" t="s">
        <v>805</v>
      </c>
      <c r="K96" s="98">
        <v>0</v>
      </c>
      <c r="L96" s="168" t="s">
        <v>805</v>
      </c>
      <c r="M96" s="193"/>
      <c r="N96" s="193"/>
      <c r="O96" s="353">
        <v>0</v>
      </c>
    </row>
    <row r="97" spans="1:15" ht="14">
      <c r="A97" s="189"/>
      <c r="B97" s="189"/>
      <c r="C97" s="166"/>
      <c r="D97" s="20" t="s">
        <v>106</v>
      </c>
      <c r="E97" s="20" t="s">
        <v>59</v>
      </c>
      <c r="F97" s="186"/>
      <c r="G97" s="186"/>
      <c r="H97" s="603">
        <v>898.49</v>
      </c>
      <c r="I97" s="176">
        <v>0</v>
      </c>
      <c r="J97" s="39" t="s">
        <v>805</v>
      </c>
      <c r="K97" s="98">
        <v>0</v>
      </c>
      <c r="L97" s="168" t="s">
        <v>805</v>
      </c>
      <c r="M97" s="193"/>
      <c r="N97" s="193"/>
      <c r="O97" s="353">
        <v>0</v>
      </c>
    </row>
    <row r="98" spans="1:15" ht="14">
      <c r="A98" s="223"/>
      <c r="B98" s="224"/>
      <c r="C98" s="225"/>
      <c r="D98" s="224"/>
      <c r="E98" s="224"/>
      <c r="F98" s="226"/>
      <c r="G98" s="227"/>
      <c r="H98" s="245"/>
      <c r="I98" s="228"/>
      <c r="J98" s="229"/>
      <c r="K98" s="230"/>
      <c r="L98" s="231"/>
      <c r="M98" s="231"/>
      <c r="N98" s="232"/>
      <c r="O98" s="353"/>
    </row>
    <row r="99" spans="1:15" ht="14">
      <c r="A99" s="35"/>
      <c r="B99" s="35"/>
      <c r="C99" s="35"/>
      <c r="D99" s="35"/>
      <c r="E99" s="35"/>
      <c r="F99" s="41">
        <v>2000</v>
      </c>
      <c r="G99" s="40"/>
      <c r="H99" s="148" t="s">
        <v>23</v>
      </c>
      <c r="I99" s="180">
        <v>-44.652695077296357</v>
      </c>
      <c r="J99" s="42"/>
      <c r="K99" s="35"/>
      <c r="L99" s="35"/>
      <c r="M99" s="35"/>
      <c r="N99" s="163"/>
      <c r="O99" s="353"/>
    </row>
    <row r="100" spans="1:15" ht="14">
      <c r="F100" s="49"/>
      <c r="I100" s="179"/>
      <c r="O100" s="353"/>
    </row>
    <row r="101" spans="1:15" ht="14">
      <c r="E101" s="255"/>
      <c r="F101" s="256"/>
      <c r="H101" s="13" t="s">
        <v>123</v>
      </c>
      <c r="I101" s="252">
        <v>0</v>
      </c>
      <c r="J101" s="43"/>
      <c r="L101" s="44"/>
      <c r="O101" s="353"/>
    </row>
    <row r="102" spans="1:15" ht="14">
      <c r="E102" s="255"/>
      <c r="F102" s="249"/>
      <c r="G102" s="593"/>
      <c r="H102" s="13" t="s">
        <v>1</v>
      </c>
      <c r="I102" s="252">
        <v>0</v>
      </c>
      <c r="K102" s="344">
        <v>5</v>
      </c>
      <c r="L102" s="345">
        <v>0</v>
      </c>
      <c r="M102" s="162" t="s">
        <v>805</v>
      </c>
      <c r="O102" s="353"/>
    </row>
    <row r="103" spans="1:15" ht="14">
      <c r="E103" s="255"/>
      <c r="F103" s="247"/>
      <c r="H103" s="13" t="s">
        <v>108</v>
      </c>
      <c r="I103" s="253">
        <v>0</v>
      </c>
      <c r="K103" s="344">
        <v>7</v>
      </c>
      <c r="L103" s="345">
        <v>0</v>
      </c>
      <c r="M103" s="162" t="s">
        <v>805</v>
      </c>
      <c r="O103" s="353"/>
    </row>
    <row r="104" spans="1:15" ht="14">
      <c r="E104" s="255"/>
      <c r="F104" s="247"/>
      <c r="H104" s="13" t="s">
        <v>36</v>
      </c>
      <c r="I104" s="253">
        <v>0</v>
      </c>
      <c r="K104" s="344">
        <v>8</v>
      </c>
      <c r="L104" s="345">
        <v>0</v>
      </c>
      <c r="M104" s="162" t="s">
        <v>805</v>
      </c>
      <c r="O104" s="353"/>
    </row>
    <row r="105" spans="1:15" ht="14">
      <c r="E105" s="255"/>
      <c r="F105" s="247"/>
      <c r="G105" s="43"/>
      <c r="H105" s="255"/>
      <c r="I105" s="247"/>
      <c r="J105" s="49"/>
      <c r="K105" s="589">
        <v>12</v>
      </c>
      <c r="L105" s="345">
        <v>0</v>
      </c>
      <c r="O105" s="353"/>
    </row>
    <row r="106" spans="1:15" ht="14">
      <c r="F106" s="49"/>
      <c r="G106" s="43"/>
      <c r="I106" s="174"/>
      <c r="J106" s="44"/>
      <c r="K106" s="344">
        <v>13</v>
      </c>
      <c r="L106" s="345">
        <v>0</v>
      </c>
      <c r="O106" s="353"/>
    </row>
    <row r="107" spans="1:15" ht="14">
      <c r="I107" s="179"/>
      <c r="J107" s="43"/>
      <c r="O107" s="353"/>
    </row>
    <row r="108" spans="1:15">
      <c r="A108" s="36" t="s">
        <v>138</v>
      </c>
      <c r="B108" s="36" t="s">
        <v>35</v>
      </c>
      <c r="C108" s="36" t="s">
        <v>17</v>
      </c>
      <c r="D108" s="36" t="s">
        <v>25</v>
      </c>
      <c r="E108" s="36" t="s">
        <v>26</v>
      </c>
      <c r="F108" s="36" t="s">
        <v>18</v>
      </c>
      <c r="G108" s="36" t="s">
        <v>19</v>
      </c>
      <c r="H108" s="147" t="s">
        <v>21</v>
      </c>
      <c r="I108" s="216" t="s">
        <v>22</v>
      </c>
      <c r="J108" s="36" t="s">
        <v>27</v>
      </c>
      <c r="K108" s="36" t="s">
        <v>34</v>
      </c>
      <c r="L108" s="36" t="s">
        <v>55</v>
      </c>
      <c r="M108" s="36" t="s">
        <v>60</v>
      </c>
      <c r="N108" s="36" t="s">
        <v>139</v>
      </c>
      <c r="O108" s="353"/>
    </row>
    <row r="109" spans="1:15" ht="14">
      <c r="A109" s="187"/>
      <c r="B109" s="38"/>
      <c r="C109" s="82"/>
      <c r="D109" s="91" t="s">
        <v>86</v>
      </c>
      <c r="E109" s="91" t="s">
        <v>76</v>
      </c>
      <c r="F109" s="92"/>
      <c r="G109" s="169"/>
      <c r="H109" s="97">
        <v>5.0276999999999994</v>
      </c>
      <c r="I109" s="29">
        <v>0</v>
      </c>
      <c r="J109" s="39" t="s">
        <v>805</v>
      </c>
      <c r="K109" s="98">
        <v>0</v>
      </c>
      <c r="L109" s="168" t="s">
        <v>805</v>
      </c>
      <c r="M109" s="193"/>
      <c r="N109" s="193"/>
      <c r="O109" s="353">
        <v>0</v>
      </c>
    </row>
    <row r="110" spans="1:15" ht="14">
      <c r="A110" s="187"/>
      <c r="B110" s="38"/>
      <c r="C110" s="82"/>
      <c r="D110" s="91" t="s">
        <v>86</v>
      </c>
      <c r="E110" s="91" t="s">
        <v>76</v>
      </c>
      <c r="F110" s="92"/>
      <c r="G110" s="169"/>
      <c r="H110" s="97">
        <v>5.0276999999999994</v>
      </c>
      <c r="I110" s="29">
        <v>0</v>
      </c>
      <c r="J110" s="39" t="s">
        <v>805</v>
      </c>
      <c r="K110" s="98">
        <v>0</v>
      </c>
      <c r="L110" s="168" t="s">
        <v>805</v>
      </c>
      <c r="M110" s="193"/>
      <c r="N110" s="193"/>
      <c r="O110" s="353">
        <v>0</v>
      </c>
    </row>
    <row r="111" spans="1:15" ht="14">
      <c r="A111" s="37"/>
      <c r="B111" s="38"/>
      <c r="C111" s="82"/>
      <c r="D111" s="91"/>
      <c r="E111" s="91"/>
      <c r="F111" s="92"/>
      <c r="G111" s="93"/>
      <c r="H111" s="97"/>
      <c r="I111" s="176"/>
      <c r="J111" s="39"/>
      <c r="K111" s="98"/>
      <c r="L111" s="168"/>
      <c r="M111" s="193"/>
      <c r="N111" s="193"/>
      <c r="O111" s="353"/>
    </row>
    <row r="112" spans="1:15" ht="14">
      <c r="E112" s="326"/>
      <c r="F112" s="86">
        <v>0</v>
      </c>
      <c r="G112" s="87"/>
      <c r="H112" s="149"/>
      <c r="I112" s="181">
        <v>0</v>
      </c>
      <c r="O112" s="353"/>
    </row>
    <row r="113" spans="1:15" ht="14">
      <c r="F113" s="26"/>
      <c r="G113" s="284"/>
      <c r="H113" s="43"/>
      <c r="I113" s="233"/>
      <c r="J113" s="43"/>
      <c r="K113" s="30"/>
      <c r="O113" s="353"/>
    </row>
    <row r="114" spans="1:15" ht="14">
      <c r="F114" s="43"/>
      <c r="G114" s="44"/>
      <c r="I114" s="178"/>
      <c r="O114" s="353"/>
    </row>
    <row r="115" spans="1:15" ht="14">
      <c r="A115" s="36" t="s">
        <v>138</v>
      </c>
      <c r="B115" s="36" t="s">
        <v>35</v>
      </c>
      <c r="C115" s="36" t="s">
        <v>17</v>
      </c>
      <c r="D115" s="36" t="s">
        <v>25</v>
      </c>
      <c r="E115" s="36" t="s">
        <v>26</v>
      </c>
      <c r="F115" s="36" t="s">
        <v>18</v>
      </c>
      <c r="G115" s="36" t="s">
        <v>19</v>
      </c>
      <c r="H115" s="147" t="s">
        <v>21</v>
      </c>
      <c r="I115" s="216" t="s">
        <v>22</v>
      </c>
      <c r="J115" s="36" t="s">
        <v>27</v>
      </c>
      <c r="K115" s="36" t="s">
        <v>34</v>
      </c>
      <c r="L115" s="36" t="s">
        <v>55</v>
      </c>
      <c r="M115" s="36" t="s">
        <v>141</v>
      </c>
      <c r="N115" s="36" t="s">
        <v>139</v>
      </c>
      <c r="O115" s="353"/>
    </row>
    <row r="116" spans="1:15" ht="14">
      <c r="A116" s="187"/>
      <c r="B116" s="38"/>
      <c r="C116" s="82"/>
      <c r="D116" s="91" t="s">
        <v>4</v>
      </c>
      <c r="E116" s="91" t="s">
        <v>126</v>
      </c>
      <c r="F116" s="92"/>
      <c r="G116" s="169"/>
      <c r="H116" s="97">
        <v>17.344549999999998</v>
      </c>
      <c r="I116" s="29">
        <v>0</v>
      </c>
      <c r="J116" s="39" t="s">
        <v>805</v>
      </c>
      <c r="K116" s="98">
        <v>0</v>
      </c>
      <c r="L116" s="168" t="s">
        <v>805</v>
      </c>
      <c r="M116" s="193"/>
      <c r="N116" s="193"/>
      <c r="O116" s="353">
        <v>0</v>
      </c>
    </row>
    <row r="117" spans="1:15" ht="14">
      <c r="A117" s="187"/>
      <c r="B117" s="38"/>
      <c r="C117" s="82"/>
      <c r="D117" s="91" t="s">
        <v>4</v>
      </c>
      <c r="E117" s="91" t="s">
        <v>126</v>
      </c>
      <c r="F117" s="92"/>
      <c r="G117" s="169"/>
      <c r="H117" s="97">
        <v>17.344549999999998</v>
      </c>
      <c r="I117" s="29">
        <v>0</v>
      </c>
      <c r="J117" s="39" t="s">
        <v>805</v>
      </c>
      <c r="K117" s="98">
        <v>0</v>
      </c>
      <c r="L117" s="168" t="s">
        <v>805</v>
      </c>
      <c r="M117" s="193"/>
      <c r="N117" s="193"/>
      <c r="O117" s="353">
        <v>0</v>
      </c>
    </row>
    <row r="118" spans="1:15" ht="14">
      <c r="A118" s="187"/>
      <c r="B118" s="38"/>
      <c r="C118" s="82"/>
      <c r="D118" s="91" t="s">
        <v>4</v>
      </c>
      <c r="E118" s="91" t="s">
        <v>126</v>
      </c>
      <c r="F118" s="92"/>
      <c r="G118" s="169"/>
      <c r="H118" s="97">
        <v>17.344549999999998</v>
      </c>
      <c r="I118" s="29">
        <v>0</v>
      </c>
      <c r="J118" s="39" t="s">
        <v>805</v>
      </c>
      <c r="K118" s="98">
        <v>0</v>
      </c>
      <c r="L118" s="168" t="s">
        <v>805</v>
      </c>
      <c r="M118" s="193"/>
      <c r="N118" s="193"/>
      <c r="O118" s="353">
        <v>0</v>
      </c>
    </row>
    <row r="119" spans="1:15" ht="14">
      <c r="A119" s="187"/>
      <c r="B119" s="38"/>
      <c r="C119" s="82"/>
      <c r="D119" s="91" t="s">
        <v>4</v>
      </c>
      <c r="E119" s="91" t="s">
        <v>126</v>
      </c>
      <c r="F119" s="92"/>
      <c r="G119" s="169"/>
      <c r="H119" s="97">
        <v>17.344549999999998</v>
      </c>
      <c r="I119" s="29">
        <v>0</v>
      </c>
      <c r="J119" s="39" t="s">
        <v>805</v>
      </c>
      <c r="K119" s="98">
        <v>0</v>
      </c>
      <c r="L119" s="168" t="s">
        <v>805</v>
      </c>
      <c r="M119" s="193"/>
      <c r="N119" s="193"/>
      <c r="O119" s="353">
        <v>0</v>
      </c>
    </row>
    <row r="120" spans="1:15" ht="14">
      <c r="D120" s="91" t="s">
        <v>129</v>
      </c>
      <c r="E120" s="184" t="e">
        <v>#REF!</v>
      </c>
      <c r="F120" s="86">
        <v>0</v>
      </c>
      <c r="G120" s="87"/>
      <c r="H120" s="149"/>
      <c r="I120" s="86">
        <v>0</v>
      </c>
      <c r="O120" s="353"/>
    </row>
    <row r="121" spans="1:15" ht="14">
      <c r="D121" s="154" t="s">
        <v>117</v>
      </c>
      <c r="E121" s="185" t="e">
        <v>#REF!</v>
      </c>
      <c r="G121" s="111"/>
      <c r="J121" s="30"/>
      <c r="K121" s="26"/>
      <c r="O121" s="353"/>
    </row>
    <row r="122" spans="1:15" ht="14">
      <c r="F122" s="43"/>
      <c r="I122" s="257"/>
      <c r="J122" s="30"/>
      <c r="K122" s="30"/>
      <c r="L122" s="30"/>
      <c r="O122" s="353"/>
    </row>
    <row r="123" spans="1:15" ht="14">
      <c r="A123" s="36" t="s">
        <v>138</v>
      </c>
      <c r="B123" s="36" t="s">
        <v>35</v>
      </c>
      <c r="C123" s="36" t="s">
        <v>17</v>
      </c>
      <c r="D123" s="36" t="s">
        <v>25</v>
      </c>
      <c r="E123" s="36" t="s">
        <v>26</v>
      </c>
      <c r="F123" s="36" t="s">
        <v>18</v>
      </c>
      <c r="G123" s="36" t="s">
        <v>19</v>
      </c>
      <c r="H123" s="147" t="s">
        <v>21</v>
      </c>
      <c r="I123" s="216" t="s">
        <v>22</v>
      </c>
      <c r="J123" s="36" t="s">
        <v>27</v>
      </c>
      <c r="K123" s="36" t="s">
        <v>34</v>
      </c>
      <c r="L123" s="36" t="s">
        <v>55</v>
      </c>
      <c r="M123" s="36" t="s">
        <v>139</v>
      </c>
      <c r="N123" s="36"/>
      <c r="O123" s="353">
        <v>0</v>
      </c>
    </row>
    <row r="124" spans="1:15" ht="14">
      <c r="A124" s="187"/>
      <c r="B124" s="38"/>
      <c r="C124" s="82"/>
      <c r="D124" s="142" t="s">
        <v>87</v>
      </c>
      <c r="E124" s="142" t="s">
        <v>37</v>
      </c>
      <c r="F124" s="92"/>
      <c r="G124" s="93"/>
      <c r="H124" s="93">
        <v>16.475250000000003</v>
      </c>
      <c r="I124" s="176">
        <v>0</v>
      </c>
      <c r="J124" s="143"/>
      <c r="K124" s="98">
        <v>0</v>
      </c>
      <c r="L124" s="168" t="s">
        <v>805</v>
      </c>
      <c r="M124" s="193"/>
      <c r="N124" s="193"/>
      <c r="O124" s="353">
        <v>0</v>
      </c>
    </row>
    <row r="125" spans="1:15" ht="14">
      <c r="A125" s="187"/>
      <c r="B125" s="38"/>
      <c r="C125" s="82"/>
      <c r="D125" s="142" t="s">
        <v>87</v>
      </c>
      <c r="E125" s="142" t="s">
        <v>37</v>
      </c>
      <c r="F125" s="92"/>
      <c r="G125" s="93"/>
      <c r="H125" s="93">
        <v>16.475250000000003</v>
      </c>
      <c r="I125" s="176">
        <v>0</v>
      </c>
      <c r="J125" s="143"/>
      <c r="K125" s="98">
        <v>0</v>
      </c>
      <c r="L125" s="168" t="s">
        <v>805</v>
      </c>
      <c r="M125" s="193"/>
      <c r="N125" s="193"/>
      <c r="O125" s="353">
        <v>0</v>
      </c>
    </row>
    <row r="126" spans="1:15" ht="14">
      <c r="A126" s="187"/>
      <c r="B126" s="38"/>
      <c r="C126" s="82"/>
      <c r="D126" s="142" t="s">
        <v>87</v>
      </c>
      <c r="E126" s="142" t="s">
        <v>37</v>
      </c>
      <c r="F126" s="92"/>
      <c r="G126" s="93"/>
      <c r="H126" s="93">
        <v>16.475250000000003</v>
      </c>
      <c r="I126" s="176">
        <v>0</v>
      </c>
      <c r="J126" s="143"/>
      <c r="K126" s="98">
        <v>0</v>
      </c>
      <c r="L126" s="168" t="s">
        <v>805</v>
      </c>
      <c r="M126" s="193"/>
      <c r="N126" s="193"/>
      <c r="O126" s="353">
        <v>0</v>
      </c>
    </row>
    <row r="127" spans="1:15" ht="14">
      <c r="D127" s="91" t="s">
        <v>129</v>
      </c>
      <c r="E127" s="184" t="e">
        <v>#REF!</v>
      </c>
      <c r="F127" s="86">
        <v>0</v>
      </c>
      <c r="G127" s="87"/>
      <c r="H127" s="149"/>
      <c r="I127" s="86">
        <v>0</v>
      </c>
      <c r="O127" s="353"/>
    </row>
    <row r="128" spans="1:15" ht="14">
      <c r="D128" s="154" t="s">
        <v>117</v>
      </c>
      <c r="E128" s="185" t="e">
        <v>#REF!</v>
      </c>
      <c r="J128" s="30"/>
      <c r="K128" s="30"/>
      <c r="O128" s="353"/>
    </row>
    <row r="129" spans="1:15" ht="14">
      <c r="F129" s="43"/>
      <c r="O129" s="353"/>
    </row>
    <row r="130" spans="1:15" ht="14">
      <c r="A130" s="36" t="s">
        <v>138</v>
      </c>
      <c r="B130" s="36" t="s">
        <v>35</v>
      </c>
      <c r="C130" s="36" t="s">
        <v>17</v>
      </c>
      <c r="D130" s="36" t="s">
        <v>25</v>
      </c>
      <c r="E130" s="36" t="s">
        <v>26</v>
      </c>
      <c r="F130" s="36" t="s">
        <v>18</v>
      </c>
      <c r="G130" s="36" t="s">
        <v>19</v>
      </c>
      <c r="H130" s="147" t="s">
        <v>21</v>
      </c>
      <c r="I130" s="216" t="s">
        <v>22</v>
      </c>
      <c r="J130" s="36" t="s">
        <v>27</v>
      </c>
      <c r="K130" s="36" t="s">
        <v>34</v>
      </c>
      <c r="L130" s="36" t="s">
        <v>55</v>
      </c>
      <c r="M130" s="36" t="s">
        <v>60</v>
      </c>
      <c r="N130" s="36" t="s">
        <v>139</v>
      </c>
      <c r="O130" s="353">
        <v>0</v>
      </c>
    </row>
    <row r="131" spans="1:15" ht="14">
      <c r="A131" s="187"/>
      <c r="B131" s="38"/>
      <c r="C131" s="82"/>
      <c r="D131" s="91" t="s">
        <v>2</v>
      </c>
      <c r="E131" s="91" t="s">
        <v>3</v>
      </c>
      <c r="F131" s="92"/>
      <c r="G131" s="93"/>
      <c r="H131" s="97">
        <v>1.1717</v>
      </c>
      <c r="I131" s="177">
        <v>0</v>
      </c>
      <c r="J131" s="39"/>
      <c r="K131" s="98">
        <v>0</v>
      </c>
      <c r="L131" s="168" t="s">
        <v>805</v>
      </c>
      <c r="M131" s="193"/>
      <c r="N131" s="193"/>
      <c r="O131" s="353">
        <v>0</v>
      </c>
    </row>
    <row r="132" spans="1:15" ht="14">
      <c r="A132" s="187"/>
      <c r="B132" s="38"/>
      <c r="C132" s="82"/>
      <c r="D132" s="91" t="s">
        <v>2</v>
      </c>
      <c r="E132" s="91" t="s">
        <v>3</v>
      </c>
      <c r="F132" s="92"/>
      <c r="G132" s="93"/>
      <c r="H132" s="97">
        <v>1.1717</v>
      </c>
      <c r="I132" s="177">
        <v>0</v>
      </c>
      <c r="J132" s="39"/>
      <c r="K132" s="98">
        <v>0</v>
      </c>
      <c r="L132" s="168" t="s">
        <v>805</v>
      </c>
      <c r="M132" s="193"/>
      <c r="N132" s="193"/>
      <c r="O132" s="353">
        <v>0</v>
      </c>
    </row>
    <row r="133" spans="1:15" ht="14">
      <c r="A133" s="187"/>
      <c r="B133" s="38"/>
      <c r="C133" s="82"/>
      <c r="D133" s="91" t="s">
        <v>2</v>
      </c>
      <c r="E133" s="91" t="s">
        <v>3</v>
      </c>
      <c r="F133" s="92"/>
      <c r="G133" s="93"/>
      <c r="H133" s="97">
        <v>1.1717</v>
      </c>
      <c r="I133" s="177">
        <v>0</v>
      </c>
      <c r="J133" s="39"/>
      <c r="K133" s="98">
        <v>0</v>
      </c>
      <c r="L133" s="168" t="s">
        <v>805</v>
      </c>
      <c r="M133" s="193"/>
      <c r="N133" s="193"/>
      <c r="O133" s="353">
        <v>0</v>
      </c>
    </row>
    <row r="134" spans="1:15" ht="14">
      <c r="A134" s="187"/>
      <c r="B134" s="38"/>
      <c r="C134" s="82"/>
      <c r="D134" s="91" t="s">
        <v>2</v>
      </c>
      <c r="E134" s="91" t="s">
        <v>3</v>
      </c>
      <c r="F134" s="92"/>
      <c r="G134" s="93"/>
      <c r="H134" s="97">
        <v>1.1717</v>
      </c>
      <c r="I134" s="177">
        <v>0</v>
      </c>
      <c r="J134" s="39"/>
      <c r="K134" s="98">
        <v>0</v>
      </c>
      <c r="L134" s="168" t="s">
        <v>805</v>
      </c>
      <c r="M134" s="193"/>
      <c r="N134" s="193"/>
      <c r="O134" s="353">
        <v>0</v>
      </c>
    </row>
    <row r="135" spans="1:15" ht="14">
      <c r="A135" s="187"/>
      <c r="B135" s="38"/>
      <c r="C135" s="82"/>
      <c r="D135" s="91" t="s">
        <v>2</v>
      </c>
      <c r="E135" s="91" t="s">
        <v>3</v>
      </c>
      <c r="F135" s="92"/>
      <c r="G135" s="93"/>
      <c r="H135" s="97">
        <v>1.1717</v>
      </c>
      <c r="I135" s="177">
        <v>0</v>
      </c>
      <c r="J135" s="39"/>
      <c r="K135" s="98">
        <v>0</v>
      </c>
      <c r="L135" s="168" t="s">
        <v>805</v>
      </c>
      <c r="M135" s="193"/>
      <c r="N135" s="193"/>
      <c r="O135" s="353">
        <v>0</v>
      </c>
    </row>
    <row r="136" spans="1:15" ht="14">
      <c r="A136" s="187"/>
      <c r="B136" s="38"/>
      <c r="C136" s="82"/>
      <c r="D136" s="91" t="s">
        <v>2</v>
      </c>
      <c r="E136" s="91" t="s">
        <v>3</v>
      </c>
      <c r="F136" s="92"/>
      <c r="G136" s="93"/>
      <c r="H136" s="97">
        <v>1.1717</v>
      </c>
      <c r="I136" s="177">
        <v>0</v>
      </c>
      <c r="J136" s="39"/>
      <c r="K136" s="98">
        <v>0</v>
      </c>
      <c r="L136" s="168" t="s">
        <v>805</v>
      </c>
      <c r="M136" s="193"/>
      <c r="N136" s="193"/>
      <c r="O136" s="353">
        <v>0</v>
      </c>
    </row>
    <row r="137" spans="1:15" ht="14">
      <c r="A137" s="187"/>
      <c r="B137" s="38"/>
      <c r="C137" s="82"/>
      <c r="D137" s="91" t="s">
        <v>2</v>
      </c>
      <c r="E137" s="91" t="s">
        <v>3</v>
      </c>
      <c r="F137" s="92"/>
      <c r="G137" s="93"/>
      <c r="H137" s="97">
        <v>1.1717</v>
      </c>
      <c r="I137" s="177">
        <v>0</v>
      </c>
      <c r="J137" s="39"/>
      <c r="K137" s="98">
        <v>0</v>
      </c>
      <c r="L137" s="168" t="s">
        <v>805</v>
      </c>
      <c r="M137" s="193"/>
      <c r="N137" s="193"/>
      <c r="O137" s="353">
        <v>0</v>
      </c>
    </row>
    <row r="138" spans="1:15" ht="14">
      <c r="A138" s="187"/>
      <c r="B138" s="38"/>
      <c r="C138" s="82"/>
      <c r="D138" s="91" t="s">
        <v>2</v>
      </c>
      <c r="E138" s="91" t="s">
        <v>3</v>
      </c>
      <c r="F138" s="92"/>
      <c r="G138" s="93"/>
      <c r="H138" s="97">
        <v>1.1717</v>
      </c>
      <c r="I138" s="177">
        <v>0</v>
      </c>
      <c r="J138" s="39"/>
      <c r="K138" s="98">
        <v>0</v>
      </c>
      <c r="L138" s="168" t="s">
        <v>805</v>
      </c>
      <c r="M138" s="193"/>
      <c r="N138" s="193"/>
      <c r="O138" s="353">
        <v>0</v>
      </c>
    </row>
    <row r="139" spans="1:15" ht="14">
      <c r="A139" s="187"/>
      <c r="B139" s="38"/>
      <c r="C139" s="82"/>
      <c r="D139" s="91" t="s">
        <v>2</v>
      </c>
      <c r="E139" s="91" t="s">
        <v>3</v>
      </c>
      <c r="F139" s="92"/>
      <c r="G139" s="93"/>
      <c r="H139" s="97">
        <v>1.1717</v>
      </c>
      <c r="I139" s="177">
        <v>0</v>
      </c>
      <c r="J139" s="39"/>
      <c r="K139" s="98">
        <v>0</v>
      </c>
      <c r="L139" s="168" t="s">
        <v>805</v>
      </c>
      <c r="M139" s="193"/>
      <c r="N139" s="193"/>
      <c r="O139" s="353">
        <v>0</v>
      </c>
    </row>
    <row r="140" spans="1:15" ht="14">
      <c r="A140" s="187"/>
      <c r="B140" s="38"/>
      <c r="C140" s="82"/>
      <c r="D140" s="91" t="s">
        <v>2</v>
      </c>
      <c r="E140" s="91" t="s">
        <v>3</v>
      </c>
      <c r="F140" s="92"/>
      <c r="G140" s="93"/>
      <c r="H140" s="97">
        <v>1.1717</v>
      </c>
      <c r="I140" s="177">
        <v>0</v>
      </c>
      <c r="J140" s="39"/>
      <c r="K140" s="98">
        <v>0</v>
      </c>
      <c r="L140" s="168" t="s">
        <v>805</v>
      </c>
      <c r="M140" s="193"/>
      <c r="N140" s="193"/>
      <c r="O140" s="353">
        <v>0</v>
      </c>
    </row>
    <row r="141" spans="1:15" ht="14">
      <c r="A141" s="187"/>
      <c r="B141" s="38"/>
      <c r="C141" s="82"/>
      <c r="D141" s="91"/>
      <c r="E141" s="91"/>
      <c r="F141" s="92"/>
      <c r="G141" s="93"/>
      <c r="H141" s="97"/>
      <c r="I141" s="177"/>
      <c r="J141" s="39"/>
      <c r="K141" s="98"/>
      <c r="L141" s="168" t="s">
        <v>805</v>
      </c>
      <c r="M141" s="193"/>
      <c r="N141" s="193"/>
      <c r="O141" s="353">
        <v>0</v>
      </c>
    </row>
    <row r="142" spans="1:15" ht="14">
      <c r="D142" s="152" t="s">
        <v>116</v>
      </c>
      <c r="E142" s="151" t="e">
        <v>#REF!</v>
      </c>
      <c r="F142" s="86">
        <v>0</v>
      </c>
      <c r="G142" s="87"/>
      <c r="H142" s="149"/>
      <c r="I142" s="86">
        <v>0</v>
      </c>
      <c r="O142" s="353"/>
    </row>
    <row r="143" spans="1:15" ht="14">
      <c r="D143" s="153" t="s">
        <v>117</v>
      </c>
      <c r="E143" s="155" t="e">
        <v>#REF!</v>
      </c>
      <c r="G143" s="141"/>
      <c r="I143" s="331"/>
      <c r="J143" s="30"/>
      <c r="K143" s="30"/>
      <c r="O143" s="353"/>
    </row>
    <row r="144" spans="1:15" ht="14">
      <c r="O144" s="353"/>
    </row>
    <row r="145" spans="1:15" ht="14">
      <c r="A145" s="36" t="s">
        <v>138</v>
      </c>
      <c r="B145" s="36" t="s">
        <v>35</v>
      </c>
      <c r="C145" s="36" t="s">
        <v>17</v>
      </c>
      <c r="D145" s="36" t="s">
        <v>25</v>
      </c>
      <c r="E145" s="36" t="s">
        <v>26</v>
      </c>
      <c r="F145" s="36" t="s">
        <v>18</v>
      </c>
      <c r="G145" s="36" t="s">
        <v>19</v>
      </c>
      <c r="H145" s="147" t="s">
        <v>21</v>
      </c>
      <c r="I145" s="216" t="s">
        <v>22</v>
      </c>
      <c r="J145" s="36" t="s">
        <v>27</v>
      </c>
      <c r="K145" s="36" t="s">
        <v>34</v>
      </c>
      <c r="L145" s="36" t="s">
        <v>55</v>
      </c>
      <c r="M145" s="36" t="s">
        <v>296</v>
      </c>
      <c r="N145" s="36"/>
      <c r="O145" s="353">
        <v>0</v>
      </c>
    </row>
    <row r="146" spans="1:15" ht="14">
      <c r="A146" s="187">
        <v>46091</v>
      </c>
      <c r="B146" s="351" t="s">
        <v>108</v>
      </c>
      <c r="C146" s="82"/>
      <c r="D146" s="91" t="s">
        <v>103</v>
      </c>
      <c r="E146" s="91" t="s">
        <v>104</v>
      </c>
      <c r="F146" s="92">
        <v>1500000</v>
      </c>
      <c r="G146" s="93">
        <v>0.71579999999999999</v>
      </c>
      <c r="H146" s="97">
        <v>0.70674999999999999</v>
      </c>
      <c r="I146" s="177">
        <v>-13575.000000000004</v>
      </c>
      <c r="J146" s="39">
        <v>-1.264319642358201E-2</v>
      </c>
      <c r="K146" s="98">
        <v>-1060125</v>
      </c>
      <c r="L146" s="168">
        <v>-24</v>
      </c>
      <c r="M146" s="193">
        <v>46101</v>
      </c>
      <c r="N146" s="193"/>
      <c r="O146" s="353" t="s">
        <v>806</v>
      </c>
    </row>
    <row r="147" spans="1:15" ht="14">
      <c r="A147" s="187">
        <v>46097</v>
      </c>
      <c r="B147" s="351" t="s">
        <v>108</v>
      </c>
      <c r="C147" s="82"/>
      <c r="D147" s="91" t="s">
        <v>103</v>
      </c>
      <c r="E147" s="91" t="s">
        <v>104</v>
      </c>
      <c r="F147" s="92">
        <v>-1500000</v>
      </c>
      <c r="G147" s="93">
        <v>0.70552000000000004</v>
      </c>
      <c r="H147" s="97">
        <v>0.70674999999999999</v>
      </c>
      <c r="I147" s="177">
        <v>-1844.99999999993</v>
      </c>
      <c r="J147" s="39">
        <v>1.7433949427372057E-3</v>
      </c>
      <c r="K147" s="98">
        <v>1060125</v>
      </c>
      <c r="L147" s="168">
        <v>-24</v>
      </c>
      <c r="M147" s="193">
        <v>46101</v>
      </c>
      <c r="N147" s="193"/>
      <c r="O147" s="353" t="s">
        <v>806</v>
      </c>
    </row>
    <row r="148" spans="1:15" ht="14">
      <c r="A148" s="187"/>
      <c r="B148" s="351"/>
      <c r="C148" s="82"/>
      <c r="D148" s="91" t="s">
        <v>103</v>
      </c>
      <c r="E148" s="91" t="s">
        <v>104</v>
      </c>
      <c r="F148" s="92"/>
      <c r="G148" s="93"/>
      <c r="H148" s="97">
        <v>0.70674999999999999</v>
      </c>
      <c r="I148" s="177">
        <v>0</v>
      </c>
      <c r="J148" s="39" t="s">
        <v>805</v>
      </c>
      <c r="K148" s="98">
        <v>0</v>
      </c>
      <c r="L148" s="168" t="s">
        <v>805</v>
      </c>
      <c r="M148" s="193"/>
      <c r="N148" s="193"/>
      <c r="O148" s="353">
        <v>0</v>
      </c>
    </row>
    <row r="149" spans="1:15" ht="14">
      <c r="A149" s="187"/>
      <c r="B149" s="351"/>
      <c r="C149" s="82"/>
      <c r="D149" s="91" t="s">
        <v>103</v>
      </c>
      <c r="E149" s="91" t="s">
        <v>104</v>
      </c>
      <c r="F149" s="92"/>
      <c r="G149" s="93"/>
      <c r="H149" s="97">
        <v>0.70674999999999999</v>
      </c>
      <c r="I149" s="177">
        <v>0</v>
      </c>
      <c r="J149" s="39" t="s">
        <v>805</v>
      </c>
      <c r="K149" s="98">
        <v>0</v>
      </c>
      <c r="L149" s="168" t="s">
        <v>805</v>
      </c>
      <c r="M149" s="193"/>
      <c r="N149" s="193"/>
      <c r="O149" s="353">
        <v>0</v>
      </c>
    </row>
    <row r="150" spans="1:15" ht="14">
      <c r="A150" s="187"/>
      <c r="B150" s="38"/>
      <c r="C150" s="82"/>
      <c r="D150" s="91"/>
      <c r="E150" s="91"/>
      <c r="F150" s="92"/>
      <c r="G150" s="93"/>
      <c r="H150" s="97"/>
      <c r="I150" s="177"/>
      <c r="J150" s="39"/>
      <c r="K150" s="98"/>
      <c r="L150" s="168" t="s">
        <v>805</v>
      </c>
      <c r="M150" s="352"/>
      <c r="N150" s="193"/>
      <c r="O150" s="353">
        <v>0</v>
      </c>
    </row>
    <row r="151" spans="1:15" ht="14">
      <c r="D151" s="152" t="s">
        <v>116</v>
      </c>
      <c r="E151" s="151" t="e">
        <v>#REF!</v>
      </c>
      <c r="F151" s="86">
        <v>0</v>
      </c>
      <c r="G151" s="87"/>
      <c r="H151" s="149"/>
      <c r="I151" s="86">
        <v>-15419.999999999935</v>
      </c>
      <c r="K151" s="86">
        <v>0</v>
      </c>
      <c r="O151" s="353"/>
    </row>
    <row r="152" spans="1:15" ht="14">
      <c r="D152" s="154" t="s">
        <v>117</v>
      </c>
      <c r="E152" s="156" t="e">
        <v>#REF!</v>
      </c>
      <c r="O152" s="353"/>
    </row>
    <row r="153" spans="1:15" ht="14">
      <c r="O153" s="353"/>
    </row>
    <row r="154" spans="1:15" ht="14">
      <c r="A154" s="36" t="s">
        <v>138</v>
      </c>
      <c r="B154" s="36" t="s">
        <v>35</v>
      </c>
      <c r="C154" s="36" t="s">
        <v>17</v>
      </c>
      <c r="D154" s="36" t="s">
        <v>25</v>
      </c>
      <c r="E154" s="36" t="s">
        <v>26</v>
      </c>
      <c r="F154" s="36" t="s">
        <v>18</v>
      </c>
      <c r="G154" s="36" t="s">
        <v>19</v>
      </c>
      <c r="H154" s="147" t="s">
        <v>21</v>
      </c>
      <c r="I154" s="216" t="s">
        <v>22</v>
      </c>
      <c r="J154" s="36" t="s">
        <v>27</v>
      </c>
      <c r="K154" s="36" t="s">
        <v>34</v>
      </c>
      <c r="L154" s="36" t="s">
        <v>55</v>
      </c>
      <c r="M154" s="36" t="s">
        <v>296</v>
      </c>
      <c r="N154" s="36" t="s">
        <v>61</v>
      </c>
      <c r="O154" s="353">
        <v>0</v>
      </c>
    </row>
    <row r="155" spans="1:15" ht="14">
      <c r="A155" s="187"/>
      <c r="B155" s="38"/>
      <c r="C155" s="82"/>
      <c r="D155" s="91" t="s">
        <v>147</v>
      </c>
      <c r="E155" s="91" t="s">
        <v>9</v>
      </c>
      <c r="F155" s="92"/>
      <c r="G155" s="349"/>
      <c r="H155" s="92">
        <v>4720.5349999999999</v>
      </c>
      <c r="I155" s="177">
        <v>0</v>
      </c>
      <c r="J155" s="39" t="s">
        <v>805</v>
      </c>
      <c r="K155" s="98">
        <v>0</v>
      </c>
      <c r="L155" s="168" t="s">
        <v>805</v>
      </c>
      <c r="M155" s="193"/>
      <c r="N155" s="193"/>
      <c r="O155" s="353"/>
    </row>
    <row r="156" spans="1:15" ht="14">
      <c r="A156" s="187"/>
      <c r="B156" s="38"/>
      <c r="C156" s="82"/>
      <c r="D156" s="91" t="s">
        <v>147</v>
      </c>
      <c r="E156" s="91" t="s">
        <v>9</v>
      </c>
      <c r="F156" s="92"/>
      <c r="G156" s="349"/>
      <c r="H156" s="92">
        <v>4720.5349999999999</v>
      </c>
      <c r="I156" s="177">
        <v>0</v>
      </c>
      <c r="J156" s="39" t="s">
        <v>805</v>
      </c>
      <c r="K156" s="98">
        <v>0</v>
      </c>
      <c r="L156" s="168" t="s">
        <v>805</v>
      </c>
      <c r="M156" s="193"/>
      <c r="N156" s="193"/>
      <c r="O156" s="353"/>
    </row>
    <row r="157" spans="1:15" ht="14">
      <c r="A157" s="187"/>
      <c r="B157" s="38"/>
      <c r="C157" s="82"/>
      <c r="D157" s="91" t="s">
        <v>147</v>
      </c>
      <c r="E157" s="91" t="s">
        <v>9</v>
      </c>
      <c r="F157" s="92"/>
      <c r="G157" s="349"/>
      <c r="H157" s="92">
        <v>4720.5349999999999</v>
      </c>
      <c r="I157" s="177">
        <v>0</v>
      </c>
      <c r="J157" s="39" t="s">
        <v>805</v>
      </c>
      <c r="K157" s="98">
        <v>0</v>
      </c>
      <c r="L157" s="168" t="s">
        <v>805</v>
      </c>
      <c r="M157" s="193"/>
      <c r="N157" s="193"/>
      <c r="O157" s="353"/>
    </row>
    <row r="158" spans="1:15" ht="14">
      <c r="A158" s="187"/>
      <c r="B158" s="38"/>
      <c r="C158" s="82"/>
      <c r="D158" s="91" t="s">
        <v>147</v>
      </c>
      <c r="E158" s="91" t="s">
        <v>9</v>
      </c>
      <c r="F158" s="92"/>
      <c r="G158" s="349"/>
      <c r="H158" s="92">
        <v>4720.5349999999999</v>
      </c>
      <c r="I158" s="177">
        <v>0</v>
      </c>
      <c r="J158" s="39" t="s">
        <v>805</v>
      </c>
      <c r="K158" s="98">
        <v>0</v>
      </c>
      <c r="L158" s="168" t="s">
        <v>805</v>
      </c>
      <c r="M158" s="193"/>
      <c r="N158" s="193"/>
      <c r="O158" s="353"/>
    </row>
    <row r="159" spans="1:15" ht="14">
      <c r="A159" s="37"/>
      <c r="B159" s="38"/>
      <c r="C159" s="82"/>
      <c r="D159" s="91"/>
      <c r="E159" s="91"/>
      <c r="F159" s="92"/>
      <c r="G159" s="93"/>
      <c r="H159" s="97"/>
      <c r="I159" s="177"/>
      <c r="J159" s="39"/>
      <c r="K159" s="98">
        <v>0</v>
      </c>
      <c r="L159" s="168"/>
      <c r="M159" s="193"/>
      <c r="N159" s="254"/>
      <c r="O159" s="353"/>
    </row>
    <row r="160" spans="1:15" ht="14">
      <c r="D160" s="152" t="s">
        <v>116</v>
      </c>
      <c r="E160" s="151" t="e">
        <v>#REF!</v>
      </c>
      <c r="F160" s="86">
        <v>0</v>
      </c>
      <c r="G160" s="87"/>
      <c r="H160" s="149"/>
      <c r="I160" s="181">
        <v>0</v>
      </c>
      <c r="K160" s="181">
        <v>0</v>
      </c>
      <c r="O160" s="353"/>
    </row>
    <row r="161" spans="4:15" ht="14">
      <c r="D161" s="153" t="s">
        <v>117</v>
      </c>
      <c r="E161" s="155" t="e">
        <v>#REF!</v>
      </c>
      <c r="O161" s="353"/>
    </row>
    <row r="162" spans="4:15" ht="14">
      <c r="D162" s="153"/>
      <c r="E162" s="155"/>
      <c r="O162" s="353"/>
    </row>
    <row r="163" spans="4:15" ht="14">
      <c r="D163" s="153"/>
      <c r="E163" s="155"/>
      <c r="O163" s="353"/>
    </row>
    <row r="164" spans="4:15" ht="14">
      <c r="D164" s="153"/>
      <c r="E164" s="155"/>
      <c r="O164" s="353"/>
    </row>
    <row r="165" spans="4:15" ht="14">
      <c r="D165" s="153"/>
      <c r="E165" s="155"/>
      <c r="O165" s="353"/>
    </row>
    <row r="166" spans="4:15" ht="14">
      <c r="D166" s="153"/>
      <c r="E166" s="155"/>
      <c r="O166" s="353"/>
    </row>
    <row r="167" spans="4:15" ht="14">
      <c r="D167" s="153"/>
      <c r="E167" s="155"/>
      <c r="O167" s="353"/>
    </row>
    <row r="168" spans="4:15" ht="14">
      <c r="F168" s="144"/>
      <c r="I168" s="179"/>
      <c r="O168" s="353"/>
    </row>
    <row r="169" spans="4:15" ht="14">
      <c r="F169" s="144"/>
      <c r="O169" s="353"/>
    </row>
    <row r="170" spans="4:15" ht="14">
      <c r="F170" s="144"/>
      <c r="O170" s="353"/>
    </row>
    <row r="171" spans="4:15" ht="14">
      <c r="O171" s="353"/>
    </row>
    <row r="178" spans="6:6">
      <c r="F178" s="49"/>
    </row>
  </sheetData>
  <sortState xmlns:xlrd2="http://schemas.microsoft.com/office/spreadsheetml/2017/richdata2" ref="A40:N97">
    <sortCondition ref="L40:L97"/>
  </sortState>
  <mergeCells count="2">
    <mergeCell ref="A5:C5"/>
    <mergeCell ref="A36:C36"/>
  </mergeCells>
  <phoneticPr fontId="0" type="noConversion"/>
  <pageMargins left="0.17" right="0.17" top="1" bottom="1" header="0" footer="0"/>
  <pageSetup scale="18" orientation="landscape" r:id="rId1"/>
  <headerFooter alignWithMargins="0">
    <oddHeader>&amp;LNDF de monedas. YENES en SAXO BANK, PESOS y REALES en SMITH BARNEY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3">
    <pageSetUpPr fitToPage="1"/>
  </sheetPr>
  <dimension ref="A1:N438"/>
  <sheetViews>
    <sheetView zoomScale="90" zoomScaleNormal="90" workbookViewId="0">
      <selection activeCell="L351" sqref="L351"/>
    </sheetView>
  </sheetViews>
  <sheetFormatPr baseColWidth="10" defaultRowHeight="12.5"/>
  <cols>
    <col min="1" max="1" width="13" customWidth="1"/>
    <col min="2" max="2" width="7.6328125" customWidth="1"/>
    <col min="3" max="3" width="13.90625" bestFit="1" customWidth="1"/>
    <col min="4" max="4" width="11.90625" customWidth="1"/>
    <col min="5" max="5" width="16" customWidth="1"/>
    <col min="6" max="6" width="12.90625" customWidth="1"/>
    <col min="7" max="7" width="11.08984375" customWidth="1"/>
    <col min="8" max="8" width="14.6328125" customWidth="1"/>
    <col min="9" max="9" width="11" customWidth="1"/>
    <col min="10" max="10" width="13.90625" style="111" customWidth="1"/>
    <col min="11" max="11" width="16.36328125" customWidth="1"/>
    <col min="12" max="12" width="12.90625" customWidth="1"/>
    <col min="13" max="13" width="11.453125" style="56"/>
    <col min="14" max="14" width="14.6328125" bestFit="1" customWidth="1"/>
  </cols>
  <sheetData>
    <row r="1" spans="1:14" s="338" customFormat="1" ht="18">
      <c r="A1" s="334"/>
      <c r="B1" s="334"/>
      <c r="C1" s="335"/>
      <c r="D1" s="335"/>
      <c r="E1" s="336" t="s">
        <v>128</v>
      </c>
      <c r="F1" s="334"/>
      <c r="G1" s="337"/>
      <c r="J1" s="339"/>
      <c r="M1" s="340"/>
    </row>
    <row r="5" spans="1:14" ht="15.5">
      <c r="A5" s="848" t="s">
        <v>51</v>
      </c>
      <c r="B5" s="849"/>
      <c r="C5" s="849"/>
    </row>
    <row r="7" spans="1:14">
      <c r="A7" s="9" t="s">
        <v>16</v>
      </c>
      <c r="B7" s="9" t="s">
        <v>35</v>
      </c>
      <c r="C7" s="9" t="s">
        <v>17</v>
      </c>
      <c r="D7" s="9" t="s">
        <v>25</v>
      </c>
      <c r="E7" s="9" t="s">
        <v>26</v>
      </c>
      <c r="F7" s="9" t="s">
        <v>18</v>
      </c>
      <c r="G7" s="9" t="s">
        <v>19</v>
      </c>
      <c r="H7" s="9" t="s">
        <v>21</v>
      </c>
      <c r="I7" s="285" t="s">
        <v>183</v>
      </c>
      <c r="J7" s="286" t="s">
        <v>90</v>
      </c>
      <c r="K7" s="159" t="s">
        <v>608</v>
      </c>
      <c r="L7" s="25" t="s">
        <v>91</v>
      </c>
      <c r="M7" s="9" t="s">
        <v>5</v>
      </c>
      <c r="N7" s="9" t="s">
        <v>0</v>
      </c>
    </row>
    <row r="8" spans="1:14" ht="13">
      <c r="A8" s="188">
        <v>45967</v>
      </c>
      <c r="B8" s="10" t="s">
        <v>715</v>
      </c>
      <c r="C8" s="7" t="s">
        <v>6</v>
      </c>
      <c r="D8" s="21" t="s">
        <v>106</v>
      </c>
      <c r="E8" s="21" t="s">
        <v>715</v>
      </c>
      <c r="F8" s="109">
        <v>-2000</v>
      </c>
      <c r="G8" s="22">
        <v>1170</v>
      </c>
      <c r="H8" s="22">
        <v>941.24499999999989</v>
      </c>
      <c r="I8" s="171">
        <v>2.3199999999999998</v>
      </c>
      <c r="J8" s="23">
        <v>0.24303449155108403</v>
      </c>
      <c r="K8" s="23"/>
      <c r="L8" s="47">
        <v>10000</v>
      </c>
      <c r="M8" s="114">
        <v>46329</v>
      </c>
      <c r="N8" s="304">
        <v>363</v>
      </c>
    </row>
    <row r="9" spans="1:14" ht="13">
      <c r="A9" s="188">
        <v>45967</v>
      </c>
      <c r="B9" s="10" t="s">
        <v>715</v>
      </c>
      <c r="C9" s="7" t="s">
        <v>6</v>
      </c>
      <c r="D9" s="21" t="s">
        <v>106</v>
      </c>
      <c r="E9" s="21" t="s">
        <v>715</v>
      </c>
      <c r="F9" s="109">
        <v>-2000</v>
      </c>
      <c r="G9" s="22">
        <v>1180</v>
      </c>
      <c r="H9" s="22">
        <v>943.03</v>
      </c>
      <c r="I9" s="171">
        <v>2.12</v>
      </c>
      <c r="J9" s="23">
        <v>0.25128574912781154</v>
      </c>
      <c r="K9" s="23"/>
      <c r="L9" s="47">
        <v>10000</v>
      </c>
      <c r="M9" s="114">
        <v>46329</v>
      </c>
      <c r="N9" s="304">
        <v>362</v>
      </c>
    </row>
    <row r="10" spans="1:14" ht="13">
      <c r="A10" s="188">
        <v>45971</v>
      </c>
      <c r="B10" s="10" t="s">
        <v>715</v>
      </c>
      <c r="C10" s="7" t="s">
        <v>6</v>
      </c>
      <c r="D10" s="21" t="s">
        <v>106</v>
      </c>
      <c r="E10" s="21" t="s">
        <v>715</v>
      </c>
      <c r="F10" s="109">
        <v>-2000</v>
      </c>
      <c r="G10" s="22">
        <v>1160</v>
      </c>
      <c r="H10" s="22">
        <v>942</v>
      </c>
      <c r="I10" s="171">
        <v>2.3199999999999998</v>
      </c>
      <c r="J10" s="23">
        <v>0.23142250530785557</v>
      </c>
      <c r="K10" s="23"/>
      <c r="L10" s="47">
        <v>10000</v>
      </c>
      <c r="M10" s="114">
        <v>46329</v>
      </c>
      <c r="N10" s="304">
        <v>358</v>
      </c>
    </row>
    <row r="11" spans="1:14" ht="13">
      <c r="A11" s="188">
        <v>45978</v>
      </c>
      <c r="B11" s="10" t="s">
        <v>715</v>
      </c>
      <c r="C11" s="7" t="s">
        <v>7</v>
      </c>
      <c r="D11" s="21" t="s">
        <v>106</v>
      </c>
      <c r="E11" s="21" t="s">
        <v>715</v>
      </c>
      <c r="F11" s="109">
        <v>-2000</v>
      </c>
      <c r="G11" s="22">
        <v>830</v>
      </c>
      <c r="H11" s="22">
        <v>920.69</v>
      </c>
      <c r="I11" s="171">
        <v>3.6</v>
      </c>
      <c r="J11" s="23">
        <v>-9.8502210298797688E-2</v>
      </c>
      <c r="K11" s="23"/>
      <c r="L11" s="47">
        <v>9999.9999999999982</v>
      </c>
      <c r="M11" s="114">
        <v>46329</v>
      </c>
      <c r="N11" s="304">
        <v>352</v>
      </c>
    </row>
    <row r="12" spans="1:14" ht="13">
      <c r="A12" s="188">
        <v>46002</v>
      </c>
      <c r="B12" s="10" t="s">
        <v>721</v>
      </c>
      <c r="C12" s="7" t="s">
        <v>7</v>
      </c>
      <c r="D12" s="21" t="s">
        <v>304</v>
      </c>
      <c r="E12" s="21" t="s">
        <v>305</v>
      </c>
      <c r="F12" s="109">
        <v>-8.5</v>
      </c>
      <c r="G12" s="115">
        <v>490</v>
      </c>
      <c r="H12" s="110">
        <v>624.13</v>
      </c>
      <c r="I12" s="171">
        <v>11.9674</v>
      </c>
      <c r="J12" s="23">
        <v>-0.21490715075384936</v>
      </c>
      <c r="K12" s="23"/>
      <c r="L12" s="47">
        <v>20825</v>
      </c>
      <c r="M12" s="114">
        <v>46191</v>
      </c>
      <c r="N12" s="304">
        <v>189</v>
      </c>
    </row>
    <row r="13" spans="1:14" ht="13">
      <c r="A13" s="188">
        <v>46003</v>
      </c>
      <c r="B13" s="10" t="s">
        <v>108</v>
      </c>
      <c r="C13" s="7" t="s">
        <v>6</v>
      </c>
      <c r="D13" s="21" t="s">
        <v>103</v>
      </c>
      <c r="E13" s="21" t="s">
        <v>104</v>
      </c>
      <c r="F13" s="109">
        <v>-1500</v>
      </c>
      <c r="G13" s="115">
        <v>0.72499999999999998</v>
      </c>
      <c r="H13" s="110">
        <v>0.66459999999999997</v>
      </c>
      <c r="I13" s="171">
        <v>0</v>
      </c>
      <c r="J13" s="23">
        <v>9.0881733373457729E-2</v>
      </c>
      <c r="K13" s="704">
        <v>0.21216883834821912</v>
      </c>
      <c r="L13" s="47">
        <v>4984.5</v>
      </c>
      <c r="M13" s="114">
        <v>46373</v>
      </c>
      <c r="N13" s="304">
        <v>370</v>
      </c>
    </row>
    <row r="14" spans="1:14" ht="13">
      <c r="A14" s="188">
        <v>46003</v>
      </c>
      <c r="B14" s="10" t="s">
        <v>108</v>
      </c>
      <c r="C14" s="7" t="s">
        <v>7</v>
      </c>
      <c r="D14" s="21" t="s">
        <v>103</v>
      </c>
      <c r="E14" s="21" t="s">
        <v>104</v>
      </c>
      <c r="F14" s="109">
        <v>-1500</v>
      </c>
      <c r="G14" s="115">
        <v>0.61499999999999999</v>
      </c>
      <c r="H14" s="110">
        <v>0.66459999999999997</v>
      </c>
      <c r="I14" s="171">
        <v>4.25</v>
      </c>
      <c r="J14" s="23">
        <v>-7.4631357207342708E-2</v>
      </c>
      <c r="K14" s="704">
        <v>0.2493198459860792</v>
      </c>
      <c r="L14" s="47">
        <v>4984.5</v>
      </c>
      <c r="M14" s="114">
        <v>46373</v>
      </c>
      <c r="N14" s="304">
        <v>370</v>
      </c>
    </row>
    <row r="15" spans="1:14" ht="13">
      <c r="A15" s="188">
        <v>46003</v>
      </c>
      <c r="B15" s="10" t="s">
        <v>721</v>
      </c>
      <c r="C15" s="7" t="s">
        <v>7</v>
      </c>
      <c r="D15" s="21" t="s">
        <v>65</v>
      </c>
      <c r="E15" s="21" t="s">
        <v>63</v>
      </c>
      <c r="F15" s="109">
        <v>-7.5</v>
      </c>
      <c r="G15" s="115">
        <v>520</v>
      </c>
      <c r="H15" s="110">
        <v>683.85500000000002</v>
      </c>
      <c r="I15" s="171">
        <v>6.6593999999999998</v>
      </c>
      <c r="J15" s="23">
        <v>-0.23960488700089932</v>
      </c>
      <c r="K15" s="704">
        <v>0.17269282838157213</v>
      </c>
      <c r="L15" s="47">
        <v>19500</v>
      </c>
      <c r="M15" s="114">
        <v>46191</v>
      </c>
      <c r="N15" s="304">
        <v>188</v>
      </c>
    </row>
    <row r="16" spans="1:14" ht="13">
      <c r="A16" s="188">
        <v>46030</v>
      </c>
      <c r="B16" s="10" t="s">
        <v>721</v>
      </c>
      <c r="C16" s="7" t="s">
        <v>7</v>
      </c>
      <c r="D16" s="21" t="s">
        <v>544</v>
      </c>
      <c r="E16" s="21" t="s">
        <v>545</v>
      </c>
      <c r="F16" s="594">
        <v>-6</v>
      </c>
      <c r="G16" s="592">
        <v>640</v>
      </c>
      <c r="H16" s="751">
        <v>937</v>
      </c>
      <c r="I16" s="171">
        <v>6.5153999999999996</v>
      </c>
      <c r="J16" s="258">
        <f>IF(G16="",0,G16/H16-1)</f>
        <v>-0.31696905016008536</v>
      </c>
      <c r="K16" s="23">
        <f>IFERROR(#REF!,0)</f>
        <v>0</v>
      </c>
      <c r="L16" s="47">
        <v>9.6</v>
      </c>
      <c r="M16" s="283">
        <v>46191</v>
      </c>
      <c r="N16" s="304">
        <f ca="1">IF(M16="","",M16-TODAY())</f>
        <v>66</v>
      </c>
    </row>
    <row r="17" spans="1:14" ht="13">
      <c r="A17" s="188">
        <v>46030</v>
      </c>
      <c r="B17" s="10" t="s">
        <v>720</v>
      </c>
      <c r="C17" s="7" t="s">
        <v>7</v>
      </c>
      <c r="D17" s="21" t="s">
        <v>304</v>
      </c>
      <c r="E17" s="21" t="s">
        <v>305</v>
      </c>
      <c r="F17" s="594">
        <v>-8.5</v>
      </c>
      <c r="G17" s="592">
        <v>460</v>
      </c>
      <c r="H17" s="592">
        <v>621</v>
      </c>
      <c r="I17" s="171">
        <v>8.0749999999999993</v>
      </c>
      <c r="J17" s="258">
        <f>IF(G17="",0,G17/H17-1)</f>
        <v>-0.2592592592592593</v>
      </c>
      <c r="K17" s="23">
        <f>IFERROR(#REF!,0)</f>
        <v>0</v>
      </c>
      <c r="L17" s="47">
        <v>9.7750000000000004</v>
      </c>
      <c r="M17" s="283">
        <v>46191</v>
      </c>
      <c r="N17" s="304">
        <f ca="1">IF(M17="","",M17-TODAY())</f>
        <v>66</v>
      </c>
    </row>
    <row r="18" spans="1:14" ht="13">
      <c r="A18" s="188">
        <v>46034</v>
      </c>
      <c r="B18" s="10" t="s">
        <v>721</v>
      </c>
      <c r="C18" s="7" t="s">
        <v>7</v>
      </c>
      <c r="D18" s="21" t="s">
        <v>65</v>
      </c>
      <c r="E18" s="21" t="s">
        <v>63</v>
      </c>
      <c r="F18" s="594">
        <v>-7.5</v>
      </c>
      <c r="G18" s="592">
        <v>525</v>
      </c>
      <c r="H18" s="592">
        <v>695.03499999999997</v>
      </c>
      <c r="I18" s="171">
        <v>4.6643999999999997</v>
      </c>
      <c r="J18" s="258">
        <v>-0.24464235614033825</v>
      </c>
      <c r="K18" s="23">
        <v>0.14226846705295165</v>
      </c>
      <c r="L18" s="47">
        <v>19687.5</v>
      </c>
      <c r="M18" s="283">
        <v>46191</v>
      </c>
      <c r="N18" s="304">
        <v>157</v>
      </c>
    </row>
    <row r="19" spans="1:14" ht="13">
      <c r="A19" s="188">
        <v>46034</v>
      </c>
      <c r="B19" s="10" t="s">
        <v>721</v>
      </c>
      <c r="C19" s="7" t="s">
        <v>7</v>
      </c>
      <c r="D19" s="21" t="s">
        <v>160</v>
      </c>
      <c r="E19" s="21" t="s">
        <v>160</v>
      </c>
      <c r="F19" s="594">
        <v>-7.5</v>
      </c>
      <c r="G19" s="592">
        <v>190</v>
      </c>
      <c r="H19" s="592">
        <v>260.65999999999997</v>
      </c>
      <c r="I19" s="171">
        <v>2.0994000000000002</v>
      </c>
      <c r="J19" s="258">
        <v>-0.23271694928259024</v>
      </c>
      <c r="K19" s="23">
        <v>0.15071999353485763</v>
      </c>
      <c r="L19" s="47">
        <v>7500</v>
      </c>
      <c r="M19" s="283">
        <v>46191</v>
      </c>
      <c r="N19" s="304">
        <v>157</v>
      </c>
    </row>
    <row r="20" spans="1:14" ht="13">
      <c r="A20" s="188">
        <v>46034</v>
      </c>
      <c r="B20" s="10" t="s">
        <v>721</v>
      </c>
      <c r="C20" s="7" t="s">
        <v>7</v>
      </c>
      <c r="D20" s="21" t="s">
        <v>717</v>
      </c>
      <c r="E20" s="21" t="s">
        <v>718</v>
      </c>
      <c r="F20" s="594">
        <v>-2</v>
      </c>
      <c r="G20" s="592">
        <v>280</v>
      </c>
      <c r="H20" s="592">
        <v>415.23500000000001</v>
      </c>
      <c r="I20" s="171">
        <v>4.5914000000000001</v>
      </c>
      <c r="J20" s="258">
        <v>-0.32568304694931793</v>
      </c>
      <c r="K20" s="23">
        <v>5.7191006172942663E-2</v>
      </c>
      <c r="L20" s="47">
        <v>2800</v>
      </c>
      <c r="M20" s="283">
        <v>46191</v>
      </c>
      <c r="N20" s="304">
        <v>156</v>
      </c>
    </row>
    <row r="21" spans="1:14" ht="13">
      <c r="A21" s="188">
        <v>46035</v>
      </c>
      <c r="B21" s="10" t="s">
        <v>332</v>
      </c>
      <c r="C21" s="7" t="s">
        <v>643</v>
      </c>
      <c r="D21" s="21" t="s">
        <v>106</v>
      </c>
      <c r="E21" s="21" t="s">
        <v>715</v>
      </c>
      <c r="F21" s="594">
        <v>1000</v>
      </c>
      <c r="G21" s="592">
        <v>830</v>
      </c>
      <c r="H21" s="592">
        <v>886.67499999999995</v>
      </c>
      <c r="I21" s="171">
        <v>-3.1</v>
      </c>
      <c r="J21" s="258">
        <v>-6.3918572193870316E-2</v>
      </c>
      <c r="K21" s="23">
        <v>0.3423216505596014</v>
      </c>
      <c r="L21" s="47">
        <v>-5000</v>
      </c>
      <c r="M21" s="283">
        <v>46329</v>
      </c>
      <c r="N21" s="304">
        <v>294</v>
      </c>
    </row>
    <row r="22" spans="1:14" ht="13">
      <c r="A22" s="188">
        <v>46035</v>
      </c>
      <c r="B22" s="10" t="s">
        <v>332</v>
      </c>
      <c r="C22" s="7" t="s">
        <v>7</v>
      </c>
      <c r="D22" s="21" t="s">
        <v>103</v>
      </c>
      <c r="E22" s="21" t="s">
        <v>104</v>
      </c>
      <c r="F22" s="594">
        <v>-1500</v>
      </c>
      <c r="G22" s="592">
        <v>0.62</v>
      </c>
      <c r="H22" s="592">
        <v>0.67035</v>
      </c>
      <c r="I22" s="171">
        <v>2.2000000000000002</v>
      </c>
      <c r="J22" s="258">
        <v>-7.5110017155217479E-2</v>
      </c>
      <c r="K22" s="23">
        <v>0.23745864158801125</v>
      </c>
      <c r="L22" s="47">
        <v>5027.625</v>
      </c>
      <c r="M22" s="283">
        <v>46373</v>
      </c>
      <c r="N22" s="304">
        <v>338</v>
      </c>
    </row>
    <row r="23" spans="1:14" ht="13">
      <c r="A23" s="188">
        <v>46035</v>
      </c>
      <c r="B23" s="10" t="s">
        <v>721</v>
      </c>
      <c r="C23" s="7" t="s">
        <v>7</v>
      </c>
      <c r="D23" s="21" t="s">
        <v>304</v>
      </c>
      <c r="E23" s="21" t="s">
        <v>305</v>
      </c>
      <c r="F23" s="594">
        <v>-8.5</v>
      </c>
      <c r="G23" s="592">
        <v>370</v>
      </c>
      <c r="H23" s="592">
        <v>627.29</v>
      </c>
      <c r="I23" s="171">
        <v>6.1703999999999999</v>
      </c>
      <c r="J23" s="258">
        <v>-0.41016116947504344</v>
      </c>
      <c r="K23" s="23">
        <v>0.1312423630829424</v>
      </c>
      <c r="L23" s="47">
        <v>15725</v>
      </c>
      <c r="M23" s="283">
        <v>46374</v>
      </c>
      <c r="N23" s="304">
        <v>339</v>
      </c>
    </row>
    <row r="24" spans="1:14" ht="13">
      <c r="A24" s="188">
        <v>46035</v>
      </c>
      <c r="B24" s="10" t="s">
        <v>721</v>
      </c>
      <c r="C24" s="7" t="s">
        <v>7</v>
      </c>
      <c r="D24" s="21" t="s">
        <v>65</v>
      </c>
      <c r="E24" s="21" t="s">
        <v>63</v>
      </c>
      <c r="F24" s="594">
        <v>-6</v>
      </c>
      <c r="G24" s="592">
        <v>480</v>
      </c>
      <c r="H24" s="592">
        <v>695.59</v>
      </c>
      <c r="I24" s="171">
        <v>2.4594</v>
      </c>
      <c r="J24" s="258">
        <v>-0.30993832573786284</v>
      </c>
      <c r="K24" s="23">
        <v>7.5232141662629856E-2</v>
      </c>
      <c r="L24" s="47">
        <v>14400</v>
      </c>
      <c r="M24" s="283">
        <v>46191</v>
      </c>
      <c r="N24" s="304">
        <v>156</v>
      </c>
    </row>
    <row r="25" spans="1:14" ht="13">
      <c r="A25" s="188">
        <v>46035</v>
      </c>
      <c r="B25" s="10" t="s">
        <v>721</v>
      </c>
      <c r="C25" s="7" t="s">
        <v>7</v>
      </c>
      <c r="D25" s="21" t="s">
        <v>721</v>
      </c>
      <c r="E25" s="21" t="s">
        <v>517</v>
      </c>
      <c r="F25" s="594">
        <v>-25</v>
      </c>
      <c r="G25" s="592">
        <v>115</v>
      </c>
      <c r="H25" s="592">
        <v>184.23500000000001</v>
      </c>
      <c r="I25" s="171">
        <v>3.9487999999999999</v>
      </c>
      <c r="J25" s="258">
        <v>-0.37579721551279621</v>
      </c>
      <c r="K25" s="23">
        <v>2.8844322148444731E-2</v>
      </c>
      <c r="L25" s="47">
        <v>14375</v>
      </c>
      <c r="M25" s="283">
        <v>46191</v>
      </c>
      <c r="N25" s="304">
        <v>156</v>
      </c>
    </row>
    <row r="26" spans="1:14" ht="13">
      <c r="A26" s="188">
        <v>46035</v>
      </c>
      <c r="B26" s="10" t="s">
        <v>721</v>
      </c>
      <c r="C26" s="7" t="s">
        <v>7</v>
      </c>
      <c r="D26" s="21" t="s">
        <v>317</v>
      </c>
      <c r="E26" s="21" t="s">
        <v>317</v>
      </c>
      <c r="F26" s="594">
        <v>-7.5</v>
      </c>
      <c r="G26" s="592">
        <v>235</v>
      </c>
      <c r="H26" s="592">
        <v>320.77</v>
      </c>
      <c r="I26" s="171">
        <v>2.9693999999999998</v>
      </c>
      <c r="J26" s="258">
        <v>-0.2673878479907722</v>
      </c>
      <c r="K26" s="23">
        <v>0.10822653738650909</v>
      </c>
      <c r="L26" s="47">
        <v>8812.5</v>
      </c>
      <c r="M26" s="283">
        <v>46191</v>
      </c>
      <c r="N26" s="304">
        <v>156</v>
      </c>
    </row>
    <row r="27" spans="1:14" ht="13">
      <c r="A27" s="188">
        <v>46036</v>
      </c>
      <c r="B27" s="10" t="s">
        <v>721</v>
      </c>
      <c r="C27" s="7" t="s">
        <v>643</v>
      </c>
      <c r="D27" s="21" t="s">
        <v>65</v>
      </c>
      <c r="E27" s="21" t="s">
        <v>63</v>
      </c>
      <c r="F27" s="594">
        <v>-6</v>
      </c>
      <c r="G27" s="592">
        <v>480</v>
      </c>
      <c r="H27" s="592">
        <v>690.80499999999995</v>
      </c>
      <c r="I27" s="171">
        <v>-3.0125999999999999</v>
      </c>
      <c r="J27" s="258">
        <v>-0.30515847453333422</v>
      </c>
      <c r="K27" s="23">
        <v>7.8533505202588602E-2</v>
      </c>
      <c r="L27" s="47">
        <v>14400</v>
      </c>
      <c r="M27" s="283">
        <v>46191</v>
      </c>
      <c r="N27" s="304">
        <v>155</v>
      </c>
    </row>
    <row r="28" spans="1:14" ht="13">
      <c r="A28" s="188">
        <v>46036</v>
      </c>
      <c r="B28" s="10" t="s">
        <v>721</v>
      </c>
      <c r="C28" s="7" t="s">
        <v>643</v>
      </c>
      <c r="D28" s="21" t="s">
        <v>65</v>
      </c>
      <c r="E28" s="21" t="s">
        <v>63</v>
      </c>
      <c r="F28" s="594">
        <v>-7.5</v>
      </c>
      <c r="G28" s="592">
        <v>520</v>
      </c>
      <c r="H28" s="592">
        <v>689.94500000000005</v>
      </c>
      <c r="I28" s="171">
        <v>-5.5206</v>
      </c>
      <c r="J28" s="258">
        <v>-0.24631673539195154</v>
      </c>
      <c r="K28" s="23">
        <v>0.13857602149856157</v>
      </c>
      <c r="L28" s="47">
        <v>19500</v>
      </c>
      <c r="M28" s="283">
        <v>46191</v>
      </c>
      <c r="N28" s="304">
        <v>155</v>
      </c>
    </row>
    <row r="29" spans="1:14" ht="13">
      <c r="A29" s="188">
        <v>46036</v>
      </c>
      <c r="B29" s="10" t="s">
        <v>332</v>
      </c>
      <c r="C29" s="7" t="s">
        <v>7</v>
      </c>
      <c r="D29" s="21" t="s">
        <v>65</v>
      </c>
      <c r="E29" s="21" t="s">
        <v>63</v>
      </c>
      <c r="F29" s="594">
        <v>-7.5</v>
      </c>
      <c r="G29" s="592">
        <v>520</v>
      </c>
      <c r="H29" s="592">
        <v>689.73500000000001</v>
      </c>
      <c r="I29" s="171">
        <v>5.3250000000000002</v>
      </c>
      <c r="J29" s="258">
        <v>-0.24608726539903003</v>
      </c>
      <c r="K29" s="23">
        <v>0.13884792613340899</v>
      </c>
      <c r="L29" s="47">
        <v>19500</v>
      </c>
      <c r="M29" s="283">
        <v>46191</v>
      </c>
      <c r="N29" s="304">
        <v>155</v>
      </c>
    </row>
    <row r="30" spans="1:14" ht="13">
      <c r="A30" s="188">
        <v>46036</v>
      </c>
      <c r="B30" s="10" t="s">
        <v>332</v>
      </c>
      <c r="C30" s="7" t="s">
        <v>7</v>
      </c>
      <c r="D30" s="21" t="s">
        <v>65</v>
      </c>
      <c r="E30" s="21" t="s">
        <v>63</v>
      </c>
      <c r="F30" s="594">
        <v>-7.5</v>
      </c>
      <c r="G30" s="592">
        <v>500</v>
      </c>
      <c r="H30" s="592">
        <v>688.95</v>
      </c>
      <c r="I30" s="171">
        <v>4.38</v>
      </c>
      <c r="J30" s="258">
        <v>-0.27425792873212862</v>
      </c>
      <c r="K30" s="23">
        <v>0.10761800022283231</v>
      </c>
      <c r="L30" s="47">
        <v>18750</v>
      </c>
      <c r="M30" s="283">
        <v>46191</v>
      </c>
      <c r="N30" s="304">
        <v>155</v>
      </c>
    </row>
    <row r="31" spans="1:14" ht="13">
      <c r="A31" s="188">
        <v>46036</v>
      </c>
      <c r="B31" s="10" t="s">
        <v>716</v>
      </c>
      <c r="C31" s="7" t="s">
        <v>7</v>
      </c>
      <c r="D31" s="21" t="s">
        <v>65</v>
      </c>
      <c r="E31" s="21" t="s">
        <v>63</v>
      </c>
      <c r="F31" s="594">
        <v>-6</v>
      </c>
      <c r="G31" s="592">
        <v>480</v>
      </c>
      <c r="H31" s="592">
        <v>688.56500000000005</v>
      </c>
      <c r="I31" s="171">
        <v>3.0359999999999996</v>
      </c>
      <c r="J31" s="258">
        <v>-0.30289805610218357</v>
      </c>
      <c r="K31" s="23">
        <v>8.0474157203713856E-2</v>
      </c>
      <c r="L31" s="47">
        <v>14400</v>
      </c>
      <c r="M31" s="283">
        <v>46191</v>
      </c>
      <c r="N31" s="304">
        <v>155</v>
      </c>
    </row>
    <row r="32" spans="1:14" ht="13">
      <c r="A32" s="188">
        <v>46037</v>
      </c>
      <c r="B32" s="10" t="s">
        <v>721</v>
      </c>
      <c r="C32" s="7" t="s">
        <v>643</v>
      </c>
      <c r="D32" s="21" t="s">
        <v>304</v>
      </c>
      <c r="E32" s="21" t="s">
        <v>305</v>
      </c>
      <c r="F32" s="594">
        <v>-8.5</v>
      </c>
      <c r="G32" s="592">
        <v>490</v>
      </c>
      <c r="H32" s="592">
        <v>625.64499999999998</v>
      </c>
      <c r="I32" s="171">
        <v>-8.5345999999999993</v>
      </c>
      <c r="J32" s="258">
        <v>-0.21680825388199376</v>
      </c>
      <c r="K32" s="23">
        <v>0.2202925258259853</v>
      </c>
      <c r="L32" s="47">
        <v>20825</v>
      </c>
      <c r="M32" s="283">
        <v>46191</v>
      </c>
      <c r="N32" s="304">
        <v>154</v>
      </c>
    </row>
    <row r="33" spans="1:14" ht="13">
      <c r="A33" s="188">
        <v>46037</v>
      </c>
      <c r="B33" s="10" t="s">
        <v>108</v>
      </c>
      <c r="C33" s="7" t="s">
        <v>7</v>
      </c>
      <c r="D33" s="21" t="s">
        <v>304</v>
      </c>
      <c r="E33" s="21" t="s">
        <v>305</v>
      </c>
      <c r="F33" s="594">
        <v>-8.5</v>
      </c>
      <c r="G33" s="592">
        <v>490</v>
      </c>
      <c r="H33" s="592">
        <v>626.09500000000003</v>
      </c>
      <c r="I33" s="171">
        <v>8.2084992999999979</v>
      </c>
      <c r="J33" s="258">
        <v>-0.21737116571766268</v>
      </c>
      <c r="K33" s="23">
        <v>0.21954779370634867</v>
      </c>
      <c r="L33" s="47">
        <v>20825</v>
      </c>
      <c r="M33" s="283">
        <v>46191</v>
      </c>
      <c r="N33" s="304">
        <v>154</v>
      </c>
    </row>
    <row r="34" spans="1:14" ht="13">
      <c r="A34" s="188">
        <v>46044</v>
      </c>
      <c r="B34" s="10" t="s">
        <v>720</v>
      </c>
      <c r="C34" s="7" t="s">
        <v>7</v>
      </c>
      <c r="D34" s="21" t="s">
        <v>544</v>
      </c>
      <c r="E34" s="21" t="s">
        <v>545</v>
      </c>
      <c r="F34" s="594">
        <v>-7.5</v>
      </c>
      <c r="G34" s="592">
        <v>750</v>
      </c>
      <c r="H34" s="592">
        <v>978.23513400000002</v>
      </c>
      <c r="I34" s="171">
        <v>18</v>
      </c>
      <c r="J34" s="258">
        <v>-0.23331316374494482</v>
      </c>
      <c r="K34" s="23">
        <v>0.10733617327814801</v>
      </c>
      <c r="L34" s="47">
        <v>28125</v>
      </c>
      <c r="M34" s="283">
        <v>46191</v>
      </c>
      <c r="N34" s="304">
        <v>147</v>
      </c>
    </row>
    <row r="35" spans="1:14" ht="13">
      <c r="A35" s="188">
        <v>46044</v>
      </c>
      <c r="B35" s="10" t="s">
        <v>720</v>
      </c>
      <c r="C35" s="7" t="s">
        <v>643</v>
      </c>
      <c r="D35" s="21" t="s">
        <v>544</v>
      </c>
      <c r="E35" s="21" t="s">
        <v>545</v>
      </c>
      <c r="F35" s="594">
        <v>-7.5</v>
      </c>
      <c r="G35" s="592">
        <v>660</v>
      </c>
      <c r="H35" s="592">
        <v>978.60961099999997</v>
      </c>
      <c r="I35" s="171">
        <v>-7.6459999999999999</v>
      </c>
      <c r="J35" s="258">
        <v>-0.32557376038278041</v>
      </c>
      <c r="K35" s="23">
        <v>3.193743239258047E-2</v>
      </c>
      <c r="L35" s="47">
        <v>24750</v>
      </c>
      <c r="M35" s="283">
        <v>46191</v>
      </c>
      <c r="N35" s="304">
        <v>147</v>
      </c>
    </row>
    <row r="36" spans="1:14" ht="13">
      <c r="A36" s="188">
        <v>46045</v>
      </c>
      <c r="B36" s="10" t="s">
        <v>720</v>
      </c>
      <c r="C36" s="7" t="s">
        <v>643</v>
      </c>
      <c r="D36" s="21" t="s">
        <v>275</v>
      </c>
      <c r="E36" s="21" t="s">
        <v>333</v>
      </c>
      <c r="F36" s="594">
        <v>-10</v>
      </c>
      <c r="G36" s="592">
        <v>135</v>
      </c>
      <c r="H36" s="592">
        <v>187.15</v>
      </c>
      <c r="I36" s="171">
        <v>-7</v>
      </c>
      <c r="J36" s="23">
        <v>-0.27865348650814858</v>
      </c>
      <c r="K36" s="23">
        <v>0.15097458425482571</v>
      </c>
      <c r="L36" s="47">
        <v>6750</v>
      </c>
      <c r="M36" s="114">
        <v>46191</v>
      </c>
      <c r="N36" s="304">
        <v>146</v>
      </c>
    </row>
    <row r="37" spans="1:14" ht="13">
      <c r="A37" s="188">
        <v>46045</v>
      </c>
      <c r="B37" s="10" t="s">
        <v>720</v>
      </c>
      <c r="C37" s="7" t="s">
        <v>7</v>
      </c>
      <c r="D37" s="21" t="s">
        <v>275</v>
      </c>
      <c r="E37" s="21" t="s">
        <v>333</v>
      </c>
      <c r="F37" s="594">
        <v>-10</v>
      </c>
      <c r="G37" s="592">
        <v>144</v>
      </c>
      <c r="H37" s="592">
        <v>187.93</v>
      </c>
      <c r="I37" s="171">
        <v>9.9009999999999998</v>
      </c>
      <c r="J37" s="23">
        <v>-0.23375725003990855</v>
      </c>
      <c r="K37" s="23">
        <v>0.2047644679930711</v>
      </c>
      <c r="L37" s="47">
        <v>7200</v>
      </c>
      <c r="M37" s="114">
        <v>46191</v>
      </c>
      <c r="N37" s="304">
        <v>146</v>
      </c>
    </row>
    <row r="38" spans="1:14" ht="13">
      <c r="A38" s="188">
        <v>46045</v>
      </c>
      <c r="B38" s="10" t="s">
        <v>721</v>
      </c>
      <c r="C38" s="7" t="s">
        <v>643</v>
      </c>
      <c r="D38" s="21" t="s">
        <v>721</v>
      </c>
      <c r="E38" s="21" t="s">
        <v>517</v>
      </c>
      <c r="F38" s="594">
        <v>-20</v>
      </c>
      <c r="G38" s="592">
        <v>125</v>
      </c>
      <c r="H38" s="592">
        <v>182.67392900000002</v>
      </c>
      <c r="I38" s="171">
        <v>-4.9606000000000003</v>
      </c>
      <c r="J38" s="23">
        <v>-0.31572063575640297</v>
      </c>
      <c r="K38" s="23">
        <v>0</v>
      </c>
      <c r="L38" s="47">
        <v>12500</v>
      </c>
      <c r="M38" s="114">
        <v>46191</v>
      </c>
      <c r="N38" s="304">
        <v>146</v>
      </c>
    </row>
    <row r="39" spans="1:14" ht="13">
      <c r="A39" s="188">
        <v>46045</v>
      </c>
      <c r="B39" s="10" t="s">
        <v>721</v>
      </c>
      <c r="C39" s="7" t="s">
        <v>7</v>
      </c>
      <c r="D39" s="21" t="s">
        <v>721</v>
      </c>
      <c r="E39" s="21" t="s">
        <v>517</v>
      </c>
      <c r="F39" s="594">
        <v>-20</v>
      </c>
      <c r="G39" s="592">
        <v>140</v>
      </c>
      <c r="H39" s="592">
        <v>182.754897</v>
      </c>
      <c r="I39" s="171">
        <v>8.6394000000000002</v>
      </c>
      <c r="J39" s="23">
        <v>-0.23394665588632624</v>
      </c>
      <c r="K39" s="23">
        <v>0</v>
      </c>
      <c r="L39" s="47">
        <v>14000</v>
      </c>
      <c r="M39" s="114">
        <v>46191</v>
      </c>
      <c r="N39" s="304">
        <v>146</v>
      </c>
    </row>
    <row r="40" spans="1:14" ht="13">
      <c r="A40" s="188">
        <v>46045</v>
      </c>
      <c r="B40" s="10" t="s">
        <v>721</v>
      </c>
      <c r="C40" s="7" t="s">
        <v>643</v>
      </c>
      <c r="D40" s="21" t="s">
        <v>544</v>
      </c>
      <c r="E40" s="21" t="s">
        <v>545</v>
      </c>
      <c r="F40" s="594">
        <v>-6</v>
      </c>
      <c r="G40" s="592">
        <v>650</v>
      </c>
      <c r="H40" s="592">
        <v>939.73485000000005</v>
      </c>
      <c r="I40" s="171">
        <v>-6.7302</v>
      </c>
      <c r="J40" s="23">
        <v>-0.30831553176941351</v>
      </c>
      <c r="K40" s="23">
        <v>0</v>
      </c>
      <c r="L40" s="47">
        <v>19500</v>
      </c>
      <c r="M40" s="114">
        <v>46191</v>
      </c>
      <c r="N40" s="304">
        <v>146</v>
      </c>
    </row>
    <row r="41" spans="1:14" ht="13">
      <c r="A41" s="188">
        <v>46045</v>
      </c>
      <c r="B41" s="10" t="s">
        <v>721</v>
      </c>
      <c r="C41" s="7" t="s">
        <v>7</v>
      </c>
      <c r="D41" s="21" t="s">
        <v>544</v>
      </c>
      <c r="E41" s="21" t="s">
        <v>545</v>
      </c>
      <c r="F41" s="594">
        <v>-6</v>
      </c>
      <c r="G41" s="592">
        <v>720</v>
      </c>
      <c r="H41" s="592">
        <v>941.17203199999994</v>
      </c>
      <c r="I41" s="171">
        <v>12.9354</v>
      </c>
      <c r="J41" s="23">
        <v>-0.23499639224298574</v>
      </c>
      <c r="K41" s="23">
        <v>0</v>
      </c>
      <c r="L41" s="47">
        <v>21600</v>
      </c>
      <c r="M41" s="114">
        <v>46191</v>
      </c>
      <c r="N41" s="304">
        <v>146</v>
      </c>
    </row>
    <row r="42" spans="1:14" ht="13">
      <c r="A42" s="188">
        <v>46045</v>
      </c>
      <c r="B42" s="10" t="s">
        <v>332</v>
      </c>
      <c r="C42" s="7" t="s">
        <v>6</v>
      </c>
      <c r="D42" s="21" t="s">
        <v>103</v>
      </c>
      <c r="E42" s="21" t="s">
        <v>104</v>
      </c>
      <c r="F42" s="594">
        <v>-1500</v>
      </c>
      <c r="G42" s="818">
        <v>0.73</v>
      </c>
      <c r="H42" s="592">
        <v>0.6885</v>
      </c>
      <c r="I42" s="171">
        <v>0</v>
      </c>
      <c r="J42" s="23">
        <v>6.0275962236746583E-2</v>
      </c>
      <c r="K42" s="23">
        <v>0.36150891692369114</v>
      </c>
      <c r="L42" s="47">
        <v>5163.75</v>
      </c>
      <c r="M42" s="114">
        <v>46351</v>
      </c>
      <c r="N42" s="304">
        <v>306</v>
      </c>
    </row>
    <row r="43" spans="1:14" ht="13">
      <c r="A43" s="188">
        <v>45988</v>
      </c>
      <c r="B43" s="10" t="s">
        <v>332</v>
      </c>
      <c r="C43" s="7" t="s">
        <v>6</v>
      </c>
      <c r="D43" s="21" t="s">
        <v>103</v>
      </c>
      <c r="E43" s="21" t="s">
        <v>104</v>
      </c>
      <c r="F43" s="594">
        <v>-1500</v>
      </c>
      <c r="G43" s="818">
        <v>0.7</v>
      </c>
      <c r="H43" s="592">
        <v>0.6885</v>
      </c>
      <c r="I43" s="171">
        <v>-2.8050000000000002</v>
      </c>
      <c r="J43" s="23">
        <v>1.6702977487291104E-2</v>
      </c>
      <c r="K43" s="23">
        <v>0.43157640610281645</v>
      </c>
      <c r="L43" s="47">
        <v>5163.75</v>
      </c>
      <c r="M43" s="114">
        <v>46351</v>
      </c>
      <c r="N43" s="304">
        <v>306</v>
      </c>
    </row>
    <row r="44" spans="1:14" ht="13">
      <c r="A44" s="188">
        <v>46045</v>
      </c>
      <c r="B44" s="10" t="s">
        <v>108</v>
      </c>
      <c r="C44" s="7" t="s">
        <v>6</v>
      </c>
      <c r="D44" s="21" t="s">
        <v>103</v>
      </c>
      <c r="E44" s="21" t="s">
        <v>104</v>
      </c>
      <c r="F44" s="594">
        <v>-1500</v>
      </c>
      <c r="G44" s="818">
        <v>0.73499999999999999</v>
      </c>
      <c r="H44" s="592">
        <v>0.68840000000000001</v>
      </c>
      <c r="I44" s="171">
        <v>0</v>
      </c>
      <c r="J44" s="23">
        <v>6.769320162696113E-2</v>
      </c>
      <c r="K44" s="23">
        <v>0.35023954661042006</v>
      </c>
      <c r="L44" s="47">
        <v>5163</v>
      </c>
      <c r="M44" s="114">
        <v>46351</v>
      </c>
      <c r="N44" s="304">
        <v>306</v>
      </c>
    </row>
    <row r="45" spans="1:14" ht="13">
      <c r="A45" s="188">
        <v>45993</v>
      </c>
      <c r="B45" s="10" t="s">
        <v>108</v>
      </c>
      <c r="C45" s="7" t="s">
        <v>6</v>
      </c>
      <c r="D45" s="21" t="s">
        <v>103</v>
      </c>
      <c r="E45" s="21" t="s">
        <v>104</v>
      </c>
      <c r="F45" s="594">
        <v>-1500</v>
      </c>
      <c r="G45" s="818">
        <v>0.70499999999999996</v>
      </c>
      <c r="H45" s="592">
        <v>0.68840000000000001</v>
      </c>
      <c r="I45" s="171">
        <v>-2.5449999999999999</v>
      </c>
      <c r="J45" s="23">
        <v>2.4113887274840096E-2</v>
      </c>
      <c r="K45" s="23">
        <v>0.41922665416649657</v>
      </c>
      <c r="L45" s="47">
        <v>5163</v>
      </c>
      <c r="M45" s="114">
        <v>46351</v>
      </c>
      <c r="N45" s="304">
        <v>306</v>
      </c>
    </row>
    <row r="46" spans="1:14" ht="13">
      <c r="A46" s="188">
        <v>46045</v>
      </c>
      <c r="B46" s="10" t="s">
        <v>332</v>
      </c>
      <c r="C46" s="7" t="s">
        <v>7</v>
      </c>
      <c r="D46" s="21" t="s">
        <v>106</v>
      </c>
      <c r="E46" s="21" t="s">
        <v>715</v>
      </c>
      <c r="F46" s="594">
        <v>-2500</v>
      </c>
      <c r="G46" s="592">
        <v>780</v>
      </c>
      <c r="H46" s="592">
        <v>865.96</v>
      </c>
      <c r="I46" s="171">
        <v>2.5</v>
      </c>
      <c r="J46" s="23">
        <v>-9.9265554990992655E-2</v>
      </c>
      <c r="K46" s="23">
        <v>0.36951073010241875</v>
      </c>
      <c r="L46" s="47">
        <v>12500</v>
      </c>
      <c r="M46" s="114">
        <v>46329</v>
      </c>
      <c r="N46" s="304">
        <v>284</v>
      </c>
    </row>
    <row r="47" spans="1:14" ht="13">
      <c r="A47" s="188">
        <v>46045</v>
      </c>
      <c r="B47" s="10" t="s">
        <v>332</v>
      </c>
      <c r="C47" s="7" t="s">
        <v>7</v>
      </c>
      <c r="D47" s="21" t="s">
        <v>103</v>
      </c>
      <c r="E47" s="21" t="s">
        <v>104</v>
      </c>
      <c r="F47" s="594">
        <v>-1500</v>
      </c>
      <c r="G47" s="818">
        <v>0.63</v>
      </c>
      <c r="H47" s="592">
        <v>0.68830000000000002</v>
      </c>
      <c r="I47" s="171">
        <v>1.9</v>
      </c>
      <c r="J47" s="23">
        <v>-8.4701438326311274E-2</v>
      </c>
      <c r="K47" s="23">
        <v>0.39479445224515231</v>
      </c>
      <c r="L47" s="47">
        <v>5162.25</v>
      </c>
      <c r="M47" s="114">
        <v>46373</v>
      </c>
      <c r="N47" s="304">
        <v>328</v>
      </c>
    </row>
    <row r="48" spans="1:14" ht="13">
      <c r="A48" s="188">
        <v>46048</v>
      </c>
      <c r="B48" s="10" t="s">
        <v>332</v>
      </c>
      <c r="C48" s="7" t="s">
        <v>6</v>
      </c>
      <c r="D48" s="21" t="s">
        <v>103</v>
      </c>
      <c r="E48" s="21" t="s">
        <v>104</v>
      </c>
      <c r="F48" s="594">
        <v>-1500</v>
      </c>
      <c r="G48" s="818">
        <v>0.74</v>
      </c>
      <c r="H48" s="592">
        <v>0.69155</v>
      </c>
      <c r="I48" s="171">
        <v>0</v>
      </c>
      <c r="J48" s="23">
        <v>7.006001012218932E-2</v>
      </c>
      <c r="K48" s="23">
        <v>0.34633370907018862</v>
      </c>
      <c r="L48" s="47">
        <v>5186.625</v>
      </c>
      <c r="M48" s="114">
        <v>46351</v>
      </c>
      <c r="N48" s="304">
        <v>303</v>
      </c>
    </row>
    <row r="49" spans="1:14" ht="13">
      <c r="A49" s="188">
        <v>46048</v>
      </c>
      <c r="B49" s="10" t="s">
        <v>332</v>
      </c>
      <c r="C49" s="7" t="s">
        <v>643</v>
      </c>
      <c r="D49" s="21" t="s">
        <v>103</v>
      </c>
      <c r="E49" s="21" t="s">
        <v>104</v>
      </c>
      <c r="F49" s="594">
        <v>-1500</v>
      </c>
      <c r="G49" s="818">
        <v>0.71</v>
      </c>
      <c r="H49" s="592">
        <v>0.69155</v>
      </c>
      <c r="I49" s="171">
        <v>-2.2999999999999998</v>
      </c>
      <c r="J49" s="23">
        <v>2.667919890101933E-2</v>
      </c>
      <c r="K49" s="23">
        <v>0.41496287301739521</v>
      </c>
      <c r="L49" s="47">
        <v>5186.625</v>
      </c>
      <c r="M49" s="114">
        <v>46351</v>
      </c>
      <c r="N49" s="304">
        <v>303</v>
      </c>
    </row>
    <row r="50" spans="1:14" ht="13">
      <c r="A50" s="188">
        <v>46048</v>
      </c>
      <c r="B50" s="10" t="s">
        <v>721</v>
      </c>
      <c r="C50" s="7" t="s">
        <v>643</v>
      </c>
      <c r="D50" s="21" t="s">
        <v>721</v>
      </c>
      <c r="E50" s="21" t="s">
        <v>517</v>
      </c>
      <c r="F50" s="594">
        <v>-20</v>
      </c>
      <c r="G50" s="592">
        <v>120</v>
      </c>
      <c r="H50" s="592">
        <v>180.71499999999997</v>
      </c>
      <c r="I50" s="171">
        <v>-3.92</v>
      </c>
      <c r="J50" s="23">
        <v>-0.3359710040671775</v>
      </c>
      <c r="K50" s="23">
        <v>0</v>
      </c>
      <c r="L50" s="47">
        <v>12000</v>
      </c>
      <c r="M50" s="114">
        <v>46191</v>
      </c>
      <c r="N50" s="304">
        <v>143</v>
      </c>
    </row>
    <row r="51" spans="1:14" ht="13">
      <c r="A51" s="188">
        <v>46048</v>
      </c>
      <c r="B51" s="10" t="s">
        <v>721</v>
      </c>
      <c r="C51" s="7" t="s">
        <v>7</v>
      </c>
      <c r="D51" s="21" t="s">
        <v>721</v>
      </c>
      <c r="E51" s="21" t="s">
        <v>517</v>
      </c>
      <c r="F51" s="594">
        <v>-22.5</v>
      </c>
      <c r="G51" s="592">
        <v>145</v>
      </c>
      <c r="H51" s="592">
        <v>181.78</v>
      </c>
      <c r="I51" s="171">
        <v>11.16</v>
      </c>
      <c r="J51" s="23">
        <v>-0.20233248982286278</v>
      </c>
      <c r="K51" s="23">
        <v>0</v>
      </c>
      <c r="L51" s="47">
        <v>16312.5</v>
      </c>
      <c r="M51" s="114">
        <v>46191</v>
      </c>
      <c r="N51" s="304">
        <v>143</v>
      </c>
    </row>
    <row r="52" spans="1:14" ht="13">
      <c r="A52" s="188">
        <v>46048</v>
      </c>
      <c r="B52" s="10" t="s">
        <v>720</v>
      </c>
      <c r="C52" s="7" t="s">
        <v>7</v>
      </c>
      <c r="D52" s="21" t="s">
        <v>722</v>
      </c>
      <c r="E52" s="21" t="s">
        <v>197</v>
      </c>
      <c r="F52" s="594">
        <v>-4.5</v>
      </c>
      <c r="G52" s="592">
        <v>370</v>
      </c>
      <c r="H52" s="592">
        <v>473.9</v>
      </c>
      <c r="I52" s="171">
        <v>3.9328199999999995</v>
      </c>
      <c r="J52" s="23">
        <v>-0.21924456636421186</v>
      </c>
      <c r="K52" s="23">
        <v>0</v>
      </c>
      <c r="L52" s="47">
        <v>8325</v>
      </c>
      <c r="M52" s="114">
        <v>46191</v>
      </c>
      <c r="N52" s="304">
        <v>143</v>
      </c>
    </row>
    <row r="53" spans="1:14" ht="13">
      <c r="A53" s="188">
        <v>46050</v>
      </c>
      <c r="B53" s="10" t="s">
        <v>108</v>
      </c>
      <c r="C53" s="7" t="s">
        <v>685</v>
      </c>
      <c r="D53" s="21" t="s">
        <v>103</v>
      </c>
      <c r="E53" s="21" t="s">
        <v>104</v>
      </c>
      <c r="F53" s="594">
        <v>-1500</v>
      </c>
      <c r="G53" s="592">
        <v>0.71499999999999997</v>
      </c>
      <c r="H53" s="592">
        <v>0.70730300000000002</v>
      </c>
      <c r="I53" s="171">
        <v>0</v>
      </c>
      <c r="J53" s="23">
        <v>1.0882182035139021E-2</v>
      </c>
      <c r="K53" s="23">
        <v>0.4415598788271618</v>
      </c>
      <c r="L53" s="47">
        <v>5304.7725</v>
      </c>
      <c r="M53" s="114">
        <v>46351</v>
      </c>
      <c r="N53" s="304">
        <v>301</v>
      </c>
    </row>
    <row r="54" spans="1:14" ht="13">
      <c r="A54" s="188">
        <v>46050</v>
      </c>
      <c r="B54" s="10" t="s">
        <v>108</v>
      </c>
      <c r="C54" s="7" t="s">
        <v>7</v>
      </c>
      <c r="D54" s="21" t="s">
        <v>103</v>
      </c>
      <c r="E54" s="21" t="s">
        <v>104</v>
      </c>
      <c r="F54" s="594">
        <v>-1500</v>
      </c>
      <c r="G54" s="592">
        <v>0.64</v>
      </c>
      <c r="H54" s="592">
        <v>0.70730300000000002</v>
      </c>
      <c r="I54" s="171">
        <v>-2.4</v>
      </c>
      <c r="J54" s="23">
        <v>-9.515441048602935E-2</v>
      </c>
      <c r="K54" s="23">
        <v>0.36777902424339715</v>
      </c>
      <c r="L54" s="47">
        <v>5304.7725</v>
      </c>
      <c r="M54" s="114">
        <v>46351</v>
      </c>
      <c r="N54" s="304">
        <v>301</v>
      </c>
    </row>
    <row r="55" spans="1:14" ht="13">
      <c r="A55" s="188">
        <v>46050</v>
      </c>
      <c r="B55" s="10" t="s">
        <v>332</v>
      </c>
      <c r="C55" s="7" t="s">
        <v>7</v>
      </c>
      <c r="D55" s="21" t="s">
        <v>106</v>
      </c>
      <c r="E55" s="21" t="s">
        <v>715</v>
      </c>
      <c r="F55" s="594">
        <v>-2500</v>
      </c>
      <c r="G55" s="592">
        <v>760</v>
      </c>
      <c r="H55" s="592">
        <v>856.97</v>
      </c>
      <c r="I55" s="171">
        <v>1.8</v>
      </c>
      <c r="J55" s="23">
        <v>-0.11315448615470791</v>
      </c>
      <c r="K55" s="23">
        <v>0.34120584859667069</v>
      </c>
      <c r="L55" s="47">
        <v>12500</v>
      </c>
      <c r="M55" s="114">
        <v>46329</v>
      </c>
      <c r="N55" s="304">
        <v>279</v>
      </c>
    </row>
    <row r="56" spans="1:14" ht="13">
      <c r="A56" s="188">
        <v>46050</v>
      </c>
      <c r="B56" s="10" t="s">
        <v>332</v>
      </c>
      <c r="C56" s="7" t="s">
        <v>685</v>
      </c>
      <c r="D56" s="21" t="s">
        <v>103</v>
      </c>
      <c r="E56" s="21" t="s">
        <v>104</v>
      </c>
      <c r="F56" s="594">
        <v>-1500</v>
      </c>
      <c r="G56" s="592">
        <v>0.72</v>
      </c>
      <c r="H56" s="592">
        <v>0.69884999999999997</v>
      </c>
      <c r="I56" s="171">
        <v>0</v>
      </c>
      <c r="J56" s="23">
        <v>3.0264005151320106E-2</v>
      </c>
      <c r="K56" s="23">
        <v>0.40900913317797888</v>
      </c>
      <c r="L56" s="47">
        <v>5241.375</v>
      </c>
      <c r="M56" s="114">
        <v>46351</v>
      </c>
      <c r="N56" s="304">
        <v>301</v>
      </c>
    </row>
    <row r="57" spans="1:14" ht="13">
      <c r="A57" s="188">
        <v>46050</v>
      </c>
      <c r="B57" s="10" t="s">
        <v>332</v>
      </c>
      <c r="C57" s="7" t="s">
        <v>6</v>
      </c>
      <c r="D57" s="21" t="s">
        <v>103</v>
      </c>
      <c r="E57" s="21" t="s">
        <v>104</v>
      </c>
      <c r="F57" s="594">
        <v>-1500</v>
      </c>
      <c r="G57" s="818">
        <v>0.745</v>
      </c>
      <c r="H57" s="592">
        <v>0.69869999999999999</v>
      </c>
      <c r="I57" s="171">
        <v>0</v>
      </c>
      <c r="J57" s="23">
        <v>6.6265922427365176E-2</v>
      </c>
      <c r="K57" s="23">
        <v>0.35184343662673084</v>
      </c>
      <c r="L57" s="47">
        <v>5240.25</v>
      </c>
      <c r="M57" s="114">
        <v>46351</v>
      </c>
      <c r="N57" s="304">
        <v>301</v>
      </c>
    </row>
    <row r="58" spans="1:14" ht="13">
      <c r="A58" s="188">
        <v>46050</v>
      </c>
      <c r="B58" s="10" t="s">
        <v>332</v>
      </c>
      <c r="C58" s="7" t="s">
        <v>7</v>
      </c>
      <c r="D58" s="21" t="s">
        <v>103</v>
      </c>
      <c r="E58" s="21" t="s">
        <v>104</v>
      </c>
      <c r="F58" s="594">
        <v>-1500</v>
      </c>
      <c r="G58" s="818">
        <v>0.63500000000000001</v>
      </c>
      <c r="H58" s="592">
        <v>0.69879999999999998</v>
      </c>
      <c r="I58" s="171">
        <v>-0.3</v>
      </c>
      <c r="J58" s="23">
        <v>-9.1299370349170017E-2</v>
      </c>
      <c r="K58" s="23">
        <v>0.37480875585061141</v>
      </c>
      <c r="L58" s="47">
        <v>5241</v>
      </c>
      <c r="M58" s="114">
        <v>46351</v>
      </c>
      <c r="N58" s="304">
        <v>301</v>
      </c>
    </row>
    <row r="59" spans="1:14" ht="13">
      <c r="A59" s="188">
        <v>46050</v>
      </c>
      <c r="B59" s="10" t="s">
        <v>720</v>
      </c>
      <c r="C59" s="7" t="s">
        <v>7</v>
      </c>
      <c r="D59" s="21" t="s">
        <v>275</v>
      </c>
      <c r="E59" s="21" t="s">
        <v>333</v>
      </c>
      <c r="F59" s="594">
        <v>-15</v>
      </c>
      <c r="G59" s="592">
        <v>115</v>
      </c>
      <c r="H59" s="592">
        <v>244.53</v>
      </c>
      <c r="I59" s="171">
        <v>13.5093</v>
      </c>
      <c r="J59" s="23">
        <v>-0.52971005602584542</v>
      </c>
      <c r="K59" s="23">
        <v>5.414589785430296E-2</v>
      </c>
      <c r="L59" s="47">
        <v>8625</v>
      </c>
      <c r="M59" s="114">
        <v>46374</v>
      </c>
      <c r="N59" s="304">
        <v>324</v>
      </c>
    </row>
    <row r="60" spans="1:14" ht="13">
      <c r="A60" s="188">
        <v>46050</v>
      </c>
      <c r="B60" s="10" t="s">
        <v>720</v>
      </c>
      <c r="C60" s="7" t="s">
        <v>7</v>
      </c>
      <c r="D60" s="21" t="s">
        <v>268</v>
      </c>
      <c r="E60" s="21" t="s">
        <v>269</v>
      </c>
      <c r="F60" s="594">
        <v>-4.5</v>
      </c>
      <c r="G60" s="592">
        <v>230</v>
      </c>
      <c r="H60" s="592">
        <v>434.97</v>
      </c>
      <c r="I60" s="171">
        <v>7.7850000000000001</v>
      </c>
      <c r="J60" s="258">
        <v>-0.47122790077476606</v>
      </c>
      <c r="K60" s="23">
        <v>0</v>
      </c>
      <c r="L60" s="47">
        <v>5175</v>
      </c>
      <c r="M60" s="114">
        <v>46374</v>
      </c>
      <c r="N60" s="304">
        <v>324</v>
      </c>
    </row>
    <row r="61" spans="1:14" ht="13">
      <c r="A61" s="188">
        <v>46052</v>
      </c>
      <c r="B61" s="10" t="s">
        <v>720</v>
      </c>
      <c r="C61" s="7" t="s">
        <v>643</v>
      </c>
      <c r="D61" s="21" t="s">
        <v>722</v>
      </c>
      <c r="E61" s="21" t="s">
        <v>197</v>
      </c>
      <c r="F61" s="594">
        <v>-3.5</v>
      </c>
      <c r="G61" s="592">
        <v>380</v>
      </c>
      <c r="H61" s="592">
        <v>435.005</v>
      </c>
      <c r="I61" s="171">
        <v>-6.8084800000000003</v>
      </c>
      <c r="J61" s="258">
        <v>-0.12644682245031669</v>
      </c>
      <c r="K61" s="23">
        <v>0.23735416123564052</v>
      </c>
      <c r="L61" s="47">
        <v>6650</v>
      </c>
      <c r="M61" s="114">
        <v>46191</v>
      </c>
      <c r="N61" s="304">
        <v>139</v>
      </c>
    </row>
    <row r="62" spans="1:14" ht="13">
      <c r="A62" s="188">
        <v>46052</v>
      </c>
      <c r="B62" s="10" t="s">
        <v>720</v>
      </c>
      <c r="C62" s="7" t="s">
        <v>7</v>
      </c>
      <c r="D62" s="21" t="s">
        <v>722</v>
      </c>
      <c r="E62" s="21" t="s">
        <v>197</v>
      </c>
      <c r="F62" s="594">
        <v>-3.5</v>
      </c>
      <c r="G62" s="592">
        <v>320</v>
      </c>
      <c r="H62" s="592">
        <v>437.63</v>
      </c>
      <c r="I62" s="171">
        <v>5.50326</v>
      </c>
      <c r="J62" s="258">
        <v>-0.26878870278545808</v>
      </c>
      <c r="K62" s="23">
        <v>0</v>
      </c>
      <c r="L62" s="47">
        <v>5600</v>
      </c>
      <c r="M62" s="114">
        <v>46374</v>
      </c>
      <c r="N62" s="304">
        <v>322</v>
      </c>
    </row>
    <row r="63" spans="1:14" ht="13">
      <c r="A63" s="188">
        <v>46052</v>
      </c>
      <c r="B63" s="10" t="s">
        <v>690</v>
      </c>
      <c r="C63" s="7" t="s">
        <v>6</v>
      </c>
      <c r="D63" s="21" t="s">
        <v>106</v>
      </c>
      <c r="E63" s="21" t="s">
        <v>715</v>
      </c>
      <c r="F63" s="109">
        <v>-1500</v>
      </c>
      <c r="G63" s="115">
        <v>910</v>
      </c>
      <c r="H63" s="591">
        <v>868</v>
      </c>
      <c r="I63" s="171">
        <v>1.7511520737327189</v>
      </c>
      <c r="J63" s="23">
        <f t="shared" ref="J63" si="0">IF(G63="",0,G63/H63-1)</f>
        <v>4.8387096774193505E-2</v>
      </c>
      <c r="K63" s="23">
        <f>IFERROR(#REF!,0)</f>
        <v>0</v>
      </c>
      <c r="L63" s="292">
        <v>3.75</v>
      </c>
      <c r="M63" s="114">
        <v>46141</v>
      </c>
      <c r="N63" s="260">
        <f t="shared" ref="N63" ca="1" si="1">IF(M63="","",M63-TODAY())</f>
        <v>16</v>
      </c>
    </row>
    <row r="64" spans="1:14" ht="13">
      <c r="A64" s="188">
        <v>46059</v>
      </c>
      <c r="B64" s="10" t="s">
        <v>720</v>
      </c>
      <c r="C64" s="7" t="s">
        <v>643</v>
      </c>
      <c r="D64" s="21" t="s">
        <v>722</v>
      </c>
      <c r="E64" s="21" t="s">
        <v>197</v>
      </c>
      <c r="F64" s="109">
        <v>-4.5</v>
      </c>
      <c r="G64" s="115">
        <v>370</v>
      </c>
      <c r="H64" s="591">
        <v>394.61500000000001</v>
      </c>
      <c r="I64" s="171">
        <v>0</v>
      </c>
      <c r="J64" s="23">
        <v>-6.237725377899983E-2</v>
      </c>
      <c r="K64" s="23">
        <v>0.36525018515681723</v>
      </c>
      <c r="L64" s="292">
        <v>8325</v>
      </c>
      <c r="M64" s="114">
        <v>46191</v>
      </c>
      <c r="N64" s="304">
        <v>132</v>
      </c>
    </row>
    <row r="65" spans="1:14" ht="13">
      <c r="A65" s="188">
        <v>46059</v>
      </c>
      <c r="B65" s="10" t="s">
        <v>720</v>
      </c>
      <c r="C65" s="7" t="s">
        <v>7</v>
      </c>
      <c r="D65" s="21" t="s">
        <v>722</v>
      </c>
      <c r="E65" s="21" t="s">
        <v>197</v>
      </c>
      <c r="F65" s="109">
        <v>-4.5</v>
      </c>
      <c r="G65" s="115">
        <v>300</v>
      </c>
      <c r="H65" s="591">
        <v>394.69499999999999</v>
      </c>
      <c r="I65" s="171">
        <v>-6.1559999999999997</v>
      </c>
      <c r="J65" s="23">
        <v>-0.23991943145973471</v>
      </c>
      <c r="K65" s="23">
        <v>0.16802904467592117</v>
      </c>
      <c r="L65" s="292">
        <v>6750</v>
      </c>
      <c r="M65" s="114">
        <v>46374</v>
      </c>
      <c r="N65" s="304">
        <v>315</v>
      </c>
    </row>
    <row r="66" spans="1:14" ht="13">
      <c r="A66" s="188">
        <v>46048</v>
      </c>
      <c r="B66" s="10" t="s">
        <v>721</v>
      </c>
      <c r="C66" s="7" t="s">
        <v>7</v>
      </c>
      <c r="D66" s="21" t="s">
        <v>721</v>
      </c>
      <c r="E66" s="21" t="s">
        <v>517</v>
      </c>
      <c r="F66" s="109">
        <v>-22.5</v>
      </c>
      <c r="G66" s="115">
        <v>145</v>
      </c>
      <c r="H66" s="591">
        <v>167.69499999999999</v>
      </c>
      <c r="I66" s="171">
        <v>-25.099350000000001</v>
      </c>
      <c r="J66" s="23">
        <v>-0.1353349831539401</v>
      </c>
      <c r="K66" s="23">
        <v>0.22481735781419318</v>
      </c>
      <c r="L66" s="292">
        <v>16312.5</v>
      </c>
      <c r="M66" s="114">
        <v>46191</v>
      </c>
      <c r="N66" s="304">
        <v>125</v>
      </c>
    </row>
    <row r="67" spans="1:14" ht="13">
      <c r="A67" s="188">
        <v>46066</v>
      </c>
      <c r="B67" s="10" t="s">
        <v>721</v>
      </c>
      <c r="C67" s="7" t="s">
        <v>7</v>
      </c>
      <c r="D67" s="21" t="s">
        <v>721</v>
      </c>
      <c r="E67" s="21" t="s">
        <v>517</v>
      </c>
      <c r="F67" s="109">
        <v>-25</v>
      </c>
      <c r="G67" s="115">
        <v>120</v>
      </c>
      <c r="H67" s="591">
        <v>170.26499999999999</v>
      </c>
      <c r="I67" s="171">
        <v>21.6494</v>
      </c>
      <c r="J67" s="23">
        <v>-0.29521628050392035</v>
      </c>
      <c r="K67" s="23">
        <v>0</v>
      </c>
      <c r="L67" s="292">
        <v>15000</v>
      </c>
      <c r="M67" s="114">
        <v>46374</v>
      </c>
      <c r="N67" s="304">
        <v>308</v>
      </c>
    </row>
    <row r="68" spans="1:14" ht="13">
      <c r="A68" s="188">
        <v>46006</v>
      </c>
      <c r="B68" s="10" t="s">
        <v>720</v>
      </c>
      <c r="C68" s="7" t="s">
        <v>7</v>
      </c>
      <c r="D68" s="21" t="s">
        <v>717</v>
      </c>
      <c r="E68" s="21" t="s">
        <v>718</v>
      </c>
      <c r="F68" s="109">
        <v>-2</v>
      </c>
      <c r="G68" s="115">
        <v>290</v>
      </c>
      <c r="H68" s="591">
        <v>308.53999999999996</v>
      </c>
      <c r="I68" s="171">
        <v>-16.812000000000001</v>
      </c>
      <c r="J68" s="23">
        <v>-6.0089453555454586E-2</v>
      </c>
      <c r="K68" s="23">
        <v>0.47086035272336357</v>
      </c>
      <c r="L68" s="292">
        <v>2900</v>
      </c>
      <c r="M68" s="114">
        <v>46191</v>
      </c>
      <c r="N68" s="304">
        <v>115</v>
      </c>
    </row>
    <row r="69" spans="1:14" ht="13">
      <c r="A69" s="188">
        <v>46076</v>
      </c>
      <c r="B69" s="10" t="s">
        <v>720</v>
      </c>
      <c r="C69" s="7" t="s">
        <v>7</v>
      </c>
      <c r="D69" s="21" t="s">
        <v>268</v>
      </c>
      <c r="E69" s="21" t="s">
        <v>269</v>
      </c>
      <c r="F69" s="109">
        <v>-6</v>
      </c>
      <c r="G69" s="115">
        <v>220</v>
      </c>
      <c r="H69" s="591">
        <v>394.66499999999996</v>
      </c>
      <c r="I69" s="171">
        <v>9.9</v>
      </c>
      <c r="J69" s="23">
        <v>-0.44256521353553013</v>
      </c>
      <c r="K69" s="23">
        <v>0</v>
      </c>
      <c r="L69" s="292">
        <v>6600</v>
      </c>
      <c r="M69" s="114">
        <v>46374</v>
      </c>
      <c r="N69" s="304">
        <v>298</v>
      </c>
    </row>
    <row r="70" spans="1:14" ht="13">
      <c r="A70" s="188">
        <v>46015</v>
      </c>
      <c r="B70" s="10" t="s">
        <v>720</v>
      </c>
      <c r="C70" s="7" t="s">
        <v>7</v>
      </c>
      <c r="D70" s="21" t="s">
        <v>722</v>
      </c>
      <c r="E70" s="21" t="s">
        <v>197</v>
      </c>
      <c r="F70" s="109">
        <v>-4.5</v>
      </c>
      <c r="G70" s="115">
        <v>340</v>
      </c>
      <c r="H70" s="591">
        <v>387.53</v>
      </c>
      <c r="I70" s="171">
        <v>-18.70299</v>
      </c>
      <c r="J70" s="23">
        <v>-0.12264856914303401</v>
      </c>
      <c r="K70" s="23">
        <v>0.32124328538906577</v>
      </c>
      <c r="L70" s="292">
        <v>7650</v>
      </c>
      <c r="M70" s="114">
        <v>46374</v>
      </c>
      <c r="N70" s="304">
        <v>298</v>
      </c>
    </row>
    <row r="71" spans="1:14" ht="13">
      <c r="A71" s="188">
        <v>46034</v>
      </c>
      <c r="B71" s="10" t="s">
        <v>721</v>
      </c>
      <c r="C71" s="7" t="s">
        <v>7</v>
      </c>
      <c r="D71" s="21" t="s">
        <v>717</v>
      </c>
      <c r="E71" s="21" t="s">
        <v>718</v>
      </c>
      <c r="F71" s="109">
        <v>-2</v>
      </c>
      <c r="G71" s="115">
        <v>280</v>
      </c>
      <c r="H71" s="591">
        <v>313.42500000000001</v>
      </c>
      <c r="I71" s="171">
        <v>-14.688599999999999</v>
      </c>
      <c r="J71" s="23">
        <v>-0.10664433277498608</v>
      </c>
      <c r="K71" s="23">
        <v>0.40751127899364764</v>
      </c>
      <c r="L71" s="292">
        <v>2800</v>
      </c>
      <c r="M71" s="114">
        <v>46191</v>
      </c>
      <c r="N71" s="304">
        <v>114</v>
      </c>
    </row>
    <row r="72" spans="1:14" ht="13">
      <c r="A72" s="188">
        <v>46077</v>
      </c>
      <c r="B72" s="10" t="s">
        <v>721</v>
      </c>
      <c r="C72" s="7" t="s">
        <v>7</v>
      </c>
      <c r="D72" s="21" t="s">
        <v>275</v>
      </c>
      <c r="E72" s="21" t="s">
        <v>333</v>
      </c>
      <c r="F72" s="109">
        <v>-17.5</v>
      </c>
      <c r="G72" s="115">
        <v>95</v>
      </c>
      <c r="H72" s="591">
        <v>199.23000000000002</v>
      </c>
      <c r="I72" s="171">
        <v>8.2943999999999996</v>
      </c>
      <c r="J72" s="23">
        <v>-0.52316418210108928</v>
      </c>
      <c r="K72" s="23">
        <v>4.8886733107891857E-2</v>
      </c>
      <c r="L72" s="47">
        <v>8312.5</v>
      </c>
      <c r="M72" s="114">
        <v>46374</v>
      </c>
      <c r="N72" s="304">
        <v>297</v>
      </c>
    </row>
    <row r="73" spans="1:14" ht="13">
      <c r="A73" s="188">
        <v>46077</v>
      </c>
      <c r="B73" s="10" t="s">
        <v>721</v>
      </c>
      <c r="C73" s="7" t="s">
        <v>7</v>
      </c>
      <c r="D73" s="21" t="s">
        <v>320</v>
      </c>
      <c r="E73" s="21" t="s">
        <v>543</v>
      </c>
      <c r="F73" s="109">
        <v>-37.5</v>
      </c>
      <c r="G73" s="115">
        <v>42</v>
      </c>
      <c r="H73" s="591">
        <v>49.974999999999994</v>
      </c>
      <c r="I73" s="171">
        <v>-7.7256</v>
      </c>
      <c r="J73" s="23">
        <v>-0.15957978989494737</v>
      </c>
      <c r="K73" s="23">
        <v>0.15206188229543827</v>
      </c>
      <c r="L73" s="47">
        <v>15750</v>
      </c>
      <c r="M73" s="114">
        <v>46191</v>
      </c>
      <c r="N73" s="304">
        <v>114</v>
      </c>
    </row>
    <row r="74" spans="1:14" ht="13">
      <c r="A74" s="188">
        <v>46077</v>
      </c>
      <c r="B74" s="10" t="s">
        <v>721</v>
      </c>
      <c r="C74" s="7" t="s">
        <v>7</v>
      </c>
      <c r="D74" s="21" t="s">
        <v>320</v>
      </c>
      <c r="E74" s="21" t="s">
        <v>543</v>
      </c>
      <c r="F74" s="109">
        <v>-37.5</v>
      </c>
      <c r="G74" s="115">
        <v>28</v>
      </c>
      <c r="H74" s="591">
        <v>49.914999999999999</v>
      </c>
      <c r="I74" s="171">
        <v>3.3286500000000001</v>
      </c>
      <c r="J74" s="23">
        <v>-0.43904637884403486</v>
      </c>
      <c r="K74" s="23">
        <v>1.6949619471633197E-2</v>
      </c>
      <c r="L74" s="47">
        <v>5250</v>
      </c>
      <c r="M74" s="114">
        <v>46374</v>
      </c>
      <c r="N74" s="304">
        <v>297</v>
      </c>
    </row>
    <row r="75" spans="1:14" ht="13">
      <c r="A75" s="188">
        <v>46077</v>
      </c>
      <c r="B75" s="10" t="s">
        <v>720</v>
      </c>
      <c r="C75" s="7" t="s">
        <v>7</v>
      </c>
      <c r="D75" s="21" t="s">
        <v>544</v>
      </c>
      <c r="E75" s="21" t="s">
        <v>545</v>
      </c>
      <c r="F75" s="109">
        <v>-3.75</v>
      </c>
      <c r="G75" s="115">
        <v>750</v>
      </c>
      <c r="H75" s="591">
        <v>897.63</v>
      </c>
      <c r="I75" s="171">
        <v>-16.5</v>
      </c>
      <c r="J75" s="23">
        <v>-0.16446642826108748</v>
      </c>
      <c r="K75" s="23">
        <v>0.17110049818903056</v>
      </c>
      <c r="L75" s="47">
        <v>14062.5</v>
      </c>
      <c r="M75" s="114">
        <v>46191</v>
      </c>
      <c r="N75" s="304">
        <v>114</v>
      </c>
    </row>
    <row r="76" spans="1:14" ht="13">
      <c r="A76" s="188">
        <v>46077</v>
      </c>
      <c r="B76" s="10" t="s">
        <v>720</v>
      </c>
      <c r="C76" s="7" t="s">
        <v>7</v>
      </c>
      <c r="D76" s="21" t="s">
        <v>544</v>
      </c>
      <c r="E76" s="21" t="s">
        <v>545</v>
      </c>
      <c r="F76" s="109">
        <v>-3.75</v>
      </c>
      <c r="G76" s="115">
        <v>600</v>
      </c>
      <c r="H76" s="591">
        <v>896.65499999999997</v>
      </c>
      <c r="I76" s="171">
        <v>13.125</v>
      </c>
      <c r="J76" s="23">
        <v>-0.33084631212673765</v>
      </c>
      <c r="K76" s="23">
        <v>0</v>
      </c>
      <c r="L76" s="47">
        <v>11250</v>
      </c>
      <c r="M76" s="114">
        <v>46374</v>
      </c>
      <c r="N76" s="304">
        <v>297</v>
      </c>
    </row>
    <row r="77" spans="1:14" ht="13">
      <c r="A77" s="188">
        <v>46077</v>
      </c>
      <c r="B77" s="10" t="s">
        <v>108</v>
      </c>
      <c r="C77" s="7" t="s">
        <v>7</v>
      </c>
      <c r="D77" s="21" t="s">
        <v>275</v>
      </c>
      <c r="E77" s="21" t="s">
        <v>333</v>
      </c>
      <c r="F77" s="109">
        <v>-17.5</v>
      </c>
      <c r="G77" s="115">
        <v>110</v>
      </c>
      <c r="H77" s="591">
        <v>192.595</v>
      </c>
      <c r="I77" s="171">
        <v>13.65</v>
      </c>
      <c r="J77" s="23">
        <v>-0.4288532931799891</v>
      </c>
      <c r="K77" s="23">
        <v>0.11107904686909335</v>
      </c>
      <c r="L77" s="47">
        <v>9625</v>
      </c>
      <c r="M77" s="114">
        <v>46374</v>
      </c>
      <c r="N77" s="304">
        <v>297</v>
      </c>
    </row>
    <row r="78" spans="1:14" ht="13">
      <c r="A78" s="188">
        <v>46078</v>
      </c>
      <c r="B78" s="10" t="s">
        <v>108</v>
      </c>
      <c r="C78" s="7" t="s">
        <v>7</v>
      </c>
      <c r="D78" s="21" t="s">
        <v>268</v>
      </c>
      <c r="E78" s="21" t="s">
        <v>269</v>
      </c>
      <c r="F78" s="109">
        <v>-6</v>
      </c>
      <c r="G78" s="115">
        <v>200</v>
      </c>
      <c r="H78" s="591">
        <v>413.935</v>
      </c>
      <c r="I78" s="171">
        <v>6.72</v>
      </c>
      <c r="J78" s="23">
        <v>-0.51683235290564944</v>
      </c>
      <c r="K78" s="23">
        <v>0</v>
      </c>
      <c r="L78" s="292">
        <v>6000</v>
      </c>
      <c r="M78" s="283">
        <v>46374</v>
      </c>
      <c r="N78" s="304">
        <v>296</v>
      </c>
    </row>
    <row r="79" spans="1:14" ht="13">
      <c r="A79" s="188">
        <v>46079</v>
      </c>
      <c r="B79" s="10" t="s">
        <v>108</v>
      </c>
      <c r="C79" s="7" t="s">
        <v>7</v>
      </c>
      <c r="D79" s="21" t="s">
        <v>275</v>
      </c>
      <c r="E79" s="21" t="s">
        <v>333</v>
      </c>
      <c r="F79" s="109">
        <v>-10</v>
      </c>
      <c r="G79" s="115">
        <v>150</v>
      </c>
      <c r="H79" s="591">
        <v>193.68</v>
      </c>
      <c r="I79" s="171">
        <v>11</v>
      </c>
      <c r="J79" s="23">
        <v>-0.22552664188351923</v>
      </c>
      <c r="K79" s="23">
        <v>0.17780982114642799</v>
      </c>
      <c r="L79" s="292">
        <v>7500</v>
      </c>
      <c r="M79" s="283">
        <v>46191</v>
      </c>
      <c r="N79" s="304">
        <v>112</v>
      </c>
    </row>
    <row r="80" spans="1:14" ht="13">
      <c r="A80" s="188">
        <v>46091</v>
      </c>
      <c r="B80" s="10" t="s">
        <v>720</v>
      </c>
      <c r="C80" s="7" t="s">
        <v>712</v>
      </c>
      <c r="D80" s="21" t="s">
        <v>268</v>
      </c>
      <c r="E80" s="21" t="s">
        <v>269</v>
      </c>
      <c r="F80" s="594">
        <v>-3</v>
      </c>
      <c r="G80" s="592">
        <v>310</v>
      </c>
      <c r="H80" s="592">
        <v>401.32</v>
      </c>
      <c r="I80" s="171">
        <v>-5.3393999999999995</v>
      </c>
      <c r="J80" s="258">
        <v>-0.22754908800956841</v>
      </c>
      <c r="K80" s="23">
        <v>0</v>
      </c>
      <c r="L80" s="47">
        <v>4650</v>
      </c>
      <c r="M80" s="283">
        <v>46191</v>
      </c>
      <c r="N80" s="304">
        <v>100</v>
      </c>
    </row>
    <row r="81" spans="1:14" ht="13">
      <c r="A81" s="188">
        <v>46091</v>
      </c>
      <c r="B81" s="10" t="s">
        <v>720</v>
      </c>
      <c r="C81" s="7" t="s">
        <v>7</v>
      </c>
      <c r="D81" s="21" t="s">
        <v>268</v>
      </c>
      <c r="E81" s="21" t="s">
        <v>269</v>
      </c>
      <c r="F81" s="594">
        <v>-6</v>
      </c>
      <c r="G81" s="592">
        <v>210</v>
      </c>
      <c r="H81" s="592">
        <v>401.91999999999996</v>
      </c>
      <c r="I81" s="171">
        <v>8.2200000000000006</v>
      </c>
      <c r="J81" s="258">
        <v>-0.45262738853503182</v>
      </c>
      <c r="K81" s="23">
        <v>0</v>
      </c>
      <c r="L81" s="47">
        <v>6600</v>
      </c>
      <c r="M81" s="283">
        <v>46374</v>
      </c>
      <c r="N81" s="304">
        <v>283</v>
      </c>
    </row>
    <row r="82" spans="1:14" ht="13">
      <c r="A82" s="188">
        <v>46093</v>
      </c>
      <c r="B82" s="10" t="s">
        <v>721</v>
      </c>
      <c r="C82" s="7" t="s">
        <v>712</v>
      </c>
      <c r="D82" s="21" t="s">
        <v>317</v>
      </c>
      <c r="E82" s="21" t="s">
        <v>317</v>
      </c>
      <c r="F82" s="594">
        <v>-7.5</v>
      </c>
      <c r="G82" s="592">
        <v>240</v>
      </c>
      <c r="H82" s="592">
        <v>279.30499999999995</v>
      </c>
      <c r="I82" s="171">
        <v>-9.4806000000000008</v>
      </c>
      <c r="J82" s="258">
        <v>-0.140724297810637</v>
      </c>
      <c r="K82" s="23">
        <v>0.21046158631763701</v>
      </c>
      <c r="L82" s="47">
        <v>9000</v>
      </c>
      <c r="M82" s="283">
        <v>46191</v>
      </c>
      <c r="N82" s="304">
        <v>98</v>
      </c>
    </row>
    <row r="83" spans="1:14" ht="13">
      <c r="A83" s="188">
        <v>46094</v>
      </c>
      <c r="B83" s="10" t="s">
        <v>716</v>
      </c>
      <c r="C83" s="7" t="s">
        <v>7</v>
      </c>
      <c r="D83" s="21" t="s">
        <v>106</v>
      </c>
      <c r="E83" s="21" t="s">
        <v>715</v>
      </c>
      <c r="F83" s="594">
        <v>-2500</v>
      </c>
      <c r="G83" s="592">
        <v>815</v>
      </c>
      <c r="H83" s="592">
        <v>914.72499999999991</v>
      </c>
      <c r="I83" s="171">
        <v>2.5499999999999998</v>
      </c>
      <c r="J83" s="258">
        <v>-0.10902183716417491</v>
      </c>
      <c r="K83" s="23">
        <v>0.35373481884703817</v>
      </c>
      <c r="L83" s="47">
        <v>12500.000000000002</v>
      </c>
      <c r="M83" s="283">
        <v>46329</v>
      </c>
      <c r="N83" s="304">
        <v>235</v>
      </c>
    </row>
    <row r="84" spans="1:14" ht="13">
      <c r="A84" s="188">
        <v>46094</v>
      </c>
      <c r="B84" s="10" t="s">
        <v>720</v>
      </c>
      <c r="C84" s="7" t="s">
        <v>712</v>
      </c>
      <c r="D84" s="21" t="s">
        <v>544</v>
      </c>
      <c r="E84" s="21" t="s">
        <v>545</v>
      </c>
      <c r="F84" s="594">
        <v>-4</v>
      </c>
      <c r="G84" s="592">
        <v>670</v>
      </c>
      <c r="H84" s="592">
        <v>796.99</v>
      </c>
      <c r="I84" s="171">
        <v>-17.184000000000001</v>
      </c>
      <c r="J84" s="258">
        <v>-0.15933700548313023</v>
      </c>
      <c r="K84" s="23">
        <v>0.23573070152631342</v>
      </c>
      <c r="L84" s="47">
        <v>13400</v>
      </c>
      <c r="M84" s="283">
        <v>46191</v>
      </c>
      <c r="N84" s="304">
        <v>97</v>
      </c>
    </row>
    <row r="85" spans="1:14" ht="13">
      <c r="A85" s="188">
        <v>46094</v>
      </c>
      <c r="B85" s="10" t="s">
        <v>720</v>
      </c>
      <c r="C85" s="7" t="s">
        <v>7</v>
      </c>
      <c r="D85" s="21" t="s">
        <v>544</v>
      </c>
      <c r="E85" s="21" t="s">
        <v>545</v>
      </c>
      <c r="F85" s="594">
        <v>-4</v>
      </c>
      <c r="G85" s="592">
        <v>550</v>
      </c>
      <c r="H85" s="592">
        <v>796.55</v>
      </c>
      <c r="I85" s="171">
        <v>16.239999999999998</v>
      </c>
      <c r="J85" s="258">
        <v>-0.30952231498336569</v>
      </c>
      <c r="K85" s="23">
        <v>0.19035723969936449</v>
      </c>
      <c r="L85" s="47">
        <v>11000</v>
      </c>
      <c r="M85" s="283">
        <v>46374</v>
      </c>
      <c r="N85" s="304">
        <v>280</v>
      </c>
    </row>
    <row r="86" spans="1:14" ht="13">
      <c r="A86" s="188">
        <v>46013</v>
      </c>
      <c r="B86" s="10" t="s">
        <v>720</v>
      </c>
      <c r="C86" s="7" t="s">
        <v>712</v>
      </c>
      <c r="D86" s="21" t="s">
        <v>721</v>
      </c>
      <c r="E86" s="21" t="s">
        <v>517</v>
      </c>
      <c r="F86" s="594">
        <v>-20</v>
      </c>
      <c r="G86" s="592">
        <v>130</v>
      </c>
      <c r="H86" s="592">
        <v>156.31</v>
      </c>
      <c r="I86" s="171">
        <v>-16.600000000000001</v>
      </c>
      <c r="J86" s="258">
        <v>-0.1683193653637004</v>
      </c>
      <c r="K86" s="23">
        <v>0.22107604461356486</v>
      </c>
      <c r="L86" s="47">
        <v>13000</v>
      </c>
      <c r="M86" s="283">
        <v>46191</v>
      </c>
      <c r="N86" s="304">
        <v>97</v>
      </c>
    </row>
    <row r="87" spans="1:14" ht="13">
      <c r="A87" s="188">
        <v>46094</v>
      </c>
      <c r="B87" s="10" t="s">
        <v>720</v>
      </c>
      <c r="C87" s="7" t="s">
        <v>7</v>
      </c>
      <c r="D87" s="21" t="s">
        <v>721</v>
      </c>
      <c r="E87" s="21" t="s">
        <v>517</v>
      </c>
      <c r="F87" s="594">
        <v>-20</v>
      </c>
      <c r="G87" s="592">
        <v>105</v>
      </c>
      <c r="H87" s="592">
        <v>156.47</v>
      </c>
      <c r="I87" s="171">
        <v>15.8</v>
      </c>
      <c r="J87" s="258">
        <v>-0.32894484565731452</v>
      </c>
      <c r="K87" s="23">
        <v>0.1704623068197017</v>
      </c>
      <c r="L87" s="47">
        <v>10500</v>
      </c>
      <c r="M87" s="283">
        <v>46374</v>
      </c>
      <c r="N87" s="304">
        <v>280</v>
      </c>
    </row>
    <row r="88" spans="1:14" ht="13">
      <c r="A88" s="188">
        <v>46035</v>
      </c>
      <c r="B88" s="10" t="s">
        <v>721</v>
      </c>
      <c r="C88" s="7" t="s">
        <v>712</v>
      </c>
      <c r="D88" s="21" t="s">
        <v>317</v>
      </c>
      <c r="E88" s="21" t="s">
        <v>317</v>
      </c>
      <c r="F88" s="594">
        <v>-7.5</v>
      </c>
      <c r="G88" s="592">
        <v>235</v>
      </c>
      <c r="H88" s="592">
        <v>285.78499999999997</v>
      </c>
      <c r="I88" s="171">
        <v>-7.05</v>
      </c>
      <c r="J88" s="258">
        <v>-0.17770351837920106</v>
      </c>
      <c r="K88" s="23">
        <v>0.16976636686148855</v>
      </c>
      <c r="L88" s="47">
        <v>8812.5</v>
      </c>
      <c r="M88" s="283">
        <v>46191</v>
      </c>
      <c r="N88" s="304">
        <v>97</v>
      </c>
    </row>
    <row r="89" spans="1:14" ht="13">
      <c r="A89" s="188">
        <v>46094</v>
      </c>
      <c r="B89" s="10" t="s">
        <v>721</v>
      </c>
      <c r="C89" s="7" t="s">
        <v>7</v>
      </c>
      <c r="D89" s="21" t="s">
        <v>317</v>
      </c>
      <c r="E89" s="21" t="s">
        <v>317</v>
      </c>
      <c r="F89" s="594">
        <v>-7.5</v>
      </c>
      <c r="G89" s="592">
        <v>200</v>
      </c>
      <c r="H89" s="592">
        <v>285.745</v>
      </c>
      <c r="I89" s="171">
        <v>8.25</v>
      </c>
      <c r="J89" s="258">
        <v>-0.30007524191149448</v>
      </c>
      <c r="K89" s="23">
        <v>0.15919684564380329</v>
      </c>
      <c r="L89" s="47">
        <v>7500</v>
      </c>
      <c r="M89" s="283">
        <v>46374</v>
      </c>
      <c r="N89" s="304">
        <v>280</v>
      </c>
    </row>
    <row r="90" spans="1:14" ht="13">
      <c r="A90" s="188">
        <v>46097</v>
      </c>
      <c r="B90" s="10" t="s">
        <v>720</v>
      </c>
      <c r="C90" s="7" t="s">
        <v>712</v>
      </c>
      <c r="D90" s="21" t="s">
        <v>304</v>
      </c>
      <c r="E90" s="21" t="s">
        <v>305</v>
      </c>
      <c r="F90" s="594">
        <v>-8.5</v>
      </c>
      <c r="G90" s="592">
        <v>470</v>
      </c>
      <c r="H90" s="592">
        <v>600.29500000000007</v>
      </c>
      <c r="I90" s="171">
        <v>-8.4320000000000004</v>
      </c>
      <c r="J90" s="258">
        <v>-0.21705161628865821</v>
      </c>
      <c r="K90" s="23">
        <v>8.8136063582152577E-2</v>
      </c>
      <c r="L90" s="47">
        <v>19975</v>
      </c>
      <c r="M90" s="283">
        <v>46203</v>
      </c>
      <c r="N90" s="304">
        <v>106</v>
      </c>
    </row>
    <row r="91" spans="1:14" ht="13">
      <c r="A91" s="188">
        <v>46097</v>
      </c>
      <c r="B91" s="10" t="s">
        <v>720</v>
      </c>
      <c r="C91" s="7" t="s">
        <v>7</v>
      </c>
      <c r="D91" s="21" t="s">
        <v>304</v>
      </c>
      <c r="E91" s="21" t="s">
        <v>305</v>
      </c>
      <c r="F91" s="594">
        <v>-8.5</v>
      </c>
      <c r="G91" s="592">
        <v>360</v>
      </c>
      <c r="H91" s="592">
        <v>600.23500000000001</v>
      </c>
      <c r="I91" s="171">
        <v>7.5819999999999999</v>
      </c>
      <c r="J91" s="258">
        <v>-0.40023490799436889</v>
      </c>
      <c r="K91" s="23">
        <v>4.0918475993075486E-2</v>
      </c>
      <c r="L91" s="47">
        <v>15300</v>
      </c>
      <c r="M91" s="283">
        <v>46374</v>
      </c>
      <c r="N91" s="304">
        <v>277</v>
      </c>
    </row>
    <row r="92" spans="1:14" ht="13">
      <c r="A92" s="188">
        <v>46097</v>
      </c>
      <c r="B92" s="10" t="s">
        <v>721</v>
      </c>
      <c r="C92" s="7" t="s">
        <v>712</v>
      </c>
      <c r="D92" s="21" t="s">
        <v>65</v>
      </c>
      <c r="E92" s="21" t="s">
        <v>63</v>
      </c>
      <c r="F92" s="594">
        <v>-7.5</v>
      </c>
      <c r="G92" s="592">
        <v>525</v>
      </c>
      <c r="H92" s="592">
        <v>668.18000000000006</v>
      </c>
      <c r="I92" s="171">
        <v>-5.7606000000000002</v>
      </c>
      <c r="J92" s="258">
        <v>-0.21428357628184025</v>
      </c>
      <c r="K92" s="23">
        <v>5.7561422875719331E-2</v>
      </c>
      <c r="L92" s="47">
        <v>19687.5</v>
      </c>
      <c r="M92" s="283">
        <v>46191</v>
      </c>
      <c r="N92" s="304">
        <v>94</v>
      </c>
    </row>
    <row r="93" spans="1:14" ht="13">
      <c r="A93" s="188">
        <v>46097</v>
      </c>
      <c r="B93" s="10" t="s">
        <v>721</v>
      </c>
      <c r="C93" s="7" t="s">
        <v>7</v>
      </c>
      <c r="D93" s="21" t="s">
        <v>65</v>
      </c>
      <c r="E93" s="21" t="s">
        <v>63</v>
      </c>
      <c r="F93" s="594">
        <v>-7.5</v>
      </c>
      <c r="G93" s="592">
        <v>400</v>
      </c>
      <c r="H93" s="592">
        <v>668.19</v>
      </c>
      <c r="I93" s="171">
        <v>6.0594000000000001</v>
      </c>
      <c r="J93" s="258">
        <v>-0.40136787440698007</v>
      </c>
      <c r="K93" s="23">
        <v>2.5658797290031517E-2</v>
      </c>
      <c r="L93" s="47">
        <v>15000</v>
      </c>
      <c r="M93" s="283">
        <v>46374</v>
      </c>
      <c r="N93" s="304">
        <v>277</v>
      </c>
    </row>
    <row r="94" spans="1:14" ht="13">
      <c r="A94" s="188">
        <v>46097</v>
      </c>
      <c r="B94" s="10" t="s">
        <v>332</v>
      </c>
      <c r="C94" s="7" t="s">
        <v>712</v>
      </c>
      <c r="D94" s="21" t="s">
        <v>65</v>
      </c>
      <c r="E94" s="21" t="s">
        <v>63</v>
      </c>
      <c r="F94" s="594">
        <v>-7.5</v>
      </c>
      <c r="G94" s="592">
        <v>520</v>
      </c>
      <c r="H94" s="592">
        <v>670.04</v>
      </c>
      <c r="I94" s="171">
        <v>-5.4447000000000001</v>
      </c>
      <c r="J94" s="258">
        <v>-0.22392692973553818</v>
      </c>
      <c r="K94" s="23">
        <v>4.8790650251583759E-2</v>
      </c>
      <c r="L94" s="47">
        <v>19500</v>
      </c>
      <c r="M94" s="283">
        <v>46191</v>
      </c>
      <c r="N94" s="304">
        <v>94</v>
      </c>
    </row>
    <row r="95" spans="1:14" ht="13">
      <c r="A95" s="188">
        <v>46097</v>
      </c>
      <c r="B95" s="10" t="s">
        <v>332</v>
      </c>
      <c r="C95" s="7" t="s">
        <v>7</v>
      </c>
      <c r="D95" s="21" t="s">
        <v>65</v>
      </c>
      <c r="E95" s="21" t="s">
        <v>63</v>
      </c>
      <c r="F95" s="594">
        <v>-7.5</v>
      </c>
      <c r="G95" s="592">
        <v>390</v>
      </c>
      <c r="H95" s="592">
        <v>670.10500000000002</v>
      </c>
      <c r="I95" s="171">
        <v>5.7747000000000002</v>
      </c>
      <c r="J95" s="258">
        <v>-0.41800165645682397</v>
      </c>
      <c r="K95" s="23">
        <v>1.9860444249773731E-2</v>
      </c>
      <c r="L95" s="47">
        <v>14625</v>
      </c>
      <c r="M95" s="283">
        <v>46374</v>
      </c>
      <c r="N95" s="304">
        <v>277</v>
      </c>
    </row>
    <row r="96" spans="1:14" ht="13">
      <c r="A96" s="188">
        <v>46097</v>
      </c>
      <c r="B96" s="10" t="s">
        <v>332</v>
      </c>
      <c r="C96" s="7" t="s">
        <v>712</v>
      </c>
      <c r="D96" s="21" t="s">
        <v>65</v>
      </c>
      <c r="E96" s="21" t="s">
        <v>63</v>
      </c>
      <c r="F96" s="594">
        <v>-7.5</v>
      </c>
      <c r="G96" s="592">
        <v>500</v>
      </c>
      <c r="H96" s="592">
        <v>667.65</v>
      </c>
      <c r="I96" s="171">
        <v>-4.335</v>
      </c>
      <c r="J96" s="258">
        <v>-0.25110462068449035</v>
      </c>
      <c r="K96" s="23">
        <v>2.9322755641885849E-2</v>
      </c>
      <c r="L96" s="47">
        <v>18750</v>
      </c>
      <c r="M96" s="283">
        <v>46191</v>
      </c>
      <c r="N96" s="304">
        <v>94</v>
      </c>
    </row>
    <row r="97" spans="1:14" ht="13">
      <c r="A97" s="188">
        <v>46097</v>
      </c>
      <c r="B97" s="10" t="s">
        <v>332</v>
      </c>
      <c r="C97" s="7" t="s">
        <v>7</v>
      </c>
      <c r="D97" s="21" t="s">
        <v>65</v>
      </c>
      <c r="E97" s="21" t="s">
        <v>63</v>
      </c>
      <c r="F97" s="594">
        <v>-7.5</v>
      </c>
      <c r="G97" s="592">
        <v>380</v>
      </c>
      <c r="H97" s="592">
        <v>667.54499999999996</v>
      </c>
      <c r="I97" s="171">
        <v>5.2949999999999999</v>
      </c>
      <c r="J97" s="258">
        <v>-0.4307499868922694</v>
      </c>
      <c r="K97" s="23">
        <v>1.6121485024295355E-2</v>
      </c>
      <c r="L97" s="47">
        <v>14250</v>
      </c>
      <c r="M97" s="283">
        <v>46374</v>
      </c>
      <c r="N97" s="304">
        <v>277</v>
      </c>
    </row>
    <row r="98" spans="1:14" ht="13">
      <c r="A98" s="188">
        <v>46097</v>
      </c>
      <c r="B98" s="10" t="s">
        <v>721</v>
      </c>
      <c r="C98" s="7" t="s">
        <v>7</v>
      </c>
      <c r="D98" s="21" t="s">
        <v>544</v>
      </c>
      <c r="E98" s="21" t="s">
        <v>545</v>
      </c>
      <c r="F98" s="594">
        <v>-0.75</v>
      </c>
      <c r="G98" s="592">
        <v>640</v>
      </c>
      <c r="H98" s="592">
        <v>808.17499999999995</v>
      </c>
      <c r="I98" s="171">
        <v>-2.0436000000000001</v>
      </c>
      <c r="J98" s="258">
        <v>-0.2080923067404955</v>
      </c>
      <c r="K98" s="23">
        <v>0.15544983358424252</v>
      </c>
      <c r="L98" s="47">
        <v>19200</v>
      </c>
      <c r="M98" s="283">
        <v>46191</v>
      </c>
      <c r="N98" s="304">
        <v>93</v>
      </c>
    </row>
    <row r="99" spans="1:14" ht="13">
      <c r="A99" s="188">
        <v>46098</v>
      </c>
      <c r="B99" s="10" t="s">
        <v>721</v>
      </c>
      <c r="C99" s="7" t="s">
        <v>7</v>
      </c>
      <c r="D99" s="21" t="s">
        <v>160</v>
      </c>
      <c r="E99" s="21" t="s">
        <v>160</v>
      </c>
      <c r="F99" s="594">
        <v>-12.5</v>
      </c>
      <c r="G99" s="592">
        <v>160</v>
      </c>
      <c r="H99" s="592">
        <v>253.625</v>
      </c>
      <c r="I99" s="171">
        <v>5.8994</v>
      </c>
      <c r="J99" s="258">
        <v>-0.36914736323311981</v>
      </c>
      <c r="K99" s="23">
        <v>9.5034333045625571E-2</v>
      </c>
      <c r="L99" s="47">
        <v>10000</v>
      </c>
      <c r="M99" s="283">
        <v>46374</v>
      </c>
      <c r="N99" s="304">
        <v>276</v>
      </c>
    </row>
    <row r="100" spans="1:14" ht="13">
      <c r="A100" s="188">
        <v>46098</v>
      </c>
      <c r="B100" s="10" t="s">
        <v>108</v>
      </c>
      <c r="C100" s="7" t="s">
        <v>7</v>
      </c>
      <c r="D100" s="21" t="s">
        <v>103</v>
      </c>
      <c r="E100" s="21" t="s">
        <v>104</v>
      </c>
      <c r="F100" s="594">
        <v>-1500</v>
      </c>
      <c r="G100" s="592">
        <v>0.64500000000000002</v>
      </c>
      <c r="H100" s="592">
        <v>0.71050000000000002</v>
      </c>
      <c r="I100" s="171">
        <v>1.83</v>
      </c>
      <c r="J100" s="258">
        <v>-9.2188599577762154E-2</v>
      </c>
      <c r="K100" s="23">
        <v>0.3935786743629815</v>
      </c>
      <c r="L100" s="47">
        <v>5328.75</v>
      </c>
      <c r="M100" s="283">
        <v>46351</v>
      </c>
      <c r="N100" s="304">
        <v>253</v>
      </c>
    </row>
    <row r="101" spans="1:14" ht="13">
      <c r="A101" s="188">
        <v>46099</v>
      </c>
      <c r="B101" s="10" t="s">
        <v>716</v>
      </c>
      <c r="C101" s="7" t="s">
        <v>6</v>
      </c>
      <c r="D101" s="21" t="s">
        <v>106</v>
      </c>
      <c r="E101" s="21" t="s">
        <v>715</v>
      </c>
      <c r="F101" s="594">
        <v>-1500</v>
      </c>
      <c r="G101" s="592">
        <v>1010</v>
      </c>
      <c r="H101" s="592">
        <v>911.82500000000005</v>
      </c>
      <c r="I101" s="171">
        <v>0</v>
      </c>
      <c r="J101" s="258">
        <v>0.10766868642557492</v>
      </c>
      <c r="K101" s="23">
        <v>0.17034574113909542</v>
      </c>
      <c r="L101" s="47">
        <v>7500</v>
      </c>
      <c r="M101" s="283">
        <v>46329</v>
      </c>
      <c r="N101" s="304">
        <v>230</v>
      </c>
    </row>
    <row r="102" spans="1:14" ht="13">
      <c r="A102" s="188">
        <v>46099</v>
      </c>
      <c r="B102" s="10" t="s">
        <v>716</v>
      </c>
      <c r="C102" s="7" t="s">
        <v>7</v>
      </c>
      <c r="D102" s="21" t="s">
        <v>106</v>
      </c>
      <c r="E102" s="21" t="s">
        <v>715</v>
      </c>
      <c r="F102" s="594">
        <v>-1500</v>
      </c>
      <c r="G102" s="592">
        <v>805</v>
      </c>
      <c r="H102" s="592">
        <v>911.90000000000009</v>
      </c>
      <c r="I102" s="171">
        <v>4.92</v>
      </c>
      <c r="J102" s="258">
        <v>-0.11174470884965471</v>
      </c>
      <c r="K102" s="23">
        <v>0.34669835245367453</v>
      </c>
      <c r="L102" s="47">
        <v>7500</v>
      </c>
      <c r="M102" s="283">
        <v>46329</v>
      </c>
      <c r="N102" s="304">
        <v>230</v>
      </c>
    </row>
    <row r="103" spans="1:14" ht="13">
      <c r="A103" s="188">
        <v>46100</v>
      </c>
      <c r="B103" s="10" t="s">
        <v>720</v>
      </c>
      <c r="C103" s="7" t="s">
        <v>712</v>
      </c>
      <c r="D103" s="21" t="s">
        <v>495</v>
      </c>
      <c r="E103" s="21" t="s">
        <v>495</v>
      </c>
      <c r="F103" s="594">
        <v>-3.5</v>
      </c>
      <c r="G103" s="592">
        <v>510</v>
      </c>
      <c r="H103" s="592">
        <v>612.99</v>
      </c>
      <c r="I103" s="171">
        <v>-9.1349999999999998</v>
      </c>
      <c r="J103" s="258">
        <v>-0.16801252875250816</v>
      </c>
      <c r="K103" s="23">
        <v>0.22166808684854217</v>
      </c>
      <c r="L103" s="47">
        <v>8925</v>
      </c>
      <c r="M103" s="283">
        <v>46191</v>
      </c>
      <c r="N103" s="304">
        <v>91</v>
      </c>
    </row>
    <row r="104" spans="1:14" ht="13">
      <c r="A104" s="188">
        <v>46100</v>
      </c>
      <c r="B104" s="10" t="s">
        <v>720</v>
      </c>
      <c r="C104" s="7" t="s">
        <v>7</v>
      </c>
      <c r="D104" s="21" t="s">
        <v>495</v>
      </c>
      <c r="E104" s="21" t="s">
        <v>495</v>
      </c>
      <c r="F104" s="594">
        <v>-5</v>
      </c>
      <c r="G104" s="592">
        <v>360</v>
      </c>
      <c r="H104" s="592">
        <v>612.96499999999992</v>
      </c>
      <c r="I104" s="171">
        <v>8.1150000000000002</v>
      </c>
      <c r="J104" s="258">
        <v>-0.41269077353519357</v>
      </c>
      <c r="K104" s="23">
        <v>0.10136369212281603</v>
      </c>
      <c r="L104" s="47">
        <v>9000</v>
      </c>
      <c r="M104" s="283">
        <v>46374</v>
      </c>
      <c r="N104" s="304">
        <v>274</v>
      </c>
    </row>
    <row r="105" spans="1:14" ht="13">
      <c r="A105" s="188"/>
      <c r="B105" s="10"/>
      <c r="C105" s="7"/>
      <c r="D105" s="21"/>
      <c r="E105" s="21"/>
      <c r="F105" s="594"/>
      <c r="G105" s="592"/>
      <c r="H105" s="592"/>
      <c r="I105" s="29"/>
      <c r="J105" s="258"/>
      <c r="K105" s="23"/>
      <c r="L105" s="47"/>
      <c r="M105" s="283"/>
      <c r="N105" s="304"/>
    </row>
    <row r="106" spans="1:14" ht="13">
      <c r="A106" s="188"/>
      <c r="B106" s="10"/>
      <c r="C106" s="7"/>
      <c r="D106" s="21"/>
      <c r="E106" s="21"/>
      <c r="F106" s="594"/>
      <c r="G106" s="592"/>
      <c r="H106" s="592"/>
      <c r="I106" s="29"/>
      <c r="J106" s="750"/>
      <c r="K106" s="23"/>
      <c r="L106" s="47"/>
      <c r="M106" s="283"/>
      <c r="N106" s="304"/>
    </row>
    <row r="107" spans="1:14" ht="13">
      <c r="A107" s="188"/>
      <c r="B107" s="10"/>
      <c r="C107" s="7"/>
      <c r="D107" s="11"/>
      <c r="E107" s="11"/>
      <c r="F107" s="12"/>
      <c r="G107" s="13"/>
      <c r="H107" s="14" t="s">
        <v>23</v>
      </c>
      <c r="I107" s="251">
        <f>SUM(I8:I106)</f>
        <v>117.32766137373268</v>
      </c>
      <c r="J107" s="355"/>
      <c r="K107" s="265"/>
      <c r="L107" s="102"/>
      <c r="M107" s="732"/>
      <c r="N107" s="733"/>
    </row>
    <row r="108" spans="1:14" ht="13">
      <c r="A108" s="16"/>
      <c r="B108" s="10"/>
      <c r="C108" s="7"/>
      <c r="D108" s="11"/>
      <c r="E108" s="11"/>
      <c r="F108" s="12"/>
      <c r="G108" s="13"/>
      <c r="H108" s="13"/>
      <c r="I108" s="239"/>
      <c r="J108" s="158"/>
      <c r="K108" s="29"/>
      <c r="L108" s="103"/>
      <c r="M108" s="732"/>
      <c r="N108" s="733"/>
    </row>
    <row r="109" spans="1:14" ht="13">
      <c r="A109" s="188"/>
      <c r="B109" s="10"/>
      <c r="C109" s="7"/>
      <c r="D109" s="11"/>
      <c r="E109" s="11"/>
      <c r="F109" s="12"/>
      <c r="G109" s="13"/>
      <c r="H109" s="13"/>
      <c r="I109" s="47"/>
      <c r="J109" s="158"/>
      <c r="K109" s="5"/>
      <c r="L109" s="103"/>
      <c r="M109" s="732"/>
      <c r="N109" s="733"/>
    </row>
    <row r="110" spans="1:14" ht="13">
      <c r="A110" s="188"/>
      <c r="B110" s="10"/>
      <c r="C110" s="7"/>
      <c r="D110" s="11"/>
      <c r="E110" s="11"/>
      <c r="F110" s="12"/>
      <c r="G110" s="13"/>
      <c r="H110" s="13"/>
      <c r="I110" s="47"/>
      <c r="J110" s="158"/>
      <c r="K110" s="5"/>
      <c r="L110" s="103"/>
      <c r="M110" s="732"/>
      <c r="N110" s="733"/>
    </row>
    <row r="111" spans="1:14" ht="13">
      <c r="A111" s="188"/>
      <c r="B111" s="10"/>
      <c r="C111" s="7"/>
      <c r="D111" s="11"/>
      <c r="E111" s="11"/>
      <c r="F111" s="12"/>
      <c r="G111" s="13"/>
      <c r="H111" s="13"/>
      <c r="I111" s="47"/>
      <c r="J111" s="158"/>
      <c r="K111" s="5"/>
      <c r="L111" s="103"/>
      <c r="M111" s="732"/>
      <c r="N111" s="733"/>
    </row>
    <row r="112" spans="1:14" ht="13">
      <c r="A112" s="188"/>
      <c r="B112" s="10"/>
      <c r="C112" s="7"/>
      <c r="D112" s="11"/>
      <c r="E112" s="11"/>
      <c r="F112" s="12"/>
      <c r="G112" s="13"/>
      <c r="H112" s="13"/>
      <c r="I112" s="47"/>
      <c r="J112" s="158"/>
      <c r="K112" s="5"/>
      <c r="L112" s="103"/>
      <c r="M112" s="732"/>
      <c r="N112" s="733"/>
    </row>
    <row r="113" spans="1:14">
      <c r="A113" s="1"/>
      <c r="B113" s="1"/>
      <c r="C113" s="1"/>
      <c r="D113" s="1"/>
      <c r="E113" s="1"/>
      <c r="F113" s="1"/>
      <c r="G113" s="1"/>
      <c r="H113" s="1"/>
      <c r="I113" s="2"/>
      <c r="J113" s="158"/>
      <c r="K113" s="5"/>
      <c r="L113" s="1"/>
      <c r="M113" s="732"/>
      <c r="N113" s="733"/>
    </row>
    <row r="114" spans="1:14" ht="15" customHeight="1">
      <c r="A114" s="1"/>
      <c r="B114" s="133"/>
      <c r="C114" s="1"/>
      <c r="D114" s="1"/>
      <c r="E114" s="31"/>
      <c r="F114" s="1"/>
      <c r="G114" s="1"/>
      <c r="H114" s="217"/>
      <c r="I114" s="218"/>
      <c r="K114" s="28"/>
      <c r="L114" s="1"/>
      <c r="M114" s="732"/>
      <c r="N114" s="463"/>
    </row>
    <row r="115" spans="1:14">
      <c r="A115" s="27" t="s">
        <v>114</v>
      </c>
      <c r="B115" s="27" t="s">
        <v>35</v>
      </c>
      <c r="C115" s="27" t="s">
        <v>17</v>
      </c>
      <c r="D115" s="27" t="s">
        <v>25</v>
      </c>
      <c r="E115" s="27" t="s">
        <v>26</v>
      </c>
      <c r="F115" s="27" t="s">
        <v>18</v>
      </c>
      <c r="G115" s="27" t="s">
        <v>90</v>
      </c>
      <c r="H115" s="27" t="s">
        <v>21</v>
      </c>
      <c r="I115" s="25" t="s">
        <v>22</v>
      </c>
      <c r="J115" s="159" t="s">
        <v>90</v>
      </c>
      <c r="K115" s="159" t="s">
        <v>608</v>
      </c>
      <c r="L115" s="25" t="s">
        <v>91</v>
      </c>
      <c r="M115" s="25" t="s">
        <v>185</v>
      </c>
      <c r="N115" s="130" t="s">
        <v>0</v>
      </c>
    </row>
    <row r="116" spans="1:14" ht="13" thickBot="1">
      <c r="A116" s="83"/>
      <c r="B116" s="83"/>
      <c r="C116" s="83"/>
      <c r="D116" s="83"/>
      <c r="E116" s="83"/>
      <c r="F116" s="83"/>
      <c r="G116" s="83"/>
      <c r="H116" s="83"/>
      <c r="I116" s="83"/>
      <c r="J116" s="160"/>
      <c r="K116" s="160"/>
      <c r="L116" s="83"/>
      <c r="M116" s="83"/>
      <c r="N116" s="131"/>
    </row>
    <row r="117" spans="1:14" ht="14.5" thickBot="1">
      <c r="A117" s="83"/>
      <c r="B117" s="83"/>
      <c r="C117" s="853" t="s">
        <v>39</v>
      </c>
      <c r="D117" s="854"/>
      <c r="E117" s="855"/>
      <c r="F117" s="83"/>
      <c r="G117" s="83"/>
      <c r="H117" s="83"/>
      <c r="I117" s="83"/>
      <c r="J117" s="160"/>
      <c r="K117" s="160"/>
      <c r="L117" s="83"/>
      <c r="M117" s="83"/>
      <c r="N117" s="131"/>
    </row>
    <row r="118" spans="1:14" ht="16.5">
      <c r="A118" s="112"/>
      <c r="B118" s="112"/>
      <c r="C118" s="113"/>
      <c r="D118" s="243" t="s">
        <v>82</v>
      </c>
      <c r="E118" s="113"/>
      <c r="F118" s="112"/>
      <c r="G118" s="112"/>
      <c r="H118" s="112"/>
      <c r="I118" s="112"/>
      <c r="J118" s="734" t="s">
        <v>90</v>
      </c>
      <c r="K118" s="734" t="s">
        <v>608</v>
      </c>
      <c r="L118" s="112"/>
      <c r="M118" s="112"/>
      <c r="N118" s="132"/>
    </row>
    <row r="119" spans="1:14" ht="13">
      <c r="A119" s="67"/>
      <c r="B119" s="10"/>
      <c r="C119" s="7"/>
      <c r="D119" s="21"/>
      <c r="E119" s="21"/>
      <c r="F119" s="109"/>
      <c r="G119" s="110"/>
      <c r="H119" s="110"/>
      <c r="I119" s="29"/>
      <c r="J119" s="161"/>
      <c r="K119" s="161"/>
      <c r="L119" s="47"/>
      <c r="M119" s="114"/>
      <c r="N119" s="235"/>
    </row>
    <row r="120" spans="1:14" ht="13">
      <c r="A120" s="188"/>
      <c r="B120" s="10"/>
      <c r="C120" s="7"/>
      <c r="D120" s="21"/>
      <c r="E120" s="21"/>
      <c r="F120" s="109"/>
      <c r="G120" s="172"/>
      <c r="H120" s="110"/>
      <c r="I120" s="29"/>
      <c r="J120" s="258"/>
      <c r="K120" s="258"/>
      <c r="L120" s="259"/>
      <c r="M120" s="283"/>
      <c r="N120" s="260"/>
    </row>
    <row r="121" spans="1:14" ht="13">
      <c r="A121" s="188"/>
      <c r="B121" s="10"/>
      <c r="C121" s="7" t="s">
        <v>6</v>
      </c>
      <c r="D121" s="21" t="s">
        <v>2</v>
      </c>
      <c r="E121" s="21" t="s">
        <v>92</v>
      </c>
      <c r="F121" s="109"/>
      <c r="G121" s="115"/>
      <c r="H121" s="110">
        <v>1.1716500000000001</v>
      </c>
      <c r="I121" s="29">
        <v>0</v>
      </c>
      <c r="J121" s="23">
        <v>0</v>
      </c>
      <c r="K121" s="23">
        <v>0</v>
      </c>
      <c r="L121" s="292">
        <v>0</v>
      </c>
      <c r="M121" s="283"/>
      <c r="N121" s="260" t="s">
        <v>805</v>
      </c>
    </row>
    <row r="122" spans="1:14" ht="13">
      <c r="A122" s="188"/>
      <c r="B122" s="10"/>
      <c r="C122" s="7" t="s">
        <v>6</v>
      </c>
      <c r="D122" s="21" t="s">
        <v>2</v>
      </c>
      <c r="E122" s="21" t="s">
        <v>92</v>
      </c>
      <c r="F122" s="109"/>
      <c r="G122" s="115"/>
      <c r="H122" s="110">
        <v>1.1716500000000001</v>
      </c>
      <c r="I122" s="29">
        <v>0</v>
      </c>
      <c r="J122" s="23">
        <v>0</v>
      </c>
      <c r="K122" s="23">
        <v>0</v>
      </c>
      <c r="L122" s="292">
        <v>0</v>
      </c>
      <c r="M122" s="283"/>
      <c r="N122" s="260" t="s">
        <v>805</v>
      </c>
    </row>
    <row r="123" spans="1:14" ht="13">
      <c r="A123" s="188"/>
      <c r="B123" s="10"/>
      <c r="C123" s="7" t="s">
        <v>6</v>
      </c>
      <c r="D123" s="21" t="s">
        <v>2</v>
      </c>
      <c r="E123" s="21" t="s">
        <v>92</v>
      </c>
      <c r="F123" s="109"/>
      <c r="G123" s="115"/>
      <c r="H123" s="110">
        <v>1.1716500000000001</v>
      </c>
      <c r="I123" s="29">
        <v>0</v>
      </c>
      <c r="J123" s="23">
        <v>0</v>
      </c>
      <c r="K123" s="23">
        <v>0</v>
      </c>
      <c r="L123" s="292">
        <v>0</v>
      </c>
      <c r="M123" s="283"/>
      <c r="N123" s="260" t="s">
        <v>805</v>
      </c>
    </row>
    <row r="124" spans="1:14" ht="13">
      <c r="A124" s="188"/>
      <c r="B124" s="10"/>
      <c r="C124" s="7" t="s">
        <v>6</v>
      </c>
      <c r="D124" s="21" t="s">
        <v>2</v>
      </c>
      <c r="E124" s="21" t="s">
        <v>92</v>
      </c>
      <c r="F124" s="109"/>
      <c r="G124" s="115"/>
      <c r="H124" s="110">
        <v>1.1716500000000001</v>
      </c>
      <c r="I124" s="29">
        <v>0</v>
      </c>
      <c r="J124" s="23">
        <v>0</v>
      </c>
      <c r="K124" s="23">
        <v>0</v>
      </c>
      <c r="L124" s="292">
        <v>0</v>
      </c>
      <c r="M124" s="283"/>
      <c r="N124" s="260" t="s">
        <v>805</v>
      </c>
    </row>
    <row r="125" spans="1:14" ht="13">
      <c r="A125" s="188"/>
      <c r="B125" s="10"/>
      <c r="C125" s="7" t="s">
        <v>6</v>
      </c>
      <c r="D125" s="21" t="s">
        <v>2</v>
      </c>
      <c r="E125" s="21" t="s">
        <v>92</v>
      </c>
      <c r="F125" s="109"/>
      <c r="G125" s="115"/>
      <c r="H125" s="110">
        <v>1.1716500000000001</v>
      </c>
      <c r="I125" s="29">
        <v>0</v>
      </c>
      <c r="J125" s="23">
        <v>0</v>
      </c>
      <c r="K125" s="23">
        <v>0</v>
      </c>
      <c r="L125" s="292">
        <v>0</v>
      </c>
      <c r="M125" s="283"/>
      <c r="N125" s="260" t="s">
        <v>805</v>
      </c>
    </row>
    <row r="126" spans="1:14" ht="13">
      <c r="A126" s="188"/>
      <c r="B126" s="10"/>
      <c r="C126" s="7" t="s">
        <v>6</v>
      </c>
      <c r="D126" s="21" t="s">
        <v>2</v>
      </c>
      <c r="E126" s="21" t="s">
        <v>92</v>
      </c>
      <c r="F126" s="109"/>
      <c r="G126" s="115"/>
      <c r="H126" s="110">
        <v>1.1716500000000001</v>
      </c>
      <c r="I126" s="29">
        <v>0</v>
      </c>
      <c r="J126" s="23">
        <v>0</v>
      </c>
      <c r="K126" s="23">
        <v>0</v>
      </c>
      <c r="L126" s="292">
        <v>0</v>
      </c>
      <c r="M126" s="283"/>
      <c r="N126" s="260" t="s">
        <v>805</v>
      </c>
    </row>
    <row r="127" spans="1:14" ht="13">
      <c r="A127" s="188"/>
      <c r="B127" s="10"/>
      <c r="C127" s="7"/>
      <c r="D127" s="21"/>
      <c r="E127" s="21"/>
      <c r="F127" s="109"/>
      <c r="G127" s="115"/>
      <c r="H127" s="110"/>
      <c r="I127" s="29"/>
      <c r="J127" s="23"/>
      <c r="K127" s="23"/>
      <c r="L127" s="259"/>
      <c r="M127" s="283"/>
      <c r="N127" s="260"/>
    </row>
    <row r="128" spans="1:14" ht="13">
      <c r="A128" s="188"/>
      <c r="B128" s="10"/>
      <c r="C128" s="7"/>
      <c r="D128" s="21"/>
      <c r="E128" s="21"/>
      <c r="F128" s="109"/>
      <c r="G128" s="115"/>
      <c r="H128" s="110"/>
      <c r="I128" s="29"/>
      <c r="J128" s="23"/>
      <c r="K128" s="23"/>
      <c r="L128" s="259"/>
      <c r="M128" s="283"/>
      <c r="N128" s="260"/>
    </row>
    <row r="129" spans="1:14" ht="13">
      <c r="A129" s="188">
        <v>45967</v>
      </c>
      <c r="B129" s="10" t="s">
        <v>715</v>
      </c>
      <c r="C129" s="7" t="s">
        <v>6</v>
      </c>
      <c r="D129" s="21" t="s">
        <v>106</v>
      </c>
      <c r="E129" s="21" t="s">
        <v>715</v>
      </c>
      <c r="F129" s="109">
        <v>-1333.3333333333333</v>
      </c>
      <c r="G129" s="115">
        <v>1180</v>
      </c>
      <c r="H129" s="591">
        <v>898.505</v>
      </c>
      <c r="I129" s="29">
        <v>0</v>
      </c>
      <c r="J129" s="23">
        <v>0.31329263610107905</v>
      </c>
      <c r="K129" s="23">
        <v>6.0754947559111781E-3</v>
      </c>
      <c r="L129" s="292">
        <v>1333.3333333333333</v>
      </c>
      <c r="M129" s="283">
        <v>46329</v>
      </c>
      <c r="N129" s="260">
        <v>204</v>
      </c>
    </row>
    <row r="130" spans="1:14" ht="13">
      <c r="A130" s="188">
        <v>45967</v>
      </c>
      <c r="B130" s="10" t="s">
        <v>715</v>
      </c>
      <c r="C130" s="7" t="s">
        <v>6</v>
      </c>
      <c r="D130" s="21" t="s">
        <v>106</v>
      </c>
      <c r="E130" s="21" t="s">
        <v>715</v>
      </c>
      <c r="F130" s="109">
        <v>-1333.3333333333333</v>
      </c>
      <c r="G130" s="115">
        <v>1170</v>
      </c>
      <c r="H130" s="591">
        <v>898.505</v>
      </c>
      <c r="I130" s="29">
        <v>0</v>
      </c>
      <c r="J130" s="23">
        <v>0.30216303749005302</v>
      </c>
      <c r="K130" s="23">
        <v>7.5004601187660339E-3</v>
      </c>
      <c r="L130" s="292">
        <v>1333.3333333333333</v>
      </c>
      <c r="M130" s="283">
        <v>46329</v>
      </c>
      <c r="N130" s="260">
        <v>204</v>
      </c>
    </row>
    <row r="131" spans="1:14" ht="13">
      <c r="A131" s="188">
        <v>45971</v>
      </c>
      <c r="B131" s="10" t="s">
        <v>715</v>
      </c>
      <c r="C131" s="7" t="s">
        <v>6</v>
      </c>
      <c r="D131" s="21" t="s">
        <v>106</v>
      </c>
      <c r="E131" s="21" t="s">
        <v>715</v>
      </c>
      <c r="F131" s="109">
        <v>-1333.3333333333333</v>
      </c>
      <c r="G131" s="115">
        <v>1160</v>
      </c>
      <c r="H131" s="591">
        <v>898.505</v>
      </c>
      <c r="I131" s="29">
        <v>0</v>
      </c>
      <c r="J131" s="23">
        <v>0.29103343887902677</v>
      </c>
      <c r="K131" s="23">
        <v>9.2280596840870876E-3</v>
      </c>
      <c r="L131" s="292">
        <v>1333.3333333333333</v>
      </c>
      <c r="M131" s="283">
        <v>46329</v>
      </c>
      <c r="N131" s="260">
        <v>204</v>
      </c>
    </row>
    <row r="132" spans="1:14" ht="13">
      <c r="A132" s="188">
        <v>45987</v>
      </c>
      <c r="B132" s="10" t="s">
        <v>715</v>
      </c>
      <c r="C132" s="7" t="s">
        <v>6</v>
      </c>
      <c r="D132" s="21" t="s">
        <v>106</v>
      </c>
      <c r="E132" s="21" t="s">
        <v>715</v>
      </c>
      <c r="F132" s="109">
        <v>-1333.3333333333333</v>
      </c>
      <c r="G132" s="115">
        <v>1140</v>
      </c>
      <c r="H132" s="591">
        <v>898.505</v>
      </c>
      <c r="I132" s="29">
        <v>0</v>
      </c>
      <c r="J132" s="23">
        <v>0.26877424165697472</v>
      </c>
      <c r="K132" s="23">
        <v>1.3821565606170332E-2</v>
      </c>
      <c r="L132" s="292">
        <v>1333.3333333333333</v>
      </c>
      <c r="M132" s="283">
        <v>46329</v>
      </c>
      <c r="N132" s="260">
        <v>204</v>
      </c>
    </row>
    <row r="133" spans="1:14" ht="13">
      <c r="A133" s="188">
        <v>45987</v>
      </c>
      <c r="B133" s="10" t="s">
        <v>529</v>
      </c>
      <c r="C133" s="7" t="s">
        <v>6</v>
      </c>
      <c r="D133" s="21" t="s">
        <v>106</v>
      </c>
      <c r="E133" s="21" t="s">
        <v>715</v>
      </c>
      <c r="F133" s="109">
        <v>-1333.3333333333333</v>
      </c>
      <c r="G133" s="115">
        <v>1130</v>
      </c>
      <c r="H133" s="591">
        <v>898.505</v>
      </c>
      <c r="I133" s="29">
        <v>0</v>
      </c>
      <c r="J133" s="23">
        <v>0.25764464304594847</v>
      </c>
      <c r="K133" s="23">
        <v>1.6823125400137889E-2</v>
      </c>
      <c r="L133" s="292">
        <v>1333.3333333333333</v>
      </c>
      <c r="M133" s="283">
        <v>46329</v>
      </c>
      <c r="N133" s="260">
        <v>204</v>
      </c>
    </row>
    <row r="134" spans="1:14" ht="13">
      <c r="A134" s="188">
        <v>45988</v>
      </c>
      <c r="B134" s="10" t="s">
        <v>715</v>
      </c>
      <c r="C134" s="7" t="s">
        <v>6</v>
      </c>
      <c r="D134" s="21" t="s">
        <v>106</v>
      </c>
      <c r="E134" s="21" t="s">
        <v>715</v>
      </c>
      <c r="F134" s="109">
        <v>-1333.3333333333333</v>
      </c>
      <c r="G134" s="115">
        <v>1120</v>
      </c>
      <c r="H134" s="591">
        <v>898.505</v>
      </c>
      <c r="I134" s="29">
        <v>0</v>
      </c>
      <c r="J134" s="23">
        <v>0.24651504443492245</v>
      </c>
      <c r="K134" s="23">
        <v>2.0399644317800093E-2</v>
      </c>
      <c r="L134" s="292">
        <v>1333.3333333333333</v>
      </c>
      <c r="M134" s="283">
        <v>46329</v>
      </c>
      <c r="N134" s="260">
        <v>204</v>
      </c>
    </row>
    <row r="135" spans="1:14" ht="13">
      <c r="A135" s="188">
        <v>45992</v>
      </c>
      <c r="B135" s="10" t="s">
        <v>715</v>
      </c>
      <c r="C135" s="7" t="s">
        <v>6</v>
      </c>
      <c r="D135" s="21" t="s">
        <v>106</v>
      </c>
      <c r="E135" s="21" t="s">
        <v>715</v>
      </c>
      <c r="F135" s="109">
        <v>-1333.3333333333333</v>
      </c>
      <c r="G135" s="115">
        <v>1110</v>
      </c>
      <c r="H135" s="591">
        <v>898.505</v>
      </c>
      <c r="I135" s="29">
        <v>0</v>
      </c>
      <c r="J135" s="23">
        <v>0.23538544582389642</v>
      </c>
      <c r="K135" s="23">
        <v>2.4641445608469627E-2</v>
      </c>
      <c r="L135" s="292">
        <v>1333.3333333333333</v>
      </c>
      <c r="M135" s="283">
        <v>46329</v>
      </c>
      <c r="N135" s="260">
        <v>204</v>
      </c>
    </row>
    <row r="136" spans="1:14" ht="13">
      <c r="A136" s="188">
        <v>45992</v>
      </c>
      <c r="B136" s="10" t="s">
        <v>529</v>
      </c>
      <c r="C136" s="7" t="s">
        <v>6</v>
      </c>
      <c r="D136" s="21" t="s">
        <v>106</v>
      </c>
      <c r="E136" s="21" t="s">
        <v>715</v>
      </c>
      <c r="F136" s="109">
        <v>-1333.3333333333333</v>
      </c>
      <c r="G136" s="115">
        <v>1100</v>
      </c>
      <c r="H136" s="591">
        <v>898.505</v>
      </c>
      <c r="I136" s="29">
        <v>0</v>
      </c>
      <c r="J136" s="23">
        <v>0.22425584721287017</v>
      </c>
      <c r="K136" s="23">
        <v>2.9648190824202086E-2</v>
      </c>
      <c r="L136" s="292">
        <v>1333.3333333333333</v>
      </c>
      <c r="M136" s="283">
        <v>46329</v>
      </c>
      <c r="N136" s="260">
        <v>204</v>
      </c>
    </row>
    <row r="137" spans="1:14" ht="13">
      <c r="A137" s="188">
        <v>46091</v>
      </c>
      <c r="B137" s="10" t="s">
        <v>716</v>
      </c>
      <c r="C137" s="7" t="s">
        <v>6</v>
      </c>
      <c r="D137" s="21" t="s">
        <v>106</v>
      </c>
      <c r="E137" s="21" t="s">
        <v>715</v>
      </c>
      <c r="F137" s="109">
        <v>-1333.3333333333333</v>
      </c>
      <c r="G137" s="115">
        <v>1040</v>
      </c>
      <c r="H137" s="591">
        <v>898.505</v>
      </c>
      <c r="I137" s="29">
        <v>0</v>
      </c>
      <c r="J137" s="23">
        <v>0.1574782555467138</v>
      </c>
      <c r="K137" s="23">
        <v>8.2377953966627532E-2</v>
      </c>
      <c r="L137" s="292">
        <v>1333.3333333333333</v>
      </c>
      <c r="M137" s="283">
        <v>46329</v>
      </c>
      <c r="N137" s="260">
        <v>204</v>
      </c>
    </row>
    <row r="138" spans="1:14" ht="13">
      <c r="A138" s="188">
        <v>46091</v>
      </c>
      <c r="B138" s="10" t="s">
        <v>716</v>
      </c>
      <c r="C138" s="7" t="s">
        <v>6</v>
      </c>
      <c r="D138" s="21" t="s">
        <v>106</v>
      </c>
      <c r="E138" s="21" t="s">
        <v>715</v>
      </c>
      <c r="F138" s="109">
        <v>-1666.6666666666667</v>
      </c>
      <c r="G138" s="115">
        <v>1020</v>
      </c>
      <c r="H138" s="591">
        <v>898.505</v>
      </c>
      <c r="I138" s="29">
        <v>0</v>
      </c>
      <c r="J138" s="23">
        <v>0.13521905832466152</v>
      </c>
      <c r="K138" s="23">
        <v>0.11174822566356298</v>
      </c>
      <c r="L138" s="292">
        <v>1666.6666666666667</v>
      </c>
      <c r="M138" s="283">
        <v>46329</v>
      </c>
      <c r="N138" s="260">
        <v>204</v>
      </c>
    </row>
    <row r="139" spans="1:14" ht="13">
      <c r="A139" s="188">
        <v>46099</v>
      </c>
      <c r="B139" s="10" t="s">
        <v>716</v>
      </c>
      <c r="C139" s="7" t="s">
        <v>6</v>
      </c>
      <c r="D139" s="21" t="s">
        <v>106</v>
      </c>
      <c r="E139" s="21" t="s">
        <v>715</v>
      </c>
      <c r="F139" s="109">
        <v>-1000</v>
      </c>
      <c r="G139" s="115">
        <v>1010</v>
      </c>
      <c r="H139" s="591">
        <v>898.505</v>
      </c>
      <c r="I139" s="29">
        <v>0</v>
      </c>
      <c r="J139" s="23">
        <v>0.1240894597136355</v>
      </c>
      <c r="K139" s="23">
        <v>0.12923181662227132</v>
      </c>
      <c r="L139" s="292">
        <v>1000</v>
      </c>
      <c r="M139" s="283">
        <v>46329</v>
      </c>
      <c r="N139" s="260">
        <v>204</v>
      </c>
    </row>
    <row r="140" spans="1:14" ht="13">
      <c r="A140" s="188">
        <v>46052</v>
      </c>
      <c r="B140" s="10" t="s">
        <v>690</v>
      </c>
      <c r="C140" s="7" t="s">
        <v>6</v>
      </c>
      <c r="D140" s="21" t="s">
        <v>106</v>
      </c>
      <c r="E140" s="21" t="s">
        <v>715</v>
      </c>
      <c r="F140" s="109">
        <v>-1000</v>
      </c>
      <c r="G140" s="115">
        <v>910</v>
      </c>
      <c r="H140" s="591">
        <v>898.505</v>
      </c>
      <c r="I140" s="29">
        <v>0</v>
      </c>
      <c r="J140" s="23">
        <v>1.2793473603374572E-2</v>
      </c>
      <c r="K140" s="23">
        <v>0.33419763760710081</v>
      </c>
      <c r="L140" s="292">
        <v>1000</v>
      </c>
      <c r="M140" s="283">
        <v>46141</v>
      </c>
      <c r="N140" s="260">
        <v>16</v>
      </c>
    </row>
    <row r="141" spans="1:14" ht="13">
      <c r="A141" s="753">
        <v>46091</v>
      </c>
      <c r="B141" s="754" t="s">
        <v>716</v>
      </c>
      <c r="C141" s="754" t="s">
        <v>711</v>
      </c>
      <c r="D141" s="755" t="s">
        <v>106</v>
      </c>
      <c r="E141" s="755" t="s">
        <v>715</v>
      </c>
      <c r="F141" s="756">
        <v>1000</v>
      </c>
      <c r="G141" s="762">
        <v>910</v>
      </c>
      <c r="H141" s="842">
        <v>898.505</v>
      </c>
      <c r="I141" s="757">
        <v>0</v>
      </c>
      <c r="J141" s="758">
        <v>1.2793473603374572E-2</v>
      </c>
      <c r="K141" s="758">
        <v>0.33419763760710081</v>
      </c>
      <c r="L141" s="843">
        <v>-1000</v>
      </c>
      <c r="M141" s="760">
        <v>46141</v>
      </c>
      <c r="N141" s="761">
        <v>16</v>
      </c>
    </row>
    <row r="142" spans="1:14" ht="13">
      <c r="A142" s="188"/>
      <c r="B142" s="10"/>
      <c r="C142" s="7" t="s">
        <v>6</v>
      </c>
      <c r="D142" s="21" t="s">
        <v>106</v>
      </c>
      <c r="E142" s="21" t="s">
        <v>715</v>
      </c>
      <c r="F142" s="109">
        <v>0</v>
      </c>
      <c r="G142" s="115"/>
      <c r="H142" s="591">
        <v>898.505</v>
      </c>
      <c r="I142" s="29">
        <v>0</v>
      </c>
      <c r="J142" s="23">
        <v>0</v>
      </c>
      <c r="K142" s="23">
        <v>0</v>
      </c>
      <c r="L142" s="292">
        <v>0</v>
      </c>
      <c r="M142" s="283"/>
      <c r="N142" s="260" t="s">
        <v>805</v>
      </c>
    </row>
    <row r="143" spans="1:14" ht="13">
      <c r="A143" s="188"/>
      <c r="B143" s="10"/>
      <c r="C143" s="7" t="s">
        <v>6</v>
      </c>
      <c r="D143" s="21" t="s">
        <v>106</v>
      </c>
      <c r="E143" s="21" t="s">
        <v>715</v>
      </c>
      <c r="F143" s="109">
        <v>0</v>
      </c>
      <c r="G143" s="115"/>
      <c r="H143" s="591">
        <v>898.505</v>
      </c>
      <c r="I143" s="29">
        <v>0</v>
      </c>
      <c r="J143" s="23">
        <v>0</v>
      </c>
      <c r="K143" s="23">
        <v>0</v>
      </c>
      <c r="L143" s="292">
        <v>0</v>
      </c>
      <c r="M143" s="283"/>
      <c r="N143" s="260" t="s">
        <v>805</v>
      </c>
    </row>
    <row r="144" spans="1:14" ht="13">
      <c r="A144" s="188"/>
      <c r="B144" s="10"/>
      <c r="C144" s="7" t="s">
        <v>6</v>
      </c>
      <c r="D144" s="21" t="s">
        <v>106</v>
      </c>
      <c r="E144" s="21" t="s">
        <v>715</v>
      </c>
      <c r="F144" s="109">
        <v>0</v>
      </c>
      <c r="G144" s="115"/>
      <c r="H144" s="591">
        <v>898.505</v>
      </c>
      <c r="I144" s="29">
        <v>0</v>
      </c>
      <c r="J144" s="23">
        <v>0</v>
      </c>
      <c r="K144" s="23">
        <v>0</v>
      </c>
      <c r="L144" s="292">
        <v>0</v>
      </c>
      <c r="M144" s="283"/>
      <c r="N144" s="260" t="s">
        <v>805</v>
      </c>
    </row>
    <row r="145" spans="1:14" ht="13">
      <c r="A145" s="188"/>
      <c r="B145" s="10"/>
      <c r="C145" s="7" t="s">
        <v>6</v>
      </c>
      <c r="D145" s="21" t="s">
        <v>106</v>
      </c>
      <c r="E145" s="21" t="s">
        <v>715</v>
      </c>
      <c r="F145" s="109">
        <v>0</v>
      </c>
      <c r="G145" s="115"/>
      <c r="H145" s="591">
        <v>898.505</v>
      </c>
      <c r="I145" s="29">
        <v>0</v>
      </c>
      <c r="J145" s="23">
        <v>0</v>
      </c>
      <c r="K145" s="23">
        <v>0</v>
      </c>
      <c r="L145" s="259">
        <v>0</v>
      </c>
      <c r="M145" s="283"/>
      <c r="N145" s="260" t="s">
        <v>805</v>
      </c>
    </row>
    <row r="146" spans="1:14" ht="13">
      <c r="A146" s="188"/>
      <c r="B146" s="10"/>
      <c r="C146" s="7"/>
      <c r="D146" s="21"/>
      <c r="E146" s="21"/>
      <c r="F146" s="109">
        <v>0</v>
      </c>
      <c r="G146" s="172"/>
      <c r="H146" s="110"/>
      <c r="I146" s="29"/>
      <c r="J146" s="23"/>
      <c r="K146" s="23"/>
      <c r="L146" s="47"/>
      <c r="M146" s="283"/>
      <c r="N146" s="260"/>
    </row>
    <row r="147" spans="1:14" ht="13">
      <c r="A147" s="188"/>
      <c r="B147" s="10"/>
      <c r="C147" s="7" t="s">
        <v>6</v>
      </c>
      <c r="D147" s="21" t="s">
        <v>719</v>
      </c>
      <c r="E147" s="21" t="s">
        <v>53</v>
      </c>
      <c r="F147" s="109">
        <v>0</v>
      </c>
      <c r="G147" s="172"/>
      <c r="H147" s="110">
        <v>5.0283499999999997</v>
      </c>
      <c r="I147" s="29">
        <v>0</v>
      </c>
      <c r="J147" s="23">
        <v>0</v>
      </c>
      <c r="K147" s="23">
        <v>0</v>
      </c>
      <c r="L147" s="47">
        <v>0</v>
      </c>
      <c r="M147" s="283"/>
      <c r="N147" s="260" t="s">
        <v>805</v>
      </c>
    </row>
    <row r="148" spans="1:14" ht="13">
      <c r="A148" s="188"/>
      <c r="B148" s="10"/>
      <c r="C148" s="7" t="s">
        <v>6</v>
      </c>
      <c r="D148" s="21" t="s">
        <v>719</v>
      </c>
      <c r="E148" s="21" t="s">
        <v>53</v>
      </c>
      <c r="F148" s="109">
        <v>0</v>
      </c>
      <c r="G148" s="172"/>
      <c r="H148" s="110">
        <v>5.0283499999999997</v>
      </c>
      <c r="I148" s="29">
        <v>0</v>
      </c>
      <c r="J148" s="23">
        <v>0</v>
      </c>
      <c r="K148" s="23">
        <v>0</v>
      </c>
      <c r="L148" s="47">
        <v>0</v>
      </c>
      <c r="M148" s="283"/>
      <c r="N148" s="260" t="s">
        <v>805</v>
      </c>
    </row>
    <row r="149" spans="1:14" ht="13">
      <c r="A149" s="188"/>
      <c r="B149" s="10"/>
      <c r="C149" s="7" t="s">
        <v>6</v>
      </c>
      <c r="D149" s="21" t="s">
        <v>719</v>
      </c>
      <c r="E149" s="21" t="s">
        <v>53</v>
      </c>
      <c r="F149" s="109">
        <v>0</v>
      </c>
      <c r="G149" s="172"/>
      <c r="H149" s="110">
        <v>5.0283499999999997</v>
      </c>
      <c r="I149" s="29">
        <v>0</v>
      </c>
      <c r="J149" s="23">
        <v>0</v>
      </c>
      <c r="K149" s="23">
        <v>0</v>
      </c>
      <c r="L149" s="47">
        <v>0</v>
      </c>
      <c r="M149" s="283"/>
      <c r="N149" s="260" t="s">
        <v>805</v>
      </c>
    </row>
    <row r="150" spans="1:14" ht="13">
      <c r="A150" s="188"/>
      <c r="B150" s="10"/>
      <c r="C150" s="7"/>
      <c r="D150" s="21"/>
      <c r="E150" s="21"/>
      <c r="F150" s="109">
        <v>0</v>
      </c>
      <c r="G150" s="172"/>
      <c r="H150" s="110"/>
      <c r="I150" s="29"/>
      <c r="J150" s="23"/>
      <c r="K150" s="23"/>
      <c r="L150" s="47"/>
      <c r="M150" s="283"/>
      <c r="N150" s="260"/>
    </row>
    <row r="151" spans="1:14" ht="13">
      <c r="A151" s="188"/>
      <c r="B151" s="10"/>
      <c r="C151" s="7" t="s">
        <v>6</v>
      </c>
      <c r="D151" s="21" t="s">
        <v>4</v>
      </c>
      <c r="E151" s="21" t="s">
        <v>41</v>
      </c>
      <c r="F151" s="109">
        <v>0</v>
      </c>
      <c r="G151" s="172"/>
      <c r="H151" s="110">
        <v>17.344049999999999</v>
      </c>
      <c r="I151" s="29">
        <v>0</v>
      </c>
      <c r="J151" s="23">
        <v>0</v>
      </c>
      <c r="K151" s="23">
        <v>0</v>
      </c>
      <c r="L151" s="47">
        <v>0</v>
      </c>
      <c r="M151" s="283"/>
      <c r="N151" s="260" t="s">
        <v>805</v>
      </c>
    </row>
    <row r="152" spans="1:14" ht="13">
      <c r="A152" s="188"/>
      <c r="B152" s="10"/>
      <c r="C152" s="7" t="s">
        <v>6</v>
      </c>
      <c r="D152" s="21" t="s">
        <v>4</v>
      </c>
      <c r="E152" s="21" t="s">
        <v>41</v>
      </c>
      <c r="F152" s="109">
        <v>0</v>
      </c>
      <c r="G152" s="115"/>
      <c r="H152" s="110">
        <v>17.344049999999999</v>
      </c>
      <c r="I152" s="29">
        <v>0</v>
      </c>
      <c r="J152" s="23">
        <v>0</v>
      </c>
      <c r="K152" s="23">
        <v>0</v>
      </c>
      <c r="L152" s="292">
        <v>0</v>
      </c>
      <c r="M152" s="283"/>
      <c r="N152" s="260"/>
    </row>
    <row r="153" spans="1:14" ht="13">
      <c r="A153" s="188"/>
      <c r="B153" s="10"/>
      <c r="C153" s="7"/>
      <c r="D153" s="21"/>
      <c r="E153" s="21"/>
      <c r="F153" s="109">
        <v>0</v>
      </c>
      <c r="G153" s="172"/>
      <c r="H153" s="110"/>
      <c r="I153" s="29"/>
      <c r="J153" s="221"/>
      <c r="K153" s="23"/>
      <c r="L153" s="222"/>
      <c r="M153" s="283"/>
      <c r="N153" s="260"/>
    </row>
    <row r="154" spans="1:14" ht="13">
      <c r="A154" s="188"/>
      <c r="B154" s="10"/>
      <c r="C154" s="7" t="s">
        <v>6</v>
      </c>
      <c r="D154" s="21" t="s">
        <v>87</v>
      </c>
      <c r="E154" s="21" t="s">
        <v>95</v>
      </c>
      <c r="F154" s="109">
        <v>0</v>
      </c>
      <c r="G154" s="22"/>
      <c r="H154" s="110">
        <v>16.478749999999998</v>
      </c>
      <c r="I154" s="29">
        <v>0</v>
      </c>
      <c r="J154" s="23">
        <v>0</v>
      </c>
      <c r="K154" s="23">
        <v>0</v>
      </c>
      <c r="L154" s="292">
        <v>0</v>
      </c>
      <c r="M154" s="283"/>
      <c r="N154" s="260"/>
    </row>
    <row r="155" spans="1:14" ht="13">
      <c r="A155" s="188"/>
      <c r="B155" s="10"/>
      <c r="C155" s="7" t="s">
        <v>6</v>
      </c>
      <c r="D155" s="21" t="s">
        <v>87</v>
      </c>
      <c r="E155" s="21" t="s">
        <v>95</v>
      </c>
      <c r="F155" s="109">
        <v>0</v>
      </c>
      <c r="G155" s="22"/>
      <c r="H155" s="110">
        <v>16.478749999999998</v>
      </c>
      <c r="I155" s="29">
        <v>0</v>
      </c>
      <c r="J155" s="23">
        <v>0</v>
      </c>
      <c r="K155" s="23">
        <v>0</v>
      </c>
      <c r="L155" s="292">
        <v>0</v>
      </c>
      <c r="M155" s="283"/>
      <c r="N155" s="260"/>
    </row>
    <row r="156" spans="1:14" ht="13">
      <c r="A156" s="188"/>
      <c r="B156" s="10"/>
      <c r="C156" s="7" t="s">
        <v>6</v>
      </c>
      <c r="D156" s="21" t="s">
        <v>87</v>
      </c>
      <c r="E156" s="21" t="s">
        <v>95</v>
      </c>
      <c r="F156" s="109">
        <v>0</v>
      </c>
      <c r="G156" s="22"/>
      <c r="H156" s="110">
        <v>16.478749999999998</v>
      </c>
      <c r="I156" s="29">
        <v>0</v>
      </c>
      <c r="J156" s="23">
        <v>0</v>
      </c>
      <c r="K156" s="23">
        <v>0</v>
      </c>
      <c r="L156" s="292">
        <v>0</v>
      </c>
      <c r="M156" s="283"/>
      <c r="N156" s="260"/>
    </row>
    <row r="157" spans="1:14" ht="13">
      <c r="A157" s="188"/>
      <c r="B157" s="10"/>
      <c r="C157" s="7" t="s">
        <v>6</v>
      </c>
      <c r="D157" s="21" t="s">
        <v>87</v>
      </c>
      <c r="E157" s="21" t="s">
        <v>95</v>
      </c>
      <c r="F157" s="109">
        <v>0</v>
      </c>
      <c r="G157" s="22"/>
      <c r="H157" s="110">
        <v>16.478749999999998</v>
      </c>
      <c r="I157" s="29">
        <v>0</v>
      </c>
      <c r="J157" s="23">
        <v>0</v>
      </c>
      <c r="K157" s="23">
        <v>0</v>
      </c>
      <c r="L157" s="292">
        <v>0</v>
      </c>
      <c r="M157" s="283"/>
      <c r="N157" s="260"/>
    </row>
    <row r="158" spans="1:14" ht="13">
      <c r="A158" s="188"/>
      <c r="B158" s="10"/>
      <c r="C158" s="7" t="s">
        <v>6</v>
      </c>
      <c r="D158" s="21" t="s">
        <v>87</v>
      </c>
      <c r="E158" s="21" t="s">
        <v>95</v>
      </c>
      <c r="F158" s="109">
        <v>0</v>
      </c>
      <c r="G158" s="22"/>
      <c r="H158" s="110">
        <v>16.478749999999998</v>
      </c>
      <c r="I158" s="29">
        <v>0</v>
      </c>
      <c r="J158" s="23">
        <v>0</v>
      </c>
      <c r="K158" s="23">
        <v>0</v>
      </c>
      <c r="L158" s="292">
        <v>0</v>
      </c>
      <c r="M158" s="283"/>
      <c r="N158" s="260"/>
    </row>
    <row r="159" spans="1:14" ht="13">
      <c r="A159" s="188"/>
      <c r="B159" s="10"/>
      <c r="C159" s="7" t="s">
        <v>6</v>
      </c>
      <c r="D159" s="21" t="s">
        <v>87</v>
      </c>
      <c r="E159" s="21" t="s">
        <v>95</v>
      </c>
      <c r="F159" s="109">
        <v>0</v>
      </c>
      <c r="G159" s="22"/>
      <c r="H159" s="110">
        <v>16.478749999999998</v>
      </c>
      <c r="I159" s="29">
        <v>0</v>
      </c>
      <c r="J159" s="23">
        <v>0</v>
      </c>
      <c r="K159" s="23">
        <v>0</v>
      </c>
      <c r="L159" s="292">
        <v>0</v>
      </c>
      <c r="M159" s="283"/>
      <c r="N159" s="260"/>
    </row>
    <row r="160" spans="1:14" ht="13">
      <c r="A160" s="188"/>
      <c r="B160" s="10"/>
      <c r="C160" s="7" t="s">
        <v>6</v>
      </c>
      <c r="D160" s="21" t="s">
        <v>87</v>
      </c>
      <c r="E160" s="21" t="s">
        <v>95</v>
      </c>
      <c r="F160" s="109">
        <v>0</v>
      </c>
      <c r="G160" s="22"/>
      <c r="H160" s="110">
        <v>16.478749999999998</v>
      </c>
      <c r="I160" s="29">
        <v>0</v>
      </c>
      <c r="J160" s="23">
        <v>0</v>
      </c>
      <c r="K160" s="23">
        <v>0</v>
      </c>
      <c r="L160" s="292">
        <v>0</v>
      </c>
      <c r="M160" s="283"/>
      <c r="N160" s="260"/>
    </row>
    <row r="161" spans="1:14" ht="13">
      <c r="A161" s="188"/>
      <c r="B161" s="10"/>
      <c r="C161" s="7"/>
      <c r="D161" s="21"/>
      <c r="E161" s="21"/>
      <c r="F161" s="109">
        <v>0</v>
      </c>
      <c r="G161" s="172"/>
      <c r="H161" s="110"/>
      <c r="I161" s="29"/>
      <c r="J161" s="258"/>
      <c r="K161" s="23"/>
      <c r="L161" s="259"/>
      <c r="M161" s="283"/>
      <c r="N161" s="260"/>
    </row>
    <row r="162" spans="1:14" ht="13">
      <c r="A162" s="188">
        <v>46050</v>
      </c>
      <c r="B162" s="10" t="s">
        <v>332</v>
      </c>
      <c r="C162" s="7" t="s">
        <v>6</v>
      </c>
      <c r="D162" s="21" t="s">
        <v>103</v>
      </c>
      <c r="E162" s="21" t="s">
        <v>104</v>
      </c>
      <c r="F162" s="109">
        <v>-1000</v>
      </c>
      <c r="G162" s="552">
        <v>0.745</v>
      </c>
      <c r="H162" s="110">
        <v>0.70669999999999999</v>
      </c>
      <c r="I162" s="29">
        <v>0</v>
      </c>
      <c r="J162" s="23">
        <v>5.4195556813357859E-2</v>
      </c>
      <c r="K162" s="23">
        <v>0.37057799162300753</v>
      </c>
      <c r="L162" s="259">
        <v>706.7</v>
      </c>
      <c r="M162" s="283">
        <v>46351</v>
      </c>
      <c r="N162" s="260">
        <v>226</v>
      </c>
    </row>
    <row r="163" spans="1:14" ht="13">
      <c r="A163" s="188">
        <v>46048</v>
      </c>
      <c r="B163" s="10" t="s">
        <v>332</v>
      </c>
      <c r="C163" s="7" t="s">
        <v>6</v>
      </c>
      <c r="D163" s="21" t="s">
        <v>103</v>
      </c>
      <c r="E163" s="21" t="s">
        <v>104</v>
      </c>
      <c r="F163" s="109">
        <v>-1000</v>
      </c>
      <c r="G163" s="552">
        <v>0.74</v>
      </c>
      <c r="H163" s="110">
        <v>0.70669999999999999</v>
      </c>
      <c r="I163" s="29">
        <v>0</v>
      </c>
      <c r="J163" s="23">
        <v>4.7120418848167533E-2</v>
      </c>
      <c r="K163" s="23">
        <v>0.38132884269597178</v>
      </c>
      <c r="L163" s="259">
        <v>706.7</v>
      </c>
      <c r="M163" s="283">
        <v>46351</v>
      </c>
      <c r="N163" s="260">
        <v>226</v>
      </c>
    </row>
    <row r="164" spans="1:14" ht="13">
      <c r="A164" s="188">
        <v>46045</v>
      </c>
      <c r="B164" s="10" t="s">
        <v>108</v>
      </c>
      <c r="C164" s="7" t="s">
        <v>6</v>
      </c>
      <c r="D164" s="21" t="s">
        <v>103</v>
      </c>
      <c r="E164" s="21" t="s">
        <v>104</v>
      </c>
      <c r="F164" s="109">
        <v>-1000</v>
      </c>
      <c r="G164" s="552">
        <v>0.73499999999999999</v>
      </c>
      <c r="H164" s="110">
        <v>0.70669999999999999</v>
      </c>
      <c r="I164" s="29">
        <v>0</v>
      </c>
      <c r="J164" s="23">
        <v>4.0045280882977208E-2</v>
      </c>
      <c r="K164" s="23">
        <v>0.39224587250834386</v>
      </c>
      <c r="L164" s="259">
        <v>706.7</v>
      </c>
      <c r="M164" s="283">
        <v>46351</v>
      </c>
      <c r="N164" s="260">
        <v>226</v>
      </c>
    </row>
    <row r="165" spans="1:14" ht="13">
      <c r="A165" s="188">
        <v>46045</v>
      </c>
      <c r="B165" s="10" t="s">
        <v>332</v>
      </c>
      <c r="C165" s="7" t="s">
        <v>6</v>
      </c>
      <c r="D165" s="21" t="s">
        <v>103</v>
      </c>
      <c r="E165" s="21" t="s">
        <v>104</v>
      </c>
      <c r="F165" s="109">
        <v>-1000</v>
      </c>
      <c r="G165" s="552">
        <v>0.73</v>
      </c>
      <c r="H165" s="110">
        <v>0.70669999999999999</v>
      </c>
      <c r="I165" s="29">
        <v>0</v>
      </c>
      <c r="J165" s="23">
        <v>3.2970142917786882E-2</v>
      </c>
      <c r="K165" s="23">
        <v>0.40332376017566124</v>
      </c>
      <c r="L165" s="259">
        <v>706.7</v>
      </c>
      <c r="M165" s="283">
        <v>46351</v>
      </c>
      <c r="N165" s="260">
        <v>226</v>
      </c>
    </row>
    <row r="166" spans="1:14" ht="13">
      <c r="A166" s="188">
        <v>46003</v>
      </c>
      <c r="B166" s="10" t="s">
        <v>108</v>
      </c>
      <c r="C166" s="7" t="s">
        <v>6</v>
      </c>
      <c r="D166" s="21" t="s">
        <v>103</v>
      </c>
      <c r="E166" s="21" t="s">
        <v>104</v>
      </c>
      <c r="F166" s="109">
        <v>-1000</v>
      </c>
      <c r="G166" s="552">
        <v>0.72499999999999998</v>
      </c>
      <c r="H166" s="110">
        <v>0.70669999999999999</v>
      </c>
      <c r="I166" s="29">
        <v>0</v>
      </c>
      <c r="J166" s="23">
        <v>2.5895004952596556E-2</v>
      </c>
      <c r="K166" s="23">
        <v>0.41445273119227083</v>
      </c>
      <c r="L166" s="259">
        <v>706.7</v>
      </c>
      <c r="M166" s="283">
        <v>46373</v>
      </c>
      <c r="N166" s="260">
        <v>248</v>
      </c>
    </row>
    <row r="167" spans="1:14" ht="13">
      <c r="A167" s="188"/>
      <c r="B167" s="10"/>
      <c r="C167" s="7" t="s">
        <v>6</v>
      </c>
      <c r="D167" s="21" t="s">
        <v>103</v>
      </c>
      <c r="E167" s="21" t="s">
        <v>104</v>
      </c>
      <c r="F167" s="109">
        <v>0</v>
      </c>
      <c r="G167" s="552"/>
      <c r="H167" s="110">
        <v>0.70669999999999999</v>
      </c>
      <c r="I167" s="29">
        <v>0</v>
      </c>
      <c r="J167" s="23">
        <v>0</v>
      </c>
      <c r="K167" s="23">
        <v>0</v>
      </c>
      <c r="L167" s="259">
        <v>0</v>
      </c>
      <c r="M167" s="283"/>
      <c r="N167" s="260" t="s">
        <v>805</v>
      </c>
    </row>
    <row r="168" spans="1:14" ht="13">
      <c r="A168" s="188"/>
      <c r="B168" s="10"/>
      <c r="C168" s="7" t="s">
        <v>6</v>
      </c>
      <c r="D168" s="21" t="s">
        <v>103</v>
      </c>
      <c r="E168" s="21" t="s">
        <v>104</v>
      </c>
      <c r="F168" s="109">
        <v>0</v>
      </c>
      <c r="G168" s="552"/>
      <c r="H168" s="110">
        <v>0.70669999999999999</v>
      </c>
      <c r="I168" s="29">
        <v>0</v>
      </c>
      <c r="J168" s="23">
        <v>0</v>
      </c>
      <c r="K168" s="23">
        <v>0</v>
      </c>
      <c r="L168" s="259">
        <v>0</v>
      </c>
      <c r="M168" s="283"/>
      <c r="N168" s="260" t="s">
        <v>805</v>
      </c>
    </row>
    <row r="169" spans="1:14" ht="13">
      <c r="A169" s="188"/>
      <c r="B169" s="10"/>
      <c r="C169" s="7" t="s">
        <v>6</v>
      </c>
      <c r="D169" s="21" t="s">
        <v>103</v>
      </c>
      <c r="E169" s="21" t="s">
        <v>104</v>
      </c>
      <c r="F169" s="109">
        <v>0</v>
      </c>
      <c r="G169" s="552"/>
      <c r="H169" s="110">
        <v>0.70669999999999999</v>
      </c>
      <c r="I169" s="29">
        <v>0</v>
      </c>
      <c r="J169" s="23">
        <v>0</v>
      </c>
      <c r="K169" s="23">
        <v>0</v>
      </c>
      <c r="L169" s="259">
        <v>0</v>
      </c>
      <c r="M169" s="283"/>
      <c r="N169" s="260" t="s">
        <v>805</v>
      </c>
    </row>
    <row r="170" spans="1:14" ht="13">
      <c r="A170" s="188"/>
      <c r="B170" s="10"/>
      <c r="C170" s="7" t="s">
        <v>6</v>
      </c>
      <c r="D170" s="21" t="s">
        <v>103</v>
      </c>
      <c r="E170" s="21" t="s">
        <v>104</v>
      </c>
      <c r="F170" s="109">
        <v>0</v>
      </c>
      <c r="G170" s="552"/>
      <c r="H170" s="110">
        <v>0.70669999999999999</v>
      </c>
      <c r="I170" s="29">
        <v>0</v>
      </c>
      <c r="J170" s="23">
        <v>0</v>
      </c>
      <c r="K170" s="23">
        <v>0</v>
      </c>
      <c r="L170" s="259">
        <v>0</v>
      </c>
      <c r="M170" s="283"/>
      <c r="N170" s="260" t="s">
        <v>805</v>
      </c>
    </row>
    <row r="171" spans="1:14" ht="13">
      <c r="A171" s="188"/>
      <c r="B171" s="10"/>
      <c r="C171" s="7" t="s">
        <v>6</v>
      </c>
      <c r="D171" s="21" t="s">
        <v>103</v>
      </c>
      <c r="E171" s="21" t="s">
        <v>104</v>
      </c>
      <c r="F171" s="109">
        <v>0</v>
      </c>
      <c r="G171" s="552"/>
      <c r="H171" s="110">
        <v>0.70669999999999999</v>
      </c>
      <c r="I171" s="29">
        <v>0</v>
      </c>
      <c r="J171" s="23">
        <v>0</v>
      </c>
      <c r="K171" s="23">
        <v>0</v>
      </c>
      <c r="L171" s="259">
        <v>0</v>
      </c>
      <c r="M171" s="283"/>
      <c r="N171" s="260" t="s">
        <v>805</v>
      </c>
    </row>
    <row r="172" spans="1:14" ht="13">
      <c r="A172" s="188"/>
      <c r="B172" s="10"/>
      <c r="C172" s="7" t="s">
        <v>6</v>
      </c>
      <c r="D172" s="21" t="s">
        <v>103</v>
      </c>
      <c r="E172" s="21" t="s">
        <v>104</v>
      </c>
      <c r="F172" s="109">
        <v>0</v>
      </c>
      <c r="G172" s="552"/>
      <c r="H172" s="110">
        <v>0.70669999999999999</v>
      </c>
      <c r="I172" s="29">
        <v>0</v>
      </c>
      <c r="J172" s="23">
        <v>0</v>
      </c>
      <c r="K172" s="23">
        <v>0</v>
      </c>
      <c r="L172" s="259">
        <v>0</v>
      </c>
      <c r="M172" s="283"/>
      <c r="N172" s="260"/>
    </row>
    <row r="173" spans="1:14" ht="13">
      <c r="A173" s="188"/>
      <c r="B173" s="10"/>
      <c r="C173" s="7" t="s">
        <v>6</v>
      </c>
      <c r="D173" s="21" t="s">
        <v>103</v>
      </c>
      <c r="E173" s="21" t="s">
        <v>104</v>
      </c>
      <c r="F173" s="109">
        <v>0</v>
      </c>
      <c r="G173" s="552"/>
      <c r="H173" s="110">
        <v>0.70669999999999999</v>
      </c>
      <c r="I173" s="29">
        <v>0</v>
      </c>
      <c r="J173" s="23">
        <v>0</v>
      </c>
      <c r="K173" s="23">
        <v>0</v>
      </c>
      <c r="L173" s="259">
        <v>0</v>
      </c>
      <c r="M173" s="283"/>
      <c r="N173" s="260"/>
    </row>
    <row r="174" spans="1:14" ht="13">
      <c r="A174" s="188"/>
      <c r="B174" s="10"/>
      <c r="C174" s="7" t="s">
        <v>6</v>
      </c>
      <c r="D174" s="21" t="s">
        <v>103</v>
      </c>
      <c r="E174" s="21" t="s">
        <v>104</v>
      </c>
      <c r="F174" s="109">
        <v>0</v>
      </c>
      <c r="G174" s="552"/>
      <c r="H174" s="110">
        <v>0.70669999999999999</v>
      </c>
      <c r="I174" s="29">
        <v>0</v>
      </c>
      <c r="J174" s="23">
        <v>0</v>
      </c>
      <c r="K174" s="23">
        <v>0</v>
      </c>
      <c r="L174" s="259">
        <v>0</v>
      </c>
      <c r="M174" s="283"/>
      <c r="N174" s="260"/>
    </row>
    <row r="175" spans="1:14" ht="13">
      <c r="A175" s="188"/>
      <c r="B175" s="10"/>
      <c r="C175" s="7"/>
      <c r="D175" s="21"/>
      <c r="E175" s="21"/>
      <c r="F175" s="109">
        <v>0</v>
      </c>
      <c r="G175" s="172"/>
      <c r="H175" s="110"/>
      <c r="I175" s="29"/>
      <c r="J175" s="258"/>
      <c r="K175" s="23"/>
      <c r="L175" s="259"/>
      <c r="M175" s="283"/>
      <c r="N175" s="260"/>
    </row>
    <row r="176" spans="1:14" ht="13">
      <c r="A176" s="188"/>
      <c r="B176" s="10"/>
      <c r="C176" s="7" t="s">
        <v>6</v>
      </c>
      <c r="D176" s="21" t="s">
        <v>147</v>
      </c>
      <c r="E176" s="21" t="s">
        <v>148</v>
      </c>
      <c r="F176" s="109">
        <v>0</v>
      </c>
      <c r="G176" s="22"/>
      <c r="H176" s="22">
        <v>4720.6450000000004</v>
      </c>
      <c r="I176" s="29">
        <v>0</v>
      </c>
      <c r="J176" s="23">
        <v>0</v>
      </c>
      <c r="K176" s="23">
        <v>0</v>
      </c>
      <c r="L176" s="259">
        <v>0</v>
      </c>
      <c r="M176" s="283"/>
      <c r="N176" s="260"/>
    </row>
    <row r="177" spans="1:14" ht="13">
      <c r="A177" s="188"/>
      <c r="B177" s="10"/>
      <c r="C177" s="7" t="s">
        <v>6</v>
      </c>
      <c r="D177" s="21" t="s">
        <v>147</v>
      </c>
      <c r="E177" s="21" t="s">
        <v>148</v>
      </c>
      <c r="F177" s="109">
        <v>0</v>
      </c>
      <c r="G177" s="22"/>
      <c r="H177" s="22">
        <v>4720.6450000000004</v>
      </c>
      <c r="I177" s="29">
        <v>0</v>
      </c>
      <c r="J177" s="23">
        <v>0</v>
      </c>
      <c r="K177" s="23">
        <v>0</v>
      </c>
      <c r="L177" s="259">
        <v>0</v>
      </c>
      <c r="M177" s="283"/>
      <c r="N177" s="260"/>
    </row>
    <row r="178" spans="1:14" ht="13.5" thickBot="1">
      <c r="A178" s="71"/>
      <c r="B178" s="32"/>
      <c r="C178" s="116"/>
      <c r="D178" s="33"/>
      <c r="E178" s="33"/>
      <c r="F178" s="117">
        <v>0</v>
      </c>
      <c r="G178" s="118"/>
      <c r="H178" s="183"/>
      <c r="I178" s="96"/>
      <c r="J178" s="157"/>
      <c r="K178" s="157"/>
      <c r="L178" s="119"/>
      <c r="M178" s="120"/>
      <c r="N178" s="237"/>
    </row>
    <row r="179" spans="1:14" ht="11.25" customHeight="1">
      <c r="A179" s="83"/>
      <c r="B179" s="7"/>
      <c r="C179" s="7"/>
      <c r="D179" s="121"/>
      <c r="E179" s="121"/>
      <c r="F179" s="47">
        <v>-19666.666666666664</v>
      </c>
      <c r="G179" s="122"/>
      <c r="H179" s="123"/>
      <c r="I179" s="47"/>
      <c r="J179" s="161"/>
      <c r="K179" s="161"/>
      <c r="L179" s="47">
        <v>18200.166666666668</v>
      </c>
      <c r="M179" s="114"/>
      <c r="N179" s="137"/>
    </row>
    <row r="180" spans="1:14" ht="13">
      <c r="A180" s="83"/>
      <c r="B180" s="7"/>
      <c r="C180" s="7"/>
      <c r="D180" s="305"/>
      <c r="E180" s="121"/>
      <c r="F180" s="58"/>
      <c r="G180" s="122"/>
      <c r="H180" s="123"/>
      <c r="I180" s="171"/>
      <c r="J180" s="161"/>
      <c r="K180" s="161"/>
      <c r="L180" s="47"/>
      <c r="M180" s="114"/>
      <c r="N180" s="137"/>
    </row>
    <row r="181" spans="1:14" ht="17" thickBot="1">
      <c r="A181" s="124"/>
      <c r="B181" s="124"/>
      <c r="C181" s="125"/>
      <c r="D181" s="126" t="s">
        <v>83</v>
      </c>
      <c r="E181" s="125"/>
      <c r="F181" s="124"/>
      <c r="G181" s="124"/>
      <c r="H181" s="124"/>
      <c r="I181" s="124"/>
      <c r="J181" s="734" t="s">
        <v>90</v>
      </c>
      <c r="K181" s="734" t="s">
        <v>608</v>
      </c>
      <c r="L181" s="124"/>
      <c r="M181" s="124"/>
      <c r="N181" s="135"/>
    </row>
    <row r="182" spans="1:14" ht="13">
      <c r="A182" s="67"/>
      <c r="B182" s="10"/>
      <c r="C182" s="7"/>
      <c r="D182" s="21"/>
      <c r="E182" s="21"/>
      <c r="F182" s="109"/>
      <c r="G182" s="115"/>
      <c r="H182" s="110"/>
      <c r="I182" s="29"/>
      <c r="J182" s="161"/>
      <c r="K182" s="161"/>
      <c r="L182" s="47"/>
      <c r="M182" s="136"/>
      <c r="N182" s="235"/>
    </row>
    <row r="183" spans="1:14" ht="13">
      <c r="A183" s="67"/>
      <c r="B183" s="10"/>
      <c r="C183" s="7"/>
      <c r="D183" s="21"/>
      <c r="E183" s="21"/>
      <c r="F183" s="109"/>
      <c r="G183" s="115"/>
      <c r="H183" s="110"/>
      <c r="I183" s="29"/>
      <c r="J183" s="23"/>
      <c r="K183" s="23"/>
      <c r="L183" s="47"/>
      <c r="M183" s="114"/>
      <c r="N183" s="236"/>
    </row>
    <row r="184" spans="1:14" ht="13">
      <c r="A184" s="188"/>
      <c r="B184" s="10"/>
      <c r="C184" s="7" t="s">
        <v>7</v>
      </c>
      <c r="D184" s="21" t="s">
        <v>2</v>
      </c>
      <c r="E184" s="21" t="s">
        <v>92</v>
      </c>
      <c r="F184" s="109"/>
      <c r="G184" s="115"/>
      <c r="H184" s="110">
        <v>1.1716500000000001</v>
      </c>
      <c r="I184" s="29">
        <v>0</v>
      </c>
      <c r="J184" s="23">
        <v>0</v>
      </c>
      <c r="K184" s="23">
        <v>0</v>
      </c>
      <c r="L184" s="47">
        <v>0</v>
      </c>
      <c r="M184" s="283"/>
      <c r="N184" s="260" t="s">
        <v>805</v>
      </c>
    </row>
    <row r="185" spans="1:14" ht="13">
      <c r="A185" s="188"/>
      <c r="B185" s="10"/>
      <c r="C185" s="7" t="s">
        <v>7</v>
      </c>
      <c r="D185" s="21" t="s">
        <v>2</v>
      </c>
      <c r="E185" s="21" t="s">
        <v>92</v>
      </c>
      <c r="F185" s="109"/>
      <c r="G185" s="115"/>
      <c r="H185" s="110">
        <v>1.1716500000000001</v>
      </c>
      <c r="I185" s="29">
        <v>0</v>
      </c>
      <c r="J185" s="23">
        <v>0</v>
      </c>
      <c r="K185" s="23">
        <v>0</v>
      </c>
      <c r="L185" s="47">
        <v>0</v>
      </c>
      <c r="M185" s="283"/>
      <c r="N185" s="260" t="s">
        <v>805</v>
      </c>
    </row>
    <row r="186" spans="1:14" ht="13">
      <c r="A186" s="188"/>
      <c r="B186" s="10"/>
      <c r="C186" s="7" t="s">
        <v>7</v>
      </c>
      <c r="D186" s="21" t="s">
        <v>2</v>
      </c>
      <c r="E186" s="21" t="s">
        <v>92</v>
      </c>
      <c r="F186" s="109"/>
      <c r="G186" s="115"/>
      <c r="H186" s="110">
        <v>1.1716500000000001</v>
      </c>
      <c r="I186" s="29">
        <v>0</v>
      </c>
      <c r="J186" s="23">
        <v>0</v>
      </c>
      <c r="K186" s="23">
        <v>0</v>
      </c>
      <c r="L186" s="47">
        <v>0</v>
      </c>
      <c r="M186" s="283"/>
      <c r="N186" s="260" t="s">
        <v>805</v>
      </c>
    </row>
    <row r="187" spans="1:14" ht="13">
      <c r="A187" s="188"/>
      <c r="B187" s="10"/>
      <c r="C187" s="7"/>
      <c r="D187" s="21"/>
      <c r="E187" s="21"/>
      <c r="F187" s="109"/>
      <c r="G187" s="115"/>
      <c r="H187" s="110"/>
      <c r="I187" s="29"/>
      <c r="J187" s="23"/>
      <c r="K187" s="23"/>
      <c r="L187" s="47"/>
      <c r="M187" s="283"/>
      <c r="N187" s="236"/>
    </row>
    <row r="188" spans="1:14" ht="13">
      <c r="A188" s="188"/>
      <c r="B188" s="10"/>
      <c r="C188" s="7" t="s">
        <v>7</v>
      </c>
      <c r="D188" s="21" t="s">
        <v>106</v>
      </c>
      <c r="E188" s="21" t="s">
        <v>715</v>
      </c>
      <c r="F188" s="109"/>
      <c r="G188" s="115"/>
      <c r="H188" s="110">
        <v>898.40499999999997</v>
      </c>
      <c r="I188" s="29">
        <v>0</v>
      </c>
      <c r="J188" s="23">
        <v>0</v>
      </c>
      <c r="K188" s="23">
        <v>0</v>
      </c>
      <c r="L188" s="47">
        <v>0</v>
      </c>
      <c r="M188" s="283"/>
      <c r="N188" s="236" t="s">
        <v>805</v>
      </c>
    </row>
    <row r="189" spans="1:14" ht="13">
      <c r="A189" s="753">
        <v>46035</v>
      </c>
      <c r="B189" s="754" t="s">
        <v>332</v>
      </c>
      <c r="C189" s="754" t="s">
        <v>643</v>
      </c>
      <c r="D189" s="755" t="s">
        <v>106</v>
      </c>
      <c r="E189" s="755" t="s">
        <v>715</v>
      </c>
      <c r="F189" s="756">
        <v>666.66666666666663</v>
      </c>
      <c r="G189" s="762">
        <v>830</v>
      </c>
      <c r="H189" s="763">
        <v>898.40499999999997</v>
      </c>
      <c r="I189" s="757">
        <v>0</v>
      </c>
      <c r="J189" s="758">
        <v>-7.614049343002316E-2</v>
      </c>
      <c r="K189" s="758">
        <v>0.39874920736447761</v>
      </c>
      <c r="L189" s="759">
        <v>-666.66666666666663</v>
      </c>
      <c r="M189" s="760">
        <v>46329</v>
      </c>
      <c r="N189" s="761">
        <v>204</v>
      </c>
    </row>
    <row r="190" spans="1:14" ht="13">
      <c r="A190" s="188">
        <v>45978</v>
      </c>
      <c r="B190" s="10" t="s">
        <v>715</v>
      </c>
      <c r="C190" s="7" t="s">
        <v>7</v>
      </c>
      <c r="D190" s="21" t="s">
        <v>106</v>
      </c>
      <c r="E190" s="21" t="s">
        <v>715</v>
      </c>
      <c r="F190" s="109">
        <v>-1333.3333333333333</v>
      </c>
      <c r="G190" s="115">
        <v>830</v>
      </c>
      <c r="H190" s="110">
        <v>898.40499999999997</v>
      </c>
      <c r="I190" s="29">
        <v>0</v>
      </c>
      <c r="J190" s="23">
        <v>-7.614049343002316E-2</v>
      </c>
      <c r="K190" s="23">
        <v>0.39874920736447761</v>
      </c>
      <c r="L190" s="47">
        <v>1333.3333333333333</v>
      </c>
      <c r="M190" s="283">
        <v>46329</v>
      </c>
      <c r="N190" s="260">
        <v>204</v>
      </c>
    </row>
    <row r="191" spans="1:14" ht="13">
      <c r="A191" s="188">
        <v>46094</v>
      </c>
      <c r="B191" s="10" t="s">
        <v>716</v>
      </c>
      <c r="C191" s="7" t="s">
        <v>7</v>
      </c>
      <c r="D191" s="21" t="s">
        <v>106</v>
      </c>
      <c r="E191" s="21" t="s">
        <v>715</v>
      </c>
      <c r="F191" s="109">
        <v>-1666.6666666666667</v>
      </c>
      <c r="G191" s="115">
        <v>815</v>
      </c>
      <c r="H191" s="110">
        <v>898.40499999999997</v>
      </c>
      <c r="I191" s="29">
        <v>0</v>
      </c>
      <c r="J191" s="23">
        <v>-9.2836749572854038E-2</v>
      </c>
      <c r="K191" s="23">
        <v>0.36792904034692064</v>
      </c>
      <c r="L191" s="47">
        <v>1666.6666666666667</v>
      </c>
      <c r="M191" s="283">
        <v>46329</v>
      </c>
      <c r="N191" s="260">
        <v>204</v>
      </c>
    </row>
    <row r="192" spans="1:14" ht="13">
      <c r="A192" s="188">
        <v>46091</v>
      </c>
      <c r="B192" s="10" t="s">
        <v>716</v>
      </c>
      <c r="C192" s="7" t="s">
        <v>7</v>
      </c>
      <c r="D192" s="21" t="s">
        <v>106</v>
      </c>
      <c r="E192" s="21" t="s">
        <v>715</v>
      </c>
      <c r="F192" s="109">
        <v>-1333.3333333333333</v>
      </c>
      <c r="G192" s="115">
        <v>810</v>
      </c>
      <c r="H192" s="110">
        <v>898.40499999999997</v>
      </c>
      <c r="I192" s="29">
        <v>0</v>
      </c>
      <c r="J192" s="23">
        <v>-9.8402168287131109E-2</v>
      </c>
      <c r="K192" s="23">
        <v>0.35770757207228498</v>
      </c>
      <c r="L192" s="47">
        <v>1333.3333333333333</v>
      </c>
      <c r="M192" s="283">
        <v>46329</v>
      </c>
      <c r="N192" s="260">
        <v>204</v>
      </c>
    </row>
    <row r="193" spans="1:14" ht="13">
      <c r="A193" s="188">
        <v>46099</v>
      </c>
      <c r="B193" s="10" t="s">
        <v>716</v>
      </c>
      <c r="C193" s="7" t="s">
        <v>7</v>
      </c>
      <c r="D193" s="21" t="s">
        <v>106</v>
      </c>
      <c r="E193" s="21" t="s">
        <v>715</v>
      </c>
      <c r="F193" s="109">
        <v>-1000</v>
      </c>
      <c r="G193" s="115">
        <v>805</v>
      </c>
      <c r="H193" s="110">
        <v>898.40499999999997</v>
      </c>
      <c r="I193" s="29">
        <v>0</v>
      </c>
      <c r="J193" s="23">
        <v>-0.10396758700140807</v>
      </c>
      <c r="K193" s="23">
        <v>0.34752480860920965</v>
      </c>
      <c r="L193" s="47">
        <v>1000</v>
      </c>
      <c r="M193" s="283">
        <v>46329</v>
      </c>
      <c r="N193" s="260">
        <v>204</v>
      </c>
    </row>
    <row r="194" spans="1:14" ht="13">
      <c r="A194" s="188">
        <v>46009</v>
      </c>
      <c r="B194" s="10" t="s">
        <v>529</v>
      </c>
      <c r="C194" s="7" t="s">
        <v>7</v>
      </c>
      <c r="D194" s="21" t="s">
        <v>106</v>
      </c>
      <c r="E194" s="21" t="s">
        <v>715</v>
      </c>
      <c r="F194" s="109">
        <v>-1666.6666666666667</v>
      </c>
      <c r="G194" s="115">
        <v>800</v>
      </c>
      <c r="H194" s="110">
        <v>898.40499999999997</v>
      </c>
      <c r="I194" s="29">
        <v>0</v>
      </c>
      <c r="J194" s="23">
        <v>-0.10953300571568503</v>
      </c>
      <c r="K194" s="23">
        <v>0.35124464940043598</v>
      </c>
      <c r="L194" s="47">
        <v>1666.6666666666667</v>
      </c>
      <c r="M194" s="283">
        <v>46329</v>
      </c>
      <c r="N194" s="236">
        <v>204</v>
      </c>
    </row>
    <row r="195" spans="1:14" ht="13">
      <c r="A195" s="188">
        <v>46045</v>
      </c>
      <c r="B195" s="10" t="s">
        <v>332</v>
      </c>
      <c r="C195" s="7" t="s">
        <v>7</v>
      </c>
      <c r="D195" s="21" t="s">
        <v>106</v>
      </c>
      <c r="E195" s="21" t="s">
        <v>715</v>
      </c>
      <c r="F195" s="109">
        <v>-1666.6666666666667</v>
      </c>
      <c r="G195" s="115">
        <v>780</v>
      </c>
      <c r="H195" s="110">
        <v>898.40499999999997</v>
      </c>
      <c r="I195" s="29">
        <v>0</v>
      </c>
      <c r="J195" s="23">
        <v>-0.13179468057279287</v>
      </c>
      <c r="K195" s="23">
        <v>0.31062785004929883</v>
      </c>
      <c r="L195" s="47">
        <v>1666.6666666666667</v>
      </c>
      <c r="M195" s="283">
        <v>46329</v>
      </c>
      <c r="N195" s="236">
        <v>204</v>
      </c>
    </row>
    <row r="196" spans="1:14" ht="13">
      <c r="A196" s="188">
        <v>46050</v>
      </c>
      <c r="B196" s="10" t="s">
        <v>332</v>
      </c>
      <c r="C196" s="7" t="s">
        <v>7</v>
      </c>
      <c r="D196" s="21" t="s">
        <v>106</v>
      </c>
      <c r="E196" s="21" t="s">
        <v>715</v>
      </c>
      <c r="F196" s="109">
        <v>-1666.6666666666667</v>
      </c>
      <c r="G196" s="115">
        <v>760</v>
      </c>
      <c r="H196" s="110">
        <v>898.40499999999997</v>
      </c>
      <c r="I196" s="29">
        <v>0</v>
      </c>
      <c r="J196" s="23">
        <v>-0.1540563554299007</v>
      </c>
      <c r="K196" s="23">
        <v>0.27123144322948156</v>
      </c>
      <c r="L196" s="47">
        <v>1666.6666666666667</v>
      </c>
      <c r="M196" s="283">
        <v>46329</v>
      </c>
      <c r="N196" s="236">
        <v>204</v>
      </c>
    </row>
    <row r="197" spans="1:14" ht="13">
      <c r="A197" s="188"/>
      <c r="B197" s="10"/>
      <c r="C197" s="7" t="s">
        <v>7</v>
      </c>
      <c r="D197" s="21" t="s">
        <v>106</v>
      </c>
      <c r="E197" s="21" t="s">
        <v>715</v>
      </c>
      <c r="F197" s="109">
        <v>0</v>
      </c>
      <c r="G197" s="115"/>
      <c r="H197" s="110">
        <v>898.40499999999997</v>
      </c>
      <c r="I197" s="29">
        <v>0</v>
      </c>
      <c r="J197" s="23">
        <v>0</v>
      </c>
      <c r="K197" s="23">
        <v>0</v>
      </c>
      <c r="L197" s="47">
        <v>0</v>
      </c>
      <c r="M197" s="283"/>
      <c r="N197" s="236" t="s">
        <v>805</v>
      </c>
    </row>
    <row r="198" spans="1:14" ht="13">
      <c r="A198" s="188"/>
      <c r="B198" s="10"/>
      <c r="C198" s="7" t="s">
        <v>7</v>
      </c>
      <c r="D198" s="21" t="s">
        <v>106</v>
      </c>
      <c r="E198" s="21" t="s">
        <v>715</v>
      </c>
      <c r="F198" s="109">
        <v>0</v>
      </c>
      <c r="G198" s="115"/>
      <c r="H198" s="110">
        <v>898.40499999999997</v>
      </c>
      <c r="I198" s="29">
        <v>0</v>
      </c>
      <c r="J198" s="23">
        <v>0</v>
      </c>
      <c r="K198" s="23">
        <v>0</v>
      </c>
      <c r="L198" s="47">
        <v>0</v>
      </c>
      <c r="M198" s="283"/>
      <c r="N198" s="236" t="s">
        <v>805</v>
      </c>
    </row>
    <row r="199" spans="1:14" ht="13">
      <c r="A199" s="188"/>
      <c r="B199" s="10"/>
      <c r="C199" s="7" t="s">
        <v>7</v>
      </c>
      <c r="D199" s="21" t="s">
        <v>106</v>
      </c>
      <c r="E199" s="21" t="s">
        <v>715</v>
      </c>
      <c r="F199" s="109">
        <v>0</v>
      </c>
      <c r="G199" s="115"/>
      <c r="H199" s="110">
        <v>898.40499999999997</v>
      </c>
      <c r="I199" s="29">
        <v>0</v>
      </c>
      <c r="J199" s="23">
        <v>0</v>
      </c>
      <c r="K199" s="23">
        <v>0</v>
      </c>
      <c r="L199" s="47">
        <v>0</v>
      </c>
      <c r="M199" s="283"/>
      <c r="N199" s="236" t="s">
        <v>805</v>
      </c>
    </row>
    <row r="200" spans="1:14" ht="13">
      <c r="A200" s="188"/>
      <c r="B200" s="10"/>
      <c r="C200" s="7" t="s">
        <v>7</v>
      </c>
      <c r="D200" s="21" t="s">
        <v>106</v>
      </c>
      <c r="E200" s="21" t="s">
        <v>715</v>
      </c>
      <c r="F200" s="109">
        <v>0</v>
      </c>
      <c r="G200" s="115"/>
      <c r="H200" s="110">
        <v>898.40499999999997</v>
      </c>
      <c r="I200" s="29">
        <v>0</v>
      </c>
      <c r="J200" s="23">
        <v>0</v>
      </c>
      <c r="K200" s="23">
        <v>0</v>
      </c>
      <c r="L200" s="47">
        <v>0</v>
      </c>
      <c r="M200" s="283"/>
      <c r="N200" s="236" t="s">
        <v>805</v>
      </c>
    </row>
    <row r="201" spans="1:14" ht="13">
      <c r="A201" s="188"/>
      <c r="B201" s="10"/>
      <c r="C201" s="7" t="s">
        <v>7</v>
      </c>
      <c r="D201" s="21" t="s">
        <v>106</v>
      </c>
      <c r="E201" s="21" t="s">
        <v>715</v>
      </c>
      <c r="F201" s="109">
        <v>0</v>
      </c>
      <c r="G201" s="115"/>
      <c r="H201" s="110">
        <v>898.40499999999997</v>
      </c>
      <c r="I201" s="29">
        <v>0</v>
      </c>
      <c r="J201" s="23">
        <v>0</v>
      </c>
      <c r="K201" s="23">
        <v>0</v>
      </c>
      <c r="L201" s="47">
        <v>0</v>
      </c>
      <c r="M201" s="283"/>
      <c r="N201" s="236" t="s">
        <v>805</v>
      </c>
    </row>
    <row r="202" spans="1:14" ht="13">
      <c r="A202" s="188"/>
      <c r="B202" s="10"/>
      <c r="C202" s="7" t="s">
        <v>7</v>
      </c>
      <c r="D202" s="21" t="s">
        <v>106</v>
      </c>
      <c r="E202" s="21" t="s">
        <v>715</v>
      </c>
      <c r="F202" s="109">
        <v>0</v>
      </c>
      <c r="G202" s="115"/>
      <c r="H202" s="110">
        <v>898.40499999999997</v>
      </c>
      <c r="I202" s="29">
        <v>0</v>
      </c>
      <c r="J202" s="23">
        <v>0</v>
      </c>
      <c r="K202" s="23">
        <v>0</v>
      </c>
      <c r="L202" s="47">
        <v>0</v>
      </c>
      <c r="M202" s="283"/>
      <c r="N202" s="236" t="s">
        <v>805</v>
      </c>
    </row>
    <row r="203" spans="1:14" ht="13">
      <c r="A203" s="188"/>
      <c r="B203" s="10"/>
      <c r="C203" s="7"/>
      <c r="D203" s="21"/>
      <c r="E203" s="21"/>
      <c r="F203" s="109">
        <v>0</v>
      </c>
      <c r="G203" s="115"/>
      <c r="H203" s="110"/>
      <c r="I203" s="29"/>
      <c r="J203" s="23"/>
      <c r="K203" s="23"/>
      <c r="L203" s="47"/>
      <c r="M203" s="283"/>
      <c r="N203" s="236"/>
    </row>
    <row r="204" spans="1:14" ht="13">
      <c r="A204" s="188"/>
      <c r="B204" s="10"/>
      <c r="C204" s="7" t="s">
        <v>7</v>
      </c>
      <c r="D204" s="21" t="s">
        <v>719</v>
      </c>
      <c r="E204" s="21" t="s">
        <v>53</v>
      </c>
      <c r="F204" s="109">
        <v>0</v>
      </c>
      <c r="G204" s="115"/>
      <c r="H204" s="110">
        <v>5.0282999999999998</v>
      </c>
      <c r="I204" s="29">
        <v>0</v>
      </c>
      <c r="J204" s="23">
        <v>0</v>
      </c>
      <c r="K204" s="23">
        <v>0</v>
      </c>
      <c r="L204" s="292">
        <v>0</v>
      </c>
      <c r="M204" s="283"/>
      <c r="N204" s="260" t="s">
        <v>805</v>
      </c>
    </row>
    <row r="205" spans="1:14" ht="13">
      <c r="A205" s="188"/>
      <c r="B205" s="10"/>
      <c r="C205" s="7"/>
      <c r="D205" s="21"/>
      <c r="E205" s="21"/>
      <c r="F205" s="109">
        <v>0</v>
      </c>
      <c r="G205" s="115"/>
      <c r="H205" s="110"/>
      <c r="I205" s="29"/>
      <c r="J205" s="23"/>
      <c r="K205" s="23"/>
      <c r="L205" s="47"/>
      <c r="M205" s="283"/>
      <c r="N205" s="260"/>
    </row>
    <row r="206" spans="1:14" ht="13">
      <c r="A206" s="188"/>
      <c r="B206" s="10"/>
      <c r="C206" s="7" t="s">
        <v>7</v>
      </c>
      <c r="D206" s="21" t="s">
        <v>4</v>
      </c>
      <c r="E206" s="21" t="s">
        <v>41</v>
      </c>
      <c r="F206" s="109">
        <v>0</v>
      </c>
      <c r="G206" s="115"/>
      <c r="H206" s="110">
        <v>17.34385</v>
      </c>
      <c r="I206" s="29">
        <v>0</v>
      </c>
      <c r="J206" s="23">
        <v>0</v>
      </c>
      <c r="K206" s="23">
        <v>0</v>
      </c>
      <c r="L206" s="259">
        <v>0</v>
      </c>
      <c r="M206" s="283"/>
      <c r="N206" s="260" t="s">
        <v>805</v>
      </c>
    </row>
    <row r="207" spans="1:14" ht="13">
      <c r="A207" s="188"/>
      <c r="B207" s="10"/>
      <c r="C207" s="7" t="s">
        <v>7</v>
      </c>
      <c r="D207" s="21" t="s">
        <v>4</v>
      </c>
      <c r="E207" s="21" t="s">
        <v>41</v>
      </c>
      <c r="F207" s="109">
        <v>0</v>
      </c>
      <c r="G207" s="115"/>
      <c r="H207" s="110">
        <v>17.34385</v>
      </c>
      <c r="I207" s="29">
        <v>0</v>
      </c>
      <c r="J207" s="23">
        <v>0</v>
      </c>
      <c r="K207" s="23">
        <v>0</v>
      </c>
      <c r="L207" s="259">
        <v>0</v>
      </c>
      <c r="M207" s="283"/>
      <c r="N207" s="260" t="s">
        <v>805</v>
      </c>
    </row>
    <row r="208" spans="1:14" ht="13">
      <c r="A208" s="188"/>
      <c r="B208" s="10"/>
      <c r="C208" s="7"/>
      <c r="D208" s="21"/>
      <c r="E208" s="21"/>
      <c r="F208" s="109">
        <v>0</v>
      </c>
      <c r="G208" s="115"/>
      <c r="H208" s="110"/>
      <c r="I208" s="29"/>
      <c r="J208" s="23"/>
      <c r="K208" s="23"/>
      <c r="L208" s="47"/>
      <c r="M208" s="283"/>
      <c r="N208" s="260"/>
    </row>
    <row r="209" spans="1:14" ht="13">
      <c r="A209" s="188"/>
      <c r="B209" s="10"/>
      <c r="C209" s="7" t="s">
        <v>7</v>
      </c>
      <c r="D209" s="21" t="s">
        <v>87</v>
      </c>
      <c r="E209" s="21" t="s">
        <v>95</v>
      </c>
      <c r="F209" s="109">
        <v>0</v>
      </c>
      <c r="G209" s="115"/>
      <c r="H209" s="110">
        <v>16.47945</v>
      </c>
      <c r="I209" s="29">
        <v>0</v>
      </c>
      <c r="J209" s="23">
        <v>0</v>
      </c>
      <c r="K209" s="23">
        <v>0</v>
      </c>
      <c r="L209" s="259">
        <v>0</v>
      </c>
      <c r="M209" s="283"/>
      <c r="N209" s="260" t="s">
        <v>805</v>
      </c>
    </row>
    <row r="210" spans="1:14" ht="13">
      <c r="A210" s="188"/>
      <c r="B210" s="10"/>
      <c r="C210" s="7" t="s">
        <v>7</v>
      </c>
      <c r="D210" s="21" t="s">
        <v>87</v>
      </c>
      <c r="E210" s="21" t="s">
        <v>95</v>
      </c>
      <c r="F210" s="109">
        <v>0</v>
      </c>
      <c r="G210" s="115"/>
      <c r="H210" s="110">
        <v>16.47945</v>
      </c>
      <c r="I210" s="29">
        <v>0</v>
      </c>
      <c r="J210" s="23">
        <v>0</v>
      </c>
      <c r="K210" s="23">
        <v>0</v>
      </c>
      <c r="L210" s="259">
        <v>0</v>
      </c>
      <c r="M210" s="283"/>
      <c r="N210" s="260" t="s">
        <v>805</v>
      </c>
    </row>
    <row r="211" spans="1:14" ht="13">
      <c r="A211" s="188"/>
      <c r="B211" s="10"/>
      <c r="C211" s="7" t="s">
        <v>7</v>
      </c>
      <c r="D211" s="21" t="s">
        <v>87</v>
      </c>
      <c r="E211" s="21" t="s">
        <v>95</v>
      </c>
      <c r="F211" s="109">
        <v>0</v>
      </c>
      <c r="G211" s="115"/>
      <c r="H211" s="110">
        <v>16.47945</v>
      </c>
      <c r="I211" s="29">
        <v>0</v>
      </c>
      <c r="J211" s="23">
        <v>0</v>
      </c>
      <c r="K211" s="23">
        <v>0</v>
      </c>
      <c r="L211" s="259">
        <v>0</v>
      </c>
      <c r="M211" s="283"/>
      <c r="N211" s="260" t="s">
        <v>805</v>
      </c>
    </row>
    <row r="212" spans="1:14" ht="13">
      <c r="A212" s="188"/>
      <c r="B212" s="10"/>
      <c r="C212" s="7"/>
      <c r="D212" s="21"/>
      <c r="E212" s="21"/>
      <c r="F212" s="109">
        <v>0</v>
      </c>
      <c r="G212" s="115"/>
      <c r="H212" s="110"/>
      <c r="I212" s="29"/>
      <c r="J212" s="258"/>
      <c r="K212" s="23"/>
      <c r="L212" s="259"/>
      <c r="M212" s="283"/>
      <c r="N212" s="260"/>
    </row>
    <row r="213" spans="1:14" ht="13">
      <c r="A213" s="188">
        <v>46098</v>
      </c>
      <c r="B213" s="10" t="s">
        <v>108</v>
      </c>
      <c r="C213" s="7" t="s">
        <v>7</v>
      </c>
      <c r="D213" s="21" t="s">
        <v>103</v>
      </c>
      <c r="E213" s="21" t="s">
        <v>104</v>
      </c>
      <c r="F213" s="109">
        <v>-1000</v>
      </c>
      <c r="G213" s="552">
        <v>0.64500000000000002</v>
      </c>
      <c r="H213" s="110">
        <v>0.70669999999999999</v>
      </c>
      <c r="I213" s="29">
        <v>0</v>
      </c>
      <c r="J213" s="23">
        <v>-8.7307202490448543E-2</v>
      </c>
      <c r="K213" s="23">
        <v>0.39125369084073935</v>
      </c>
      <c r="L213" s="259">
        <v>706.7</v>
      </c>
      <c r="M213" s="283">
        <v>46351</v>
      </c>
      <c r="N213" s="260">
        <v>226</v>
      </c>
    </row>
    <row r="214" spans="1:14" ht="13">
      <c r="A214" s="188">
        <v>46050</v>
      </c>
      <c r="B214" s="10" t="s">
        <v>108</v>
      </c>
      <c r="C214" s="7" t="s">
        <v>7</v>
      </c>
      <c r="D214" s="21" t="s">
        <v>103</v>
      </c>
      <c r="E214" s="21" t="s">
        <v>104</v>
      </c>
      <c r="F214" s="109">
        <v>-1000</v>
      </c>
      <c r="G214" s="552">
        <v>0.64</v>
      </c>
      <c r="H214" s="110">
        <v>0.70669999999999999</v>
      </c>
      <c r="I214" s="29">
        <v>0</v>
      </c>
      <c r="J214" s="23">
        <v>-9.4382340455638869E-2</v>
      </c>
      <c r="K214" s="23">
        <v>0.37873961833148462</v>
      </c>
      <c r="L214" s="259">
        <v>706.7</v>
      </c>
      <c r="M214" s="283">
        <v>46351</v>
      </c>
      <c r="N214" s="260">
        <v>226</v>
      </c>
    </row>
    <row r="215" spans="1:14" ht="13">
      <c r="A215" s="188">
        <v>46050</v>
      </c>
      <c r="B215" s="10" t="s">
        <v>332</v>
      </c>
      <c r="C215" s="7" t="s">
        <v>7</v>
      </c>
      <c r="D215" s="21" t="s">
        <v>103</v>
      </c>
      <c r="E215" s="21" t="s">
        <v>104</v>
      </c>
      <c r="F215" s="109">
        <v>-1000</v>
      </c>
      <c r="G215" s="552">
        <v>0.63500000000000001</v>
      </c>
      <c r="H215" s="110">
        <v>0.70669999999999999</v>
      </c>
      <c r="I215" s="29">
        <v>0</v>
      </c>
      <c r="J215" s="23">
        <v>-0.10145747842082919</v>
      </c>
      <c r="K215" s="23">
        <v>0.3662547775716033</v>
      </c>
      <c r="L215" s="259">
        <v>706.7</v>
      </c>
      <c r="M215" s="283">
        <v>46351</v>
      </c>
      <c r="N215" s="260">
        <v>226</v>
      </c>
    </row>
    <row r="216" spans="1:14" ht="13">
      <c r="A216" s="188">
        <v>46045</v>
      </c>
      <c r="B216" s="10" t="s">
        <v>332</v>
      </c>
      <c r="C216" s="7" t="s">
        <v>7</v>
      </c>
      <c r="D216" s="21" t="s">
        <v>103</v>
      </c>
      <c r="E216" s="21" t="s">
        <v>104</v>
      </c>
      <c r="F216" s="109">
        <v>-1000</v>
      </c>
      <c r="G216" s="552">
        <v>0.63</v>
      </c>
      <c r="H216" s="110">
        <v>0.70669999999999999</v>
      </c>
      <c r="I216" s="29">
        <v>0</v>
      </c>
      <c r="J216" s="23">
        <v>-0.10853261638601952</v>
      </c>
      <c r="K216" s="23">
        <v>0.36393414288099191</v>
      </c>
      <c r="L216" s="259">
        <v>706.7</v>
      </c>
      <c r="M216" s="283">
        <v>46373</v>
      </c>
      <c r="N216" s="260">
        <v>248</v>
      </c>
    </row>
    <row r="217" spans="1:14" ht="13">
      <c r="A217" s="188">
        <v>46035</v>
      </c>
      <c r="B217" s="10" t="s">
        <v>332</v>
      </c>
      <c r="C217" s="7" t="s">
        <v>7</v>
      </c>
      <c r="D217" s="21" t="s">
        <v>103</v>
      </c>
      <c r="E217" s="21" t="s">
        <v>104</v>
      </c>
      <c r="F217" s="109">
        <v>-1000</v>
      </c>
      <c r="G217" s="552">
        <v>0.62</v>
      </c>
      <c r="H217" s="110">
        <v>0.70669999999999999</v>
      </c>
      <c r="I217" s="29">
        <v>0</v>
      </c>
      <c r="J217" s="23">
        <v>-0.12268289231640017</v>
      </c>
      <c r="K217" s="23">
        <v>0.34008854071397099</v>
      </c>
      <c r="L217" s="259">
        <v>706.7</v>
      </c>
      <c r="M217" s="283">
        <v>46373</v>
      </c>
      <c r="N217" s="260">
        <v>248</v>
      </c>
    </row>
    <row r="218" spans="1:14" ht="13">
      <c r="A218" s="188">
        <v>46003</v>
      </c>
      <c r="B218" s="10" t="s">
        <v>108</v>
      </c>
      <c r="C218" s="7" t="s">
        <v>7</v>
      </c>
      <c r="D218" s="21" t="s">
        <v>103</v>
      </c>
      <c r="E218" s="21" t="s">
        <v>104</v>
      </c>
      <c r="F218" s="109">
        <v>-1000</v>
      </c>
      <c r="G218" s="552">
        <v>0.61499999999999999</v>
      </c>
      <c r="H218" s="110">
        <v>0.70669999999999999</v>
      </c>
      <c r="I218" s="29">
        <v>0</v>
      </c>
      <c r="J218" s="23">
        <v>-0.1297580302815905</v>
      </c>
      <c r="K218" s="23">
        <v>0.3282535849280106</v>
      </c>
      <c r="L218" s="259">
        <v>706.7</v>
      </c>
      <c r="M218" s="283">
        <v>46373</v>
      </c>
      <c r="N218" s="260">
        <v>248</v>
      </c>
    </row>
    <row r="219" spans="1:14" ht="13">
      <c r="A219" s="188">
        <v>45988</v>
      </c>
      <c r="B219" s="10" t="s">
        <v>332</v>
      </c>
      <c r="C219" s="7" t="s">
        <v>7</v>
      </c>
      <c r="D219" s="21" t="s">
        <v>103</v>
      </c>
      <c r="E219" s="21" t="s">
        <v>104</v>
      </c>
      <c r="F219" s="109">
        <v>-1000</v>
      </c>
      <c r="G219" s="552">
        <v>0.61</v>
      </c>
      <c r="H219" s="110">
        <v>0.70669999999999999</v>
      </c>
      <c r="I219" s="29">
        <v>0</v>
      </c>
      <c r="J219" s="23">
        <v>-0.13683316824678082</v>
      </c>
      <c r="K219" s="23">
        <v>0.3047564147029993</v>
      </c>
      <c r="L219" s="259">
        <v>706.7</v>
      </c>
      <c r="M219" s="283">
        <v>46351</v>
      </c>
      <c r="N219" s="260">
        <v>226</v>
      </c>
    </row>
    <row r="220" spans="1:14" ht="13">
      <c r="A220" s="188">
        <v>45993</v>
      </c>
      <c r="B220" s="10" t="s">
        <v>108</v>
      </c>
      <c r="C220" s="7" t="s">
        <v>7</v>
      </c>
      <c r="D220" s="21" t="s">
        <v>103</v>
      </c>
      <c r="E220" s="21" t="s">
        <v>104</v>
      </c>
      <c r="F220" s="109">
        <v>-1000</v>
      </c>
      <c r="G220" s="552">
        <v>0.60499999999999998</v>
      </c>
      <c r="H220" s="110">
        <v>0.70669999999999999</v>
      </c>
      <c r="I220" s="29">
        <v>0</v>
      </c>
      <c r="J220" s="23">
        <v>-0.14390830621197115</v>
      </c>
      <c r="K220" s="23">
        <v>0.29274095486524199</v>
      </c>
      <c r="L220" s="259">
        <v>706.7</v>
      </c>
      <c r="M220" s="283">
        <v>46351</v>
      </c>
      <c r="N220" s="260">
        <v>226</v>
      </c>
    </row>
    <row r="221" spans="1:14" ht="13">
      <c r="A221" s="188">
        <v>45988</v>
      </c>
      <c r="B221" s="10" t="s">
        <v>332</v>
      </c>
      <c r="C221" s="7" t="s">
        <v>7</v>
      </c>
      <c r="D221" s="21" t="s">
        <v>103</v>
      </c>
      <c r="E221" s="21" t="s">
        <v>104</v>
      </c>
      <c r="F221" s="109">
        <v>-1000</v>
      </c>
      <c r="G221" s="552">
        <v>0.6</v>
      </c>
      <c r="H221" s="110">
        <v>0.70669999999999999</v>
      </c>
      <c r="I221" s="29">
        <v>0</v>
      </c>
      <c r="J221" s="23">
        <v>-0.15098344417716147</v>
      </c>
      <c r="K221" s="23">
        <v>0.28085337219799744</v>
      </c>
      <c r="L221" s="259">
        <v>706.7</v>
      </c>
      <c r="M221" s="283">
        <v>46351</v>
      </c>
      <c r="N221" s="260">
        <v>226</v>
      </c>
    </row>
    <row r="222" spans="1:14" ht="13">
      <c r="A222" s="188">
        <v>45993</v>
      </c>
      <c r="B222" s="10" t="s">
        <v>108</v>
      </c>
      <c r="C222" s="7" t="s">
        <v>7</v>
      </c>
      <c r="D222" s="21" t="s">
        <v>103</v>
      </c>
      <c r="E222" s="21" t="s">
        <v>104</v>
      </c>
      <c r="F222" s="109">
        <v>-1000</v>
      </c>
      <c r="G222" s="552">
        <v>0.59499999999999997</v>
      </c>
      <c r="H222" s="110">
        <v>0.70669999999999999</v>
      </c>
      <c r="I222" s="29">
        <v>0</v>
      </c>
      <c r="J222" s="23">
        <v>-0.1580585821423518</v>
      </c>
      <c r="K222" s="23">
        <v>0.26910773872060278</v>
      </c>
      <c r="L222" s="259">
        <v>706.7</v>
      </c>
      <c r="M222" s="283">
        <v>46351</v>
      </c>
      <c r="N222" s="260">
        <v>226</v>
      </c>
    </row>
    <row r="223" spans="1:14" ht="13">
      <c r="A223" s="188">
        <v>45992</v>
      </c>
      <c r="B223" s="10" t="s">
        <v>332</v>
      </c>
      <c r="C223" s="7" t="s">
        <v>7</v>
      </c>
      <c r="D223" s="21" t="s">
        <v>103</v>
      </c>
      <c r="E223" s="21" t="s">
        <v>104</v>
      </c>
      <c r="F223" s="109">
        <v>-1000</v>
      </c>
      <c r="G223" s="552">
        <v>0.59</v>
      </c>
      <c r="H223" s="110">
        <v>0.70669999999999999</v>
      </c>
      <c r="I223" s="29">
        <v>0</v>
      </c>
      <c r="J223" s="23">
        <v>-0.16513372010754213</v>
      </c>
      <c r="K223" s="23">
        <v>0.25751796351139411</v>
      </c>
      <c r="L223" s="259">
        <v>706.7</v>
      </c>
      <c r="M223" s="283">
        <v>46351</v>
      </c>
      <c r="N223" s="260">
        <v>226</v>
      </c>
    </row>
    <row r="224" spans="1:14" ht="13">
      <c r="A224" s="188"/>
      <c r="B224" s="10"/>
      <c r="C224" s="7" t="s">
        <v>7</v>
      </c>
      <c r="D224" s="21" t="s">
        <v>103</v>
      </c>
      <c r="E224" s="21" t="s">
        <v>104</v>
      </c>
      <c r="F224" s="109">
        <v>0</v>
      </c>
      <c r="G224" s="552"/>
      <c r="H224" s="110">
        <v>0.70669999999999999</v>
      </c>
      <c r="I224" s="29">
        <v>0</v>
      </c>
      <c r="J224" s="23">
        <v>0</v>
      </c>
      <c r="K224" s="23">
        <v>0</v>
      </c>
      <c r="L224" s="259">
        <v>0</v>
      </c>
      <c r="M224" s="283"/>
      <c r="N224" s="260" t="s">
        <v>805</v>
      </c>
    </row>
    <row r="225" spans="1:14" ht="13">
      <c r="A225" s="188"/>
      <c r="B225" s="10"/>
      <c r="C225" s="7" t="s">
        <v>7</v>
      </c>
      <c r="D225" s="21" t="s">
        <v>103</v>
      </c>
      <c r="E225" s="21" t="s">
        <v>104</v>
      </c>
      <c r="F225" s="109">
        <v>0</v>
      </c>
      <c r="G225" s="172"/>
      <c r="H225" s="110">
        <v>0.70669999999999999</v>
      </c>
      <c r="I225" s="29">
        <v>0</v>
      </c>
      <c r="J225" s="23">
        <v>0</v>
      </c>
      <c r="K225" s="23">
        <v>0</v>
      </c>
      <c r="L225" s="259">
        <v>0</v>
      </c>
      <c r="M225" s="283"/>
      <c r="N225" s="260" t="s">
        <v>805</v>
      </c>
    </row>
    <row r="226" spans="1:14" ht="13">
      <c r="A226" s="188"/>
      <c r="B226" s="10"/>
      <c r="C226" s="7" t="s">
        <v>7</v>
      </c>
      <c r="D226" s="21" t="s">
        <v>103</v>
      </c>
      <c r="E226" s="21" t="s">
        <v>104</v>
      </c>
      <c r="F226" s="109">
        <v>0</v>
      </c>
      <c r="G226" s="552"/>
      <c r="H226" s="110">
        <v>0.70669999999999999</v>
      </c>
      <c r="I226" s="29">
        <v>0</v>
      </c>
      <c r="J226" s="23">
        <v>0</v>
      </c>
      <c r="K226" s="23">
        <v>0</v>
      </c>
      <c r="L226" s="259">
        <v>0</v>
      </c>
      <c r="M226" s="283"/>
      <c r="N226" s="260" t="s">
        <v>805</v>
      </c>
    </row>
    <row r="227" spans="1:14" ht="13">
      <c r="A227" s="188"/>
      <c r="B227" s="10"/>
      <c r="C227" s="7" t="s">
        <v>7</v>
      </c>
      <c r="D227" s="21" t="s">
        <v>103</v>
      </c>
      <c r="E227" s="21" t="s">
        <v>104</v>
      </c>
      <c r="F227" s="109">
        <v>0</v>
      </c>
      <c r="G227" s="552"/>
      <c r="H227" s="110">
        <v>0.70669999999999999</v>
      </c>
      <c r="I227" s="29">
        <v>0</v>
      </c>
      <c r="J227" s="23">
        <v>0</v>
      </c>
      <c r="K227" s="23">
        <v>0</v>
      </c>
      <c r="L227" s="259">
        <v>0</v>
      </c>
      <c r="M227" s="283"/>
      <c r="N227" s="260" t="s">
        <v>805</v>
      </c>
    </row>
    <row r="228" spans="1:14" ht="13">
      <c r="A228" s="188"/>
      <c r="B228" s="10"/>
      <c r="C228" s="7" t="s">
        <v>7</v>
      </c>
      <c r="D228" s="21" t="s">
        <v>103</v>
      </c>
      <c r="E228" s="21" t="s">
        <v>104</v>
      </c>
      <c r="F228" s="109">
        <v>0</v>
      </c>
      <c r="G228" s="552"/>
      <c r="H228" s="110">
        <v>0.70669999999999999</v>
      </c>
      <c r="I228" s="29">
        <v>0</v>
      </c>
      <c r="J228" s="23">
        <v>0</v>
      </c>
      <c r="K228" s="23">
        <v>0</v>
      </c>
      <c r="L228" s="259">
        <v>0</v>
      </c>
      <c r="M228" s="283"/>
      <c r="N228" s="260" t="s">
        <v>805</v>
      </c>
    </row>
    <row r="229" spans="1:14" ht="13">
      <c r="A229" s="188"/>
      <c r="B229" s="10"/>
      <c r="C229" s="7" t="s">
        <v>7</v>
      </c>
      <c r="D229" s="21" t="s">
        <v>103</v>
      </c>
      <c r="E229" s="21" t="s">
        <v>104</v>
      </c>
      <c r="F229" s="109">
        <v>0</v>
      </c>
      <c r="G229" s="552"/>
      <c r="H229" s="110">
        <v>0.70669999999999999</v>
      </c>
      <c r="I229" s="29">
        <v>0</v>
      </c>
      <c r="J229" s="23">
        <v>0</v>
      </c>
      <c r="K229" s="23">
        <v>0</v>
      </c>
      <c r="L229" s="259">
        <v>0</v>
      </c>
      <c r="M229" s="283"/>
      <c r="N229" s="260" t="s">
        <v>805</v>
      </c>
    </row>
    <row r="230" spans="1:14" ht="13">
      <c r="A230" s="188"/>
      <c r="B230" s="10"/>
      <c r="C230" s="7" t="s">
        <v>7</v>
      </c>
      <c r="D230" s="21" t="s">
        <v>103</v>
      </c>
      <c r="E230" s="21" t="s">
        <v>104</v>
      </c>
      <c r="F230" s="109">
        <v>0</v>
      </c>
      <c r="G230" s="552"/>
      <c r="H230" s="110">
        <v>0.70669999999999999</v>
      </c>
      <c r="I230" s="29">
        <v>0</v>
      </c>
      <c r="J230" s="23">
        <v>0</v>
      </c>
      <c r="K230" s="23">
        <v>0</v>
      </c>
      <c r="L230" s="259">
        <v>0</v>
      </c>
      <c r="M230" s="283"/>
      <c r="N230" s="260" t="s">
        <v>805</v>
      </c>
    </row>
    <row r="231" spans="1:14" ht="13">
      <c r="A231" s="188"/>
      <c r="B231" s="10"/>
      <c r="C231" s="7" t="s">
        <v>7</v>
      </c>
      <c r="D231" s="21" t="s">
        <v>103</v>
      </c>
      <c r="E231" s="21" t="s">
        <v>104</v>
      </c>
      <c r="F231" s="109">
        <v>0</v>
      </c>
      <c r="G231" s="552"/>
      <c r="H231" s="110">
        <v>0.70669999999999999</v>
      </c>
      <c r="I231" s="29">
        <v>0</v>
      </c>
      <c r="J231" s="23">
        <v>0</v>
      </c>
      <c r="K231" s="23">
        <v>0</v>
      </c>
      <c r="L231" s="259">
        <v>0</v>
      </c>
      <c r="M231" s="283"/>
      <c r="N231" s="260" t="s">
        <v>805</v>
      </c>
    </row>
    <row r="232" spans="1:14" ht="13">
      <c r="A232" s="188"/>
      <c r="B232" s="10"/>
      <c r="C232" s="7"/>
      <c r="D232" s="21"/>
      <c r="E232" s="21"/>
      <c r="F232" s="109">
        <v>0</v>
      </c>
      <c r="G232" s="115"/>
      <c r="H232" s="110"/>
      <c r="I232" s="29"/>
      <c r="J232" s="258"/>
      <c r="K232" s="23"/>
      <c r="L232" s="259"/>
      <c r="M232" s="283"/>
      <c r="N232" s="260"/>
    </row>
    <row r="233" spans="1:14" ht="13">
      <c r="A233" s="705">
        <v>45988</v>
      </c>
      <c r="B233" s="706" t="s">
        <v>108</v>
      </c>
      <c r="C233" s="706" t="s">
        <v>605</v>
      </c>
      <c r="D233" s="707" t="s">
        <v>147</v>
      </c>
      <c r="E233" s="707" t="s">
        <v>148</v>
      </c>
      <c r="F233" s="708">
        <v>0</v>
      </c>
      <c r="G233" s="709">
        <v>3328</v>
      </c>
      <c r="H233" s="709">
        <v>4720.4549999999999</v>
      </c>
      <c r="I233" s="710">
        <v>0</v>
      </c>
      <c r="J233" s="711">
        <v>-0.2949832166602584</v>
      </c>
      <c r="K233" s="711">
        <v>0.10764879233946695</v>
      </c>
      <c r="L233" s="712">
        <v>0</v>
      </c>
      <c r="M233" s="713">
        <v>46353</v>
      </c>
      <c r="N233" s="714">
        <v>228</v>
      </c>
    </row>
    <row r="234" spans="1:14" ht="13">
      <c r="A234" s="188"/>
      <c r="B234" s="10"/>
      <c r="C234" s="7" t="s">
        <v>7</v>
      </c>
      <c r="D234" s="21" t="s">
        <v>147</v>
      </c>
      <c r="E234" s="21" t="s">
        <v>148</v>
      </c>
      <c r="F234" s="109">
        <v>0</v>
      </c>
      <c r="G234" s="22"/>
      <c r="H234" s="22">
        <v>4720.4549999999999</v>
      </c>
      <c r="I234" s="29">
        <v>0</v>
      </c>
      <c r="J234" s="23">
        <v>0</v>
      </c>
      <c r="K234" s="23">
        <v>0</v>
      </c>
      <c r="L234" s="259">
        <v>0</v>
      </c>
      <c r="M234" s="283"/>
      <c r="N234" s="260" t="s">
        <v>805</v>
      </c>
    </row>
    <row r="235" spans="1:14" ht="13">
      <c r="A235" s="188"/>
      <c r="B235" s="10"/>
      <c r="C235" s="7" t="s">
        <v>7</v>
      </c>
      <c r="D235" s="21" t="s">
        <v>147</v>
      </c>
      <c r="E235" s="21" t="s">
        <v>148</v>
      </c>
      <c r="F235" s="109">
        <v>0</v>
      </c>
      <c r="G235" s="22"/>
      <c r="H235" s="22">
        <v>4720.4549999999999</v>
      </c>
      <c r="I235" s="29">
        <v>0</v>
      </c>
      <c r="J235" s="23">
        <v>0</v>
      </c>
      <c r="K235" s="23">
        <v>0</v>
      </c>
      <c r="L235" s="259">
        <v>0</v>
      </c>
      <c r="M235" s="283"/>
      <c r="N235" s="260" t="s">
        <v>805</v>
      </c>
    </row>
    <row r="236" spans="1:14" ht="13">
      <c r="A236" s="188"/>
      <c r="B236" s="10"/>
      <c r="C236" s="7" t="s">
        <v>7</v>
      </c>
      <c r="D236" s="21" t="s">
        <v>147</v>
      </c>
      <c r="E236" s="21" t="s">
        <v>148</v>
      </c>
      <c r="F236" s="109">
        <v>0</v>
      </c>
      <c r="G236" s="22"/>
      <c r="H236" s="22">
        <v>4720.4549999999999</v>
      </c>
      <c r="I236" s="29">
        <v>0</v>
      </c>
      <c r="J236" s="23">
        <v>0</v>
      </c>
      <c r="K236" s="23">
        <v>0</v>
      </c>
      <c r="L236" s="259">
        <v>0</v>
      </c>
      <c r="M236" s="283"/>
      <c r="N236" s="260" t="s">
        <v>805</v>
      </c>
    </row>
    <row r="237" spans="1:14" ht="13">
      <c r="A237" s="188"/>
      <c r="B237" s="10"/>
      <c r="C237" s="7" t="s">
        <v>7</v>
      </c>
      <c r="D237" s="21" t="s">
        <v>147</v>
      </c>
      <c r="E237" s="21" t="s">
        <v>148</v>
      </c>
      <c r="F237" s="109">
        <v>0</v>
      </c>
      <c r="G237" s="22"/>
      <c r="H237" s="22">
        <v>4720.4549999999999</v>
      </c>
      <c r="I237" s="29">
        <v>0</v>
      </c>
      <c r="J237" s="23">
        <v>0</v>
      </c>
      <c r="K237" s="23">
        <v>0</v>
      </c>
      <c r="L237" s="259">
        <v>0</v>
      </c>
      <c r="M237" s="283"/>
      <c r="N237" s="260" t="s">
        <v>805</v>
      </c>
    </row>
    <row r="238" spans="1:14" ht="13.5" thickBot="1">
      <c r="A238" s="234"/>
      <c r="B238" s="32"/>
      <c r="C238" s="116"/>
      <c r="D238" s="33"/>
      <c r="E238" s="33"/>
      <c r="F238" s="117"/>
      <c r="G238" s="118"/>
      <c r="H238" s="183"/>
      <c r="I238" s="96"/>
      <c r="J238" s="157"/>
      <c r="K238" s="157"/>
      <c r="L238" s="119"/>
      <c r="M238" s="120"/>
      <c r="N238" s="237"/>
    </row>
    <row r="239" spans="1:14" ht="13">
      <c r="A239" s="16"/>
      <c r="B239" s="10"/>
      <c r="C239" s="7"/>
      <c r="D239" s="21"/>
      <c r="E239" s="21"/>
      <c r="F239" s="109">
        <v>-20666.666666666668</v>
      </c>
      <c r="G239" s="22"/>
      <c r="H239" s="115"/>
      <c r="I239" s="29"/>
      <c r="J239" s="23"/>
      <c r="K239" s="23"/>
      <c r="L239" s="47"/>
      <c r="M239" s="114"/>
      <c r="N239" s="1"/>
    </row>
    <row r="240" spans="1:14" ht="13">
      <c r="A240" s="16"/>
      <c r="B240" s="10"/>
      <c r="C240" s="7"/>
      <c r="D240" s="21"/>
      <c r="E240" s="21"/>
      <c r="F240" s="109"/>
      <c r="G240" s="22"/>
      <c r="H240" s="115"/>
      <c r="I240" s="29"/>
      <c r="J240" s="161"/>
      <c r="K240" s="161"/>
      <c r="L240" s="47">
        <v>17440.366666666676</v>
      </c>
      <c r="M240" s="127"/>
      <c r="N240" s="134"/>
    </row>
    <row r="241" spans="1:14" ht="13">
      <c r="A241" s="83"/>
      <c r="B241" s="7"/>
      <c r="C241" s="7"/>
      <c r="D241" s="21"/>
      <c r="E241" s="21"/>
      <c r="F241" s="306"/>
      <c r="G241" s="122"/>
      <c r="H241" s="122"/>
      <c r="I241" s="29"/>
      <c r="J241" s="161"/>
      <c r="K241" s="161"/>
      <c r="L241" s="47"/>
      <c r="M241" s="114"/>
      <c r="N241" s="134"/>
    </row>
    <row r="242" spans="1:14" ht="13.5" thickBot="1">
      <c r="A242" s="83"/>
      <c r="B242" s="7"/>
      <c r="C242" s="7"/>
      <c r="D242" s="128"/>
      <c r="E242" s="128"/>
      <c r="F242" s="58"/>
      <c r="G242" s="129"/>
      <c r="H242" s="129"/>
      <c r="I242" s="29"/>
      <c r="J242" s="158"/>
      <c r="K242" s="158"/>
      <c r="L242" s="15">
        <v>35640.53333333334</v>
      </c>
      <c r="M242" s="114"/>
      <c r="N242" s="134"/>
    </row>
    <row r="243" spans="1:14" ht="14.5" thickBot="1">
      <c r="A243" s="83"/>
      <c r="B243" s="83"/>
      <c r="C243" s="853" t="s">
        <v>24</v>
      </c>
      <c r="D243" s="854"/>
      <c r="E243" s="855"/>
      <c r="F243" s="83"/>
      <c r="G243" s="83"/>
      <c r="H243" s="83"/>
      <c r="I243" s="83"/>
      <c r="J243" s="160"/>
      <c r="K243" s="160"/>
      <c r="L243" s="83"/>
      <c r="M243" s="83"/>
      <c r="N243" s="134"/>
    </row>
    <row r="244" spans="1:14" ht="17" thickBot="1">
      <c r="A244" s="287"/>
      <c r="B244" s="288"/>
      <c r="C244" s="289"/>
      <c r="D244" s="290" t="s">
        <v>82</v>
      </c>
      <c r="E244" s="289"/>
      <c r="F244" s="288"/>
      <c r="G244" s="288"/>
      <c r="H244" s="288"/>
      <c r="I244" s="288"/>
      <c r="J244" s="734" t="s">
        <v>90</v>
      </c>
      <c r="K244" s="734" t="s">
        <v>608</v>
      </c>
      <c r="L244" s="288"/>
      <c r="M244" s="288"/>
      <c r="N244" s="291"/>
    </row>
    <row r="245" spans="1:14" ht="13">
      <c r="A245" s="188"/>
      <c r="B245" s="10"/>
      <c r="C245" s="7" t="s">
        <v>6</v>
      </c>
      <c r="D245" s="21" t="s">
        <v>65</v>
      </c>
      <c r="E245" s="21" t="s">
        <v>63</v>
      </c>
      <c r="F245" s="109"/>
      <c r="G245" s="22"/>
      <c r="H245" s="22">
        <v>679.36</v>
      </c>
      <c r="I245" s="29">
        <v>0</v>
      </c>
      <c r="J245" s="23">
        <v>0</v>
      </c>
      <c r="K245" s="23">
        <v>0</v>
      </c>
      <c r="L245" s="47">
        <v>0</v>
      </c>
      <c r="M245" s="114"/>
      <c r="N245" s="260" t="s">
        <v>805</v>
      </c>
    </row>
    <row r="246" spans="1:14" ht="13">
      <c r="A246" s="188"/>
      <c r="B246" s="10"/>
      <c r="C246" s="7" t="s">
        <v>6</v>
      </c>
      <c r="D246" s="21" t="s">
        <v>65</v>
      </c>
      <c r="E246" s="21" t="s">
        <v>63</v>
      </c>
      <c r="F246" s="109"/>
      <c r="G246" s="22"/>
      <c r="H246" s="22">
        <v>679.36</v>
      </c>
      <c r="I246" s="29">
        <v>0</v>
      </c>
      <c r="J246" s="23">
        <v>0</v>
      </c>
      <c r="K246" s="23">
        <v>0</v>
      </c>
      <c r="L246" s="47">
        <v>0</v>
      </c>
      <c r="M246" s="283"/>
      <c r="N246" s="260" t="s">
        <v>805</v>
      </c>
    </row>
    <row r="247" spans="1:14" ht="13">
      <c r="A247" s="188"/>
      <c r="B247" s="10"/>
      <c r="C247" s="7" t="s">
        <v>6</v>
      </c>
      <c r="D247" s="21" t="s">
        <v>65</v>
      </c>
      <c r="E247" s="21" t="s">
        <v>63</v>
      </c>
      <c r="F247" s="109"/>
      <c r="G247" s="22"/>
      <c r="H247" s="22">
        <v>679.36</v>
      </c>
      <c r="I247" s="29">
        <v>0</v>
      </c>
      <c r="J247" s="23">
        <v>0</v>
      </c>
      <c r="K247" s="23">
        <v>0</v>
      </c>
      <c r="L247" s="47">
        <v>0</v>
      </c>
      <c r="M247" s="283"/>
      <c r="N247" s="260" t="s">
        <v>805</v>
      </c>
    </row>
    <row r="248" spans="1:14" ht="13">
      <c r="A248" s="188"/>
      <c r="B248" s="10"/>
      <c r="C248" s="7" t="s">
        <v>6</v>
      </c>
      <c r="D248" s="21" t="s">
        <v>304</v>
      </c>
      <c r="E248" s="21" t="s">
        <v>305</v>
      </c>
      <c r="F248" s="109"/>
      <c r="G248" s="22"/>
      <c r="H248" s="22">
        <v>611.22500000000002</v>
      </c>
      <c r="I248" s="29">
        <v>0</v>
      </c>
      <c r="J248" s="23">
        <v>0</v>
      </c>
      <c r="K248" s="23">
        <v>0</v>
      </c>
      <c r="L248" s="47">
        <v>0</v>
      </c>
      <c r="M248" s="114"/>
      <c r="N248" s="260" t="s">
        <v>805</v>
      </c>
    </row>
    <row r="249" spans="1:14" ht="13">
      <c r="A249" s="188"/>
      <c r="B249" s="10"/>
      <c r="C249" s="7" t="s">
        <v>6</v>
      </c>
      <c r="D249" s="21" t="s">
        <v>304</v>
      </c>
      <c r="E249" s="21" t="s">
        <v>305</v>
      </c>
      <c r="F249" s="109"/>
      <c r="G249" s="22"/>
      <c r="H249" s="22">
        <v>611.22500000000002</v>
      </c>
      <c r="I249" s="29">
        <v>0</v>
      </c>
      <c r="J249" s="23">
        <v>0</v>
      </c>
      <c r="K249" s="23">
        <v>0</v>
      </c>
      <c r="L249" s="47">
        <v>0</v>
      </c>
      <c r="M249" s="114"/>
      <c r="N249" s="260" t="s">
        <v>805</v>
      </c>
    </row>
    <row r="250" spans="1:14" ht="13">
      <c r="A250" s="188"/>
      <c r="B250" s="10"/>
      <c r="C250" s="7" t="s">
        <v>6</v>
      </c>
      <c r="D250" s="21" t="s">
        <v>716</v>
      </c>
      <c r="E250" s="21" t="s">
        <v>193</v>
      </c>
      <c r="F250" s="109"/>
      <c r="G250" s="22"/>
      <c r="H250" s="22">
        <v>0</v>
      </c>
      <c r="I250" s="29">
        <v>0</v>
      </c>
      <c r="J250" s="23">
        <v>0</v>
      </c>
      <c r="K250" s="23">
        <v>0</v>
      </c>
      <c r="L250" s="47">
        <v>0</v>
      </c>
      <c r="M250" s="114"/>
      <c r="N250" s="260" t="s">
        <v>805</v>
      </c>
    </row>
    <row r="251" spans="1:14" ht="13">
      <c r="A251" s="188"/>
      <c r="B251" s="10"/>
      <c r="C251" s="7" t="s">
        <v>6</v>
      </c>
      <c r="D251" s="21" t="s">
        <v>161</v>
      </c>
      <c r="E251" s="21" t="s">
        <v>162</v>
      </c>
      <c r="F251" s="109"/>
      <c r="G251" s="22"/>
      <c r="H251" s="22">
        <v>316.26499999999999</v>
      </c>
      <c r="I251" s="29">
        <v>0</v>
      </c>
      <c r="J251" s="23">
        <v>0</v>
      </c>
      <c r="K251" s="23">
        <v>0</v>
      </c>
      <c r="L251" s="47">
        <v>0</v>
      </c>
      <c r="M251" s="114"/>
      <c r="N251" s="260" t="s">
        <v>805</v>
      </c>
    </row>
    <row r="252" spans="1:14" ht="13">
      <c r="A252" s="67"/>
      <c r="B252" s="10"/>
      <c r="C252" s="7" t="s">
        <v>6</v>
      </c>
      <c r="D252" s="21" t="s">
        <v>28</v>
      </c>
      <c r="E252" s="21" t="s">
        <v>29</v>
      </c>
      <c r="F252" s="109"/>
      <c r="G252" s="22"/>
      <c r="H252" s="22">
        <v>0</v>
      </c>
      <c r="I252" s="29">
        <v>0</v>
      </c>
      <c r="J252" s="23">
        <v>0</v>
      </c>
      <c r="K252" s="23">
        <v>0</v>
      </c>
      <c r="L252" s="47">
        <v>0</v>
      </c>
      <c r="M252" s="114"/>
      <c r="N252" s="260" t="s">
        <v>805</v>
      </c>
    </row>
    <row r="253" spans="1:14" ht="13">
      <c r="A253" s="188"/>
      <c r="B253" s="10"/>
      <c r="C253" s="7" t="s">
        <v>6</v>
      </c>
      <c r="D253" s="21" t="s">
        <v>160</v>
      </c>
      <c r="E253" s="21" t="s">
        <v>160</v>
      </c>
      <c r="F253" s="109"/>
      <c r="G253" s="22"/>
      <c r="H253" s="22">
        <v>0</v>
      </c>
      <c r="I253" s="29">
        <v>0</v>
      </c>
      <c r="J253" s="23">
        <v>0</v>
      </c>
      <c r="K253" s="23">
        <v>0</v>
      </c>
      <c r="L253" s="47">
        <v>0</v>
      </c>
      <c r="M253" s="114"/>
      <c r="N253" s="260" t="s">
        <v>805</v>
      </c>
    </row>
    <row r="254" spans="1:14" ht="13">
      <c r="A254" s="188"/>
      <c r="B254" s="10"/>
      <c r="C254" s="7" t="s">
        <v>6</v>
      </c>
      <c r="D254" s="21" t="s">
        <v>191</v>
      </c>
      <c r="E254" s="21" t="s">
        <v>192</v>
      </c>
      <c r="F254" s="109"/>
      <c r="G254" s="22"/>
      <c r="H254" s="22">
        <v>0</v>
      </c>
      <c r="I254" s="29">
        <v>0</v>
      </c>
      <c r="J254" s="23">
        <v>0</v>
      </c>
      <c r="K254" s="23">
        <v>0</v>
      </c>
      <c r="L254" s="47">
        <v>0</v>
      </c>
      <c r="M254" s="114"/>
      <c r="N254" s="260" t="s">
        <v>805</v>
      </c>
    </row>
    <row r="255" spans="1:14" ht="13">
      <c r="A255" s="188"/>
      <c r="B255" s="10"/>
      <c r="C255" s="7" t="s">
        <v>6</v>
      </c>
      <c r="D255" s="21" t="s">
        <v>191</v>
      </c>
      <c r="E255" s="21" t="s">
        <v>192</v>
      </c>
      <c r="F255" s="109"/>
      <c r="G255" s="22"/>
      <c r="H255" s="22">
        <v>0</v>
      </c>
      <c r="I255" s="29">
        <v>0</v>
      </c>
      <c r="J255" s="23">
        <v>0</v>
      </c>
      <c r="K255" s="23">
        <v>0</v>
      </c>
      <c r="L255" s="47">
        <v>0</v>
      </c>
      <c r="M255" s="114"/>
      <c r="N255" s="260" t="s">
        <v>805</v>
      </c>
    </row>
    <row r="256" spans="1:14" ht="13">
      <c r="A256" s="188"/>
      <c r="B256" s="10"/>
      <c r="C256" s="7" t="s">
        <v>6</v>
      </c>
      <c r="D256" s="21"/>
      <c r="E256" s="21"/>
      <c r="F256" s="109"/>
      <c r="G256" s="22"/>
      <c r="H256" s="22"/>
      <c r="I256" s="29">
        <v>0</v>
      </c>
      <c r="J256" s="23">
        <v>0</v>
      </c>
      <c r="K256" s="23">
        <v>0</v>
      </c>
      <c r="L256" s="47">
        <v>0</v>
      </c>
      <c r="M256" s="114"/>
      <c r="N256" s="260" t="s">
        <v>805</v>
      </c>
    </row>
    <row r="257" spans="1:14" ht="13">
      <c r="A257" s="188"/>
      <c r="B257" s="10"/>
      <c r="C257" s="7" t="s">
        <v>6</v>
      </c>
      <c r="D257" s="21"/>
      <c r="E257" s="21"/>
      <c r="F257" s="109"/>
      <c r="G257" s="22"/>
      <c r="H257" s="22"/>
      <c r="I257" s="29">
        <v>0</v>
      </c>
      <c r="J257" s="23">
        <v>0</v>
      </c>
      <c r="K257" s="23">
        <v>0</v>
      </c>
      <c r="L257" s="47">
        <v>0</v>
      </c>
      <c r="M257" s="114"/>
      <c r="N257" s="260" t="s">
        <v>805</v>
      </c>
    </row>
    <row r="258" spans="1:14" ht="13">
      <c r="A258" s="188"/>
      <c r="B258" s="10"/>
      <c r="C258" s="7" t="s">
        <v>6</v>
      </c>
      <c r="D258" s="21" t="s">
        <v>194</v>
      </c>
      <c r="E258" s="21" t="s">
        <v>195</v>
      </c>
      <c r="F258" s="109"/>
      <c r="G258" s="22"/>
      <c r="H258" s="22">
        <v>0</v>
      </c>
      <c r="I258" s="29">
        <v>0</v>
      </c>
      <c r="J258" s="23">
        <v>0</v>
      </c>
      <c r="K258" s="23">
        <v>0</v>
      </c>
      <c r="L258" s="47">
        <v>0</v>
      </c>
      <c r="M258" s="114"/>
      <c r="N258" s="260" t="s">
        <v>805</v>
      </c>
    </row>
    <row r="259" spans="1:14" ht="13">
      <c r="A259" s="188"/>
      <c r="B259" s="10"/>
      <c r="C259" s="7" t="s">
        <v>6</v>
      </c>
      <c r="D259" s="21" t="s">
        <v>717</v>
      </c>
      <c r="E259" s="21" t="s">
        <v>717</v>
      </c>
      <c r="F259" s="109"/>
      <c r="G259" s="22"/>
      <c r="H259" s="22">
        <v>231.41</v>
      </c>
      <c r="I259" s="29">
        <v>0</v>
      </c>
      <c r="J259" s="23">
        <v>0</v>
      </c>
      <c r="K259" s="23">
        <v>0</v>
      </c>
      <c r="L259" s="47">
        <v>0</v>
      </c>
      <c r="M259" s="114"/>
      <c r="N259" s="260" t="s">
        <v>805</v>
      </c>
    </row>
    <row r="260" spans="1:14" ht="13">
      <c r="A260" s="188"/>
      <c r="B260" s="10"/>
      <c r="C260" s="7" t="s">
        <v>6</v>
      </c>
      <c r="D260" s="21" t="s">
        <v>187</v>
      </c>
      <c r="E260" s="21" t="s">
        <v>189</v>
      </c>
      <c r="F260" s="109"/>
      <c r="G260" s="22"/>
      <c r="H260" s="22">
        <v>0</v>
      </c>
      <c r="I260" s="29">
        <v>0</v>
      </c>
      <c r="J260" s="23">
        <v>0</v>
      </c>
      <c r="K260" s="23">
        <v>0</v>
      </c>
      <c r="L260" s="47">
        <v>0</v>
      </c>
      <c r="M260" s="114"/>
      <c r="N260" s="260" t="s">
        <v>805</v>
      </c>
    </row>
    <row r="261" spans="1:14" ht="13">
      <c r="A261" s="188"/>
      <c r="B261" s="10"/>
      <c r="C261" s="7" t="s">
        <v>6</v>
      </c>
      <c r="D261" s="21" t="s">
        <v>187</v>
      </c>
      <c r="E261" s="21" t="s">
        <v>189</v>
      </c>
      <c r="F261" s="109"/>
      <c r="G261" s="22"/>
      <c r="H261" s="22">
        <v>0</v>
      </c>
      <c r="I261" s="29">
        <v>0</v>
      </c>
      <c r="J261" s="23">
        <v>0</v>
      </c>
      <c r="K261" s="23">
        <v>0</v>
      </c>
      <c r="L261" s="47">
        <v>0</v>
      </c>
      <c r="M261" s="114"/>
      <c r="N261" s="260" t="s">
        <v>805</v>
      </c>
    </row>
    <row r="262" spans="1:14" ht="13">
      <c r="A262" s="188"/>
      <c r="B262" s="10"/>
      <c r="C262" s="7" t="s">
        <v>6</v>
      </c>
      <c r="D262" s="21" t="s">
        <v>187</v>
      </c>
      <c r="E262" s="21" t="s">
        <v>189</v>
      </c>
      <c r="F262" s="109"/>
      <c r="G262" s="22"/>
      <c r="H262" s="22">
        <v>0</v>
      </c>
      <c r="I262" s="29">
        <v>0</v>
      </c>
      <c r="J262" s="23">
        <v>0</v>
      </c>
      <c r="K262" s="23">
        <v>0</v>
      </c>
      <c r="L262" s="47">
        <v>0</v>
      </c>
      <c r="M262" s="114"/>
      <c r="N262" s="260" t="s">
        <v>805</v>
      </c>
    </row>
    <row r="263" spans="1:14" ht="13">
      <c r="A263" s="188"/>
      <c r="B263" s="10"/>
      <c r="C263" s="7" t="s">
        <v>6</v>
      </c>
      <c r="D263" s="21" t="s">
        <v>722</v>
      </c>
      <c r="E263" s="21" t="s">
        <v>197</v>
      </c>
      <c r="F263" s="109"/>
      <c r="G263" s="22"/>
      <c r="H263" s="22">
        <v>376.68</v>
      </c>
      <c r="I263" s="29">
        <v>0</v>
      </c>
      <c r="J263" s="23">
        <v>0</v>
      </c>
      <c r="K263" s="23">
        <v>0</v>
      </c>
      <c r="L263" s="47">
        <v>0</v>
      </c>
      <c r="M263" s="114"/>
      <c r="N263" s="260" t="s">
        <v>805</v>
      </c>
    </row>
    <row r="264" spans="1:14" ht="13">
      <c r="A264" s="188"/>
      <c r="B264" s="10"/>
      <c r="C264" s="7" t="s">
        <v>6</v>
      </c>
      <c r="D264" s="21" t="s">
        <v>722</v>
      </c>
      <c r="E264" s="21" t="s">
        <v>197</v>
      </c>
      <c r="F264" s="109"/>
      <c r="G264" s="22"/>
      <c r="H264" s="22">
        <v>0</v>
      </c>
      <c r="I264" s="29">
        <v>0</v>
      </c>
      <c r="J264" s="23">
        <v>0</v>
      </c>
      <c r="K264" s="23">
        <v>0</v>
      </c>
      <c r="L264" s="47">
        <v>0</v>
      </c>
      <c r="M264" s="114"/>
      <c r="N264" s="260" t="s">
        <v>805</v>
      </c>
    </row>
    <row r="265" spans="1:14" ht="13.5" thickBot="1">
      <c r="A265" s="71"/>
      <c r="B265" s="32"/>
      <c r="C265" s="116"/>
      <c r="D265" s="33"/>
      <c r="E265" s="33"/>
      <c r="F265" s="117"/>
      <c r="G265" s="34"/>
      <c r="H265" s="34"/>
      <c r="I265" s="96"/>
      <c r="J265" s="157"/>
      <c r="K265" s="157"/>
      <c r="L265" s="119"/>
      <c r="M265" s="120"/>
      <c r="N265" s="282"/>
    </row>
    <row r="266" spans="1:14" ht="13">
      <c r="A266" s="83"/>
      <c r="B266" s="7"/>
      <c r="C266" s="7"/>
      <c r="D266" s="121"/>
      <c r="E266" s="121"/>
      <c r="F266" s="58"/>
      <c r="G266" s="122"/>
      <c r="H266" s="122"/>
      <c r="I266" s="29"/>
      <c r="J266" s="23"/>
      <c r="K266" s="23"/>
      <c r="L266" s="47">
        <v>0</v>
      </c>
      <c r="M266" s="114"/>
      <c r="N266" s="134"/>
    </row>
    <row r="267" spans="1:14" ht="13">
      <c r="A267" s="83"/>
      <c r="B267" s="7"/>
      <c r="C267" s="7"/>
      <c r="D267" s="121"/>
      <c r="E267" s="121"/>
      <c r="F267" s="58"/>
      <c r="G267" s="122"/>
      <c r="H267" s="122"/>
      <c r="I267" s="29"/>
      <c r="J267" s="23"/>
      <c r="K267" s="23"/>
      <c r="L267" s="47"/>
      <c r="M267" s="114"/>
      <c r="N267" s="134"/>
    </row>
    <row r="268" spans="1:14" ht="17" thickBot="1">
      <c r="A268" s="270"/>
      <c r="B268" s="271"/>
      <c r="C268" s="272"/>
      <c r="D268" s="273" t="s">
        <v>83</v>
      </c>
      <c r="E268" s="272"/>
      <c r="F268" s="271"/>
      <c r="G268" s="271"/>
      <c r="H268" s="271"/>
      <c r="I268" s="271"/>
      <c r="J268" s="734" t="s">
        <v>90</v>
      </c>
      <c r="K268" s="734" t="s">
        <v>608</v>
      </c>
      <c r="L268" s="271"/>
      <c r="M268" s="271"/>
      <c r="N268" s="274"/>
    </row>
    <row r="269" spans="1:14" ht="13">
      <c r="A269" s="275"/>
      <c r="B269" s="203"/>
      <c r="C269" s="204"/>
      <c r="D269" s="94"/>
      <c r="E269" s="94"/>
      <c r="F269" s="276"/>
      <c r="G269" s="95"/>
      <c r="H269" s="95"/>
      <c r="I269" s="277"/>
      <c r="J269" s="278"/>
      <c r="K269" s="278"/>
      <c r="L269" s="279"/>
      <c r="M269" s="280"/>
      <c r="N269" s="281"/>
    </row>
    <row r="270" spans="1:14" ht="13">
      <c r="A270" s="188"/>
      <c r="B270" s="10"/>
      <c r="C270" s="7"/>
      <c r="D270" s="21"/>
      <c r="E270" s="21"/>
      <c r="F270" s="109"/>
      <c r="G270" s="22"/>
      <c r="H270" s="22"/>
      <c r="I270" s="29"/>
      <c r="J270" s="23"/>
      <c r="K270" s="23"/>
      <c r="L270" s="47"/>
      <c r="M270" s="114"/>
      <c r="N270" s="260" t="s">
        <v>805</v>
      </c>
    </row>
    <row r="271" spans="1:14" ht="13">
      <c r="A271" s="188"/>
      <c r="B271" s="10"/>
      <c r="C271" s="7"/>
      <c r="D271" s="21"/>
      <c r="E271" s="21"/>
      <c r="F271" s="109"/>
      <c r="G271" s="22"/>
      <c r="H271" s="22"/>
      <c r="I271" s="29"/>
      <c r="J271" s="23"/>
      <c r="K271" s="23"/>
      <c r="L271" s="47"/>
      <c r="M271" s="283"/>
      <c r="N271" s="260"/>
    </row>
    <row r="272" spans="1:14" ht="13">
      <c r="A272" s="188"/>
      <c r="B272" s="10"/>
      <c r="C272" s="7"/>
      <c r="D272" s="21"/>
      <c r="E272" s="21"/>
      <c r="F272" s="109"/>
      <c r="G272" s="22"/>
      <c r="H272" s="22"/>
      <c r="I272" s="29"/>
      <c r="J272" s="23"/>
      <c r="K272" s="23"/>
      <c r="L272" s="47"/>
      <c r="M272" s="283"/>
      <c r="N272" s="260"/>
    </row>
    <row r="273" spans="1:14" ht="13">
      <c r="A273" s="188">
        <v>46036</v>
      </c>
      <c r="B273" s="10" t="s">
        <v>716</v>
      </c>
      <c r="C273" s="7" t="s">
        <v>7</v>
      </c>
      <c r="D273" s="21" t="s">
        <v>65</v>
      </c>
      <c r="E273" s="21" t="s">
        <v>63</v>
      </c>
      <c r="F273" s="109">
        <v>-4</v>
      </c>
      <c r="G273" s="22">
        <v>480</v>
      </c>
      <c r="H273" s="22">
        <v>679.38499999999999</v>
      </c>
      <c r="I273" s="29">
        <v>0</v>
      </c>
      <c r="J273" s="258">
        <v>-0.29347866084767837</v>
      </c>
      <c r="K273" s="23">
        <v>3.3023058704666408E-3</v>
      </c>
      <c r="L273" s="47">
        <v>1920</v>
      </c>
      <c r="M273" s="283">
        <v>46191</v>
      </c>
      <c r="N273" s="260">
        <v>66</v>
      </c>
    </row>
    <row r="274" spans="1:14" ht="13">
      <c r="A274" s="188"/>
      <c r="B274" s="10"/>
      <c r="C274" s="7"/>
      <c r="D274" s="21"/>
      <c r="E274" s="21"/>
      <c r="F274" s="109">
        <v>0</v>
      </c>
      <c r="G274" s="22"/>
      <c r="H274" s="22"/>
      <c r="I274" s="29"/>
      <c r="J274" s="258"/>
      <c r="K274" s="23"/>
      <c r="L274" s="47"/>
      <c r="M274" s="283"/>
      <c r="N274" s="260"/>
    </row>
    <row r="275" spans="1:14" ht="13">
      <c r="A275" s="188">
        <v>46015</v>
      </c>
      <c r="B275" s="10" t="s">
        <v>720</v>
      </c>
      <c r="C275" s="7" t="s">
        <v>7</v>
      </c>
      <c r="D275" s="21" t="s">
        <v>65</v>
      </c>
      <c r="E275" s="21" t="s">
        <v>63</v>
      </c>
      <c r="F275" s="109">
        <v>-5</v>
      </c>
      <c r="G275" s="22">
        <v>440</v>
      </c>
      <c r="H275" s="22">
        <v>679.38499999999999</v>
      </c>
      <c r="I275" s="29">
        <v>0</v>
      </c>
      <c r="J275" s="258">
        <v>-0.35235543911037193</v>
      </c>
      <c r="K275" s="23">
        <v>4.098023687395861E-2</v>
      </c>
      <c r="L275" s="47">
        <v>2200</v>
      </c>
      <c r="M275" s="283">
        <v>46374</v>
      </c>
      <c r="N275" s="260">
        <v>249</v>
      </c>
    </row>
    <row r="276" spans="1:14" ht="13">
      <c r="A276" s="188">
        <v>46013</v>
      </c>
      <c r="B276" s="10" t="s">
        <v>721</v>
      </c>
      <c r="C276" s="7" t="s">
        <v>7</v>
      </c>
      <c r="D276" s="21" t="s">
        <v>65</v>
      </c>
      <c r="E276" s="21" t="s">
        <v>63</v>
      </c>
      <c r="F276" s="109">
        <v>-5</v>
      </c>
      <c r="G276" s="22">
        <v>435</v>
      </c>
      <c r="H276" s="22">
        <v>679.38499999999999</v>
      </c>
      <c r="I276" s="29">
        <v>0</v>
      </c>
      <c r="J276" s="258">
        <v>-0.35971503639320856</v>
      </c>
      <c r="K276" s="23">
        <v>3.7086399309178994E-2</v>
      </c>
      <c r="L276" s="47">
        <v>2175</v>
      </c>
      <c r="M276" s="283">
        <v>46374</v>
      </c>
      <c r="N276" s="260">
        <v>249</v>
      </c>
    </row>
    <row r="277" spans="1:14" ht="13">
      <c r="A277" s="188">
        <v>46013</v>
      </c>
      <c r="B277" s="10" t="s">
        <v>720</v>
      </c>
      <c r="C277" s="7" t="s">
        <v>7</v>
      </c>
      <c r="D277" s="21" t="s">
        <v>65</v>
      </c>
      <c r="E277" s="21" t="s">
        <v>63</v>
      </c>
      <c r="F277" s="109">
        <v>-5</v>
      </c>
      <c r="G277" s="22">
        <v>430</v>
      </c>
      <c r="H277" s="22">
        <v>679.38499999999999</v>
      </c>
      <c r="I277" s="29">
        <v>0</v>
      </c>
      <c r="J277" s="258">
        <v>-0.3670746336760452</v>
      </c>
      <c r="K277" s="23">
        <v>3.3460612430476711E-2</v>
      </c>
      <c r="L277" s="47">
        <v>2150</v>
      </c>
      <c r="M277" s="283">
        <v>46374</v>
      </c>
      <c r="N277" s="260">
        <v>249</v>
      </c>
    </row>
    <row r="278" spans="1:14" ht="13">
      <c r="A278" s="188">
        <v>46002</v>
      </c>
      <c r="B278" s="10" t="s">
        <v>721</v>
      </c>
      <c r="C278" s="7" t="s">
        <v>7</v>
      </c>
      <c r="D278" s="21" t="s">
        <v>65</v>
      </c>
      <c r="E278" s="21" t="s">
        <v>63</v>
      </c>
      <c r="F278" s="109">
        <v>-5</v>
      </c>
      <c r="G278" s="22">
        <v>425</v>
      </c>
      <c r="H278" s="22">
        <v>679.38499999999999</v>
      </c>
      <c r="I278" s="29">
        <v>0</v>
      </c>
      <c r="J278" s="258">
        <v>-0.37443423095888195</v>
      </c>
      <c r="K278" s="23">
        <v>3.009459744886846E-2</v>
      </c>
      <c r="L278" s="47">
        <v>2125</v>
      </c>
      <c r="M278" s="283">
        <v>46374</v>
      </c>
      <c r="N278" s="260">
        <v>249</v>
      </c>
    </row>
    <row r="279" spans="1:14" ht="13">
      <c r="A279" s="188">
        <v>46097</v>
      </c>
      <c r="B279" s="10" t="s">
        <v>721</v>
      </c>
      <c r="C279" s="7" t="s">
        <v>7</v>
      </c>
      <c r="D279" s="21" t="s">
        <v>65</v>
      </c>
      <c r="E279" s="21" t="s">
        <v>63</v>
      </c>
      <c r="F279" s="109">
        <v>-5</v>
      </c>
      <c r="G279" s="22">
        <v>400</v>
      </c>
      <c r="H279" s="22">
        <v>679.38499999999999</v>
      </c>
      <c r="I279" s="29">
        <v>0</v>
      </c>
      <c r="J279" s="258">
        <v>-0.41123221737306537</v>
      </c>
      <c r="K279" s="23">
        <v>1.6832075853390912E-2</v>
      </c>
      <c r="L279" s="47">
        <v>2000</v>
      </c>
      <c r="M279" s="283">
        <v>46374</v>
      </c>
      <c r="N279" s="260">
        <v>249</v>
      </c>
    </row>
    <row r="280" spans="1:14" ht="13">
      <c r="A280" s="188">
        <v>46097</v>
      </c>
      <c r="B280" s="10" t="s">
        <v>332</v>
      </c>
      <c r="C280" s="7" t="s">
        <v>7</v>
      </c>
      <c r="D280" s="21" t="s">
        <v>65</v>
      </c>
      <c r="E280" s="21" t="s">
        <v>63</v>
      </c>
      <c r="F280" s="109">
        <v>-5</v>
      </c>
      <c r="G280" s="22">
        <v>390</v>
      </c>
      <c r="H280" s="22">
        <v>679.38499999999999</v>
      </c>
      <c r="I280" s="29">
        <v>0</v>
      </c>
      <c r="J280" s="258">
        <v>-0.42595141193873876</v>
      </c>
      <c r="K280" s="23">
        <v>1.2998777203034603E-2</v>
      </c>
      <c r="L280" s="47">
        <v>1950</v>
      </c>
      <c r="M280" s="283">
        <v>46374</v>
      </c>
      <c r="N280" s="260">
        <v>249</v>
      </c>
    </row>
    <row r="281" spans="1:14" ht="13">
      <c r="A281" s="188">
        <v>46097</v>
      </c>
      <c r="B281" s="10" t="s">
        <v>332</v>
      </c>
      <c r="C281" s="7" t="s">
        <v>7</v>
      </c>
      <c r="D281" s="21" t="s">
        <v>65</v>
      </c>
      <c r="E281" s="21" t="s">
        <v>63</v>
      </c>
      <c r="F281" s="109">
        <v>-5</v>
      </c>
      <c r="G281" s="22">
        <v>380</v>
      </c>
      <c r="H281" s="22">
        <v>679.38499999999999</v>
      </c>
      <c r="I281" s="29">
        <v>0</v>
      </c>
      <c r="J281" s="258">
        <v>-0.44067060650441203</v>
      </c>
      <c r="K281" s="23">
        <v>9.8745927247433224E-3</v>
      </c>
      <c r="L281" s="47">
        <v>1900</v>
      </c>
      <c r="M281" s="283">
        <v>46374</v>
      </c>
      <c r="N281" s="260">
        <v>249</v>
      </c>
    </row>
    <row r="282" spans="1:14" ht="13">
      <c r="A282" s="188">
        <v>45987</v>
      </c>
      <c r="B282" s="10" t="s">
        <v>716</v>
      </c>
      <c r="C282" s="7" t="s">
        <v>7</v>
      </c>
      <c r="D282" s="21" t="s">
        <v>65</v>
      </c>
      <c r="E282" s="21" t="s">
        <v>63</v>
      </c>
      <c r="F282" s="109">
        <v>-5</v>
      </c>
      <c r="G282" s="22">
        <v>375</v>
      </c>
      <c r="H282" s="22">
        <v>679.38499999999999</v>
      </c>
      <c r="I282" s="29">
        <v>0</v>
      </c>
      <c r="J282" s="258">
        <v>-0.44803020378724878</v>
      </c>
      <c r="K282" s="23">
        <v>8.5503897309630351E-3</v>
      </c>
      <c r="L282" s="47">
        <v>1875</v>
      </c>
      <c r="M282" s="283">
        <v>46374</v>
      </c>
      <c r="N282" s="260">
        <v>249</v>
      </c>
    </row>
    <row r="283" spans="1:14" ht="13">
      <c r="A283" s="188">
        <v>45987</v>
      </c>
      <c r="B283" s="10" t="s">
        <v>716</v>
      </c>
      <c r="C283" s="7" t="s">
        <v>7</v>
      </c>
      <c r="D283" s="21" t="s">
        <v>65</v>
      </c>
      <c r="E283" s="21" t="s">
        <v>63</v>
      </c>
      <c r="F283" s="109">
        <v>-5</v>
      </c>
      <c r="G283" s="22">
        <v>370</v>
      </c>
      <c r="H283" s="22">
        <v>679.38499999999999</v>
      </c>
      <c r="I283" s="29">
        <v>0</v>
      </c>
      <c r="J283" s="258">
        <v>-0.45538980107008542</v>
      </c>
      <c r="K283" s="23">
        <v>7.3699803200966392E-3</v>
      </c>
      <c r="L283" s="47">
        <v>1850</v>
      </c>
      <c r="M283" s="283">
        <v>46374</v>
      </c>
      <c r="N283" s="260">
        <v>249</v>
      </c>
    </row>
    <row r="284" spans="1:14" ht="13">
      <c r="A284" s="188"/>
      <c r="B284" s="10"/>
      <c r="C284" s="7"/>
      <c r="D284" s="21"/>
      <c r="E284" s="21"/>
      <c r="F284" s="594">
        <v>0</v>
      </c>
      <c r="G284" s="592"/>
      <c r="H284" s="592"/>
      <c r="I284" s="354"/>
      <c r="J284" s="750"/>
      <c r="K284" s="23"/>
      <c r="L284" s="463"/>
      <c r="M284" s="464"/>
      <c r="N284" s="465" t="s">
        <v>805</v>
      </c>
    </row>
    <row r="285" spans="1:14" ht="13">
      <c r="A285" s="188"/>
      <c r="B285" s="10"/>
      <c r="C285" s="7"/>
      <c r="D285" s="21"/>
      <c r="E285" s="21"/>
      <c r="F285" s="594">
        <v>0</v>
      </c>
      <c r="G285" s="592"/>
      <c r="H285" s="592"/>
      <c r="I285" s="29"/>
      <c r="J285" s="258"/>
      <c r="K285" s="23"/>
      <c r="L285" s="47"/>
      <c r="M285" s="283"/>
      <c r="N285" s="260"/>
    </row>
    <row r="286" spans="1:14" ht="13">
      <c r="A286" s="188">
        <v>45992</v>
      </c>
      <c r="B286" s="10" t="s">
        <v>716</v>
      </c>
      <c r="C286" s="7" t="s">
        <v>7</v>
      </c>
      <c r="D286" s="21" t="s">
        <v>304</v>
      </c>
      <c r="E286" s="21" t="s">
        <v>305</v>
      </c>
      <c r="F286" s="594">
        <v>-5.666666666666667</v>
      </c>
      <c r="G286" s="592">
        <v>385</v>
      </c>
      <c r="H286" s="592">
        <v>611.245</v>
      </c>
      <c r="I286" s="29">
        <v>0</v>
      </c>
      <c r="J286" s="258">
        <v>-0.37013799703883055</v>
      </c>
      <c r="K286" s="23">
        <v>4.8478640549698915E-2</v>
      </c>
      <c r="L286" s="47">
        <v>2181.666666666667</v>
      </c>
      <c r="M286" s="283">
        <v>46374</v>
      </c>
      <c r="N286" s="260">
        <v>249</v>
      </c>
    </row>
    <row r="287" spans="1:14" ht="13">
      <c r="A287" s="188">
        <v>45992</v>
      </c>
      <c r="B287" s="10" t="s">
        <v>716</v>
      </c>
      <c r="C287" s="7" t="s">
        <v>7</v>
      </c>
      <c r="D287" s="21" t="s">
        <v>304</v>
      </c>
      <c r="E287" s="21" t="s">
        <v>305</v>
      </c>
      <c r="F287" s="594">
        <v>-5.666666666666667</v>
      </c>
      <c r="G287" s="592">
        <v>380</v>
      </c>
      <c r="H287" s="592">
        <v>611.245</v>
      </c>
      <c r="I287" s="29">
        <v>0</v>
      </c>
      <c r="J287" s="258">
        <v>-0.37831802305131335</v>
      </c>
      <c r="K287" s="23">
        <v>4.3841651744345074E-2</v>
      </c>
      <c r="L287" s="47">
        <v>2153.3333333333335</v>
      </c>
      <c r="M287" s="283">
        <v>46374</v>
      </c>
      <c r="N287" s="260">
        <v>249</v>
      </c>
    </row>
    <row r="288" spans="1:14" ht="13">
      <c r="A288" s="188">
        <v>46090</v>
      </c>
      <c r="B288" s="10" t="s">
        <v>108</v>
      </c>
      <c r="C288" s="7" t="s">
        <v>7</v>
      </c>
      <c r="D288" s="21" t="s">
        <v>304</v>
      </c>
      <c r="E288" s="21" t="s">
        <v>305</v>
      </c>
      <c r="F288" s="594">
        <v>-6.666666666666667</v>
      </c>
      <c r="G288" s="592">
        <v>375</v>
      </c>
      <c r="H288" s="592">
        <v>611.245</v>
      </c>
      <c r="I288" s="29">
        <v>0</v>
      </c>
      <c r="J288" s="258">
        <v>-0.38649804906379603</v>
      </c>
      <c r="K288" s="23">
        <v>3.9515011842311584E-2</v>
      </c>
      <c r="L288" s="47">
        <v>2500</v>
      </c>
      <c r="M288" s="283">
        <v>46374</v>
      </c>
      <c r="N288" s="260">
        <v>249</v>
      </c>
    </row>
    <row r="289" spans="1:14" ht="13">
      <c r="A289" s="188">
        <v>46035</v>
      </c>
      <c r="B289" s="10" t="s">
        <v>721</v>
      </c>
      <c r="C289" s="7" t="s">
        <v>7</v>
      </c>
      <c r="D289" s="21" t="s">
        <v>304</v>
      </c>
      <c r="E289" s="21" t="s">
        <v>305</v>
      </c>
      <c r="F289" s="594">
        <v>-5.666666666666667</v>
      </c>
      <c r="G289" s="592">
        <v>370</v>
      </c>
      <c r="H289" s="592">
        <v>611.245</v>
      </c>
      <c r="I289" s="29">
        <v>0</v>
      </c>
      <c r="J289" s="258">
        <v>-0.39467807507627872</v>
      </c>
      <c r="K289" s="23">
        <v>3.5491249113904111E-2</v>
      </c>
      <c r="L289" s="47">
        <v>2096.666666666667</v>
      </c>
      <c r="M289" s="283">
        <v>46374</v>
      </c>
      <c r="N289" s="260">
        <v>249</v>
      </c>
    </row>
    <row r="290" spans="1:14" ht="13">
      <c r="A290" s="188">
        <v>46097</v>
      </c>
      <c r="B290" s="10" t="s">
        <v>720</v>
      </c>
      <c r="C290" s="7" t="s">
        <v>7</v>
      </c>
      <c r="D290" s="21" t="s">
        <v>304</v>
      </c>
      <c r="E290" s="21" t="s">
        <v>305</v>
      </c>
      <c r="F290" s="594">
        <v>-5.666666666666667</v>
      </c>
      <c r="G290" s="592">
        <v>360</v>
      </c>
      <c r="H290" s="592">
        <v>611.245</v>
      </c>
      <c r="I290" s="29">
        <v>0</v>
      </c>
      <c r="J290" s="258">
        <v>-0.41103812710124421</v>
      </c>
      <c r="K290" s="23">
        <v>2.8317786307463864E-2</v>
      </c>
      <c r="L290" s="47">
        <v>2040</v>
      </c>
      <c r="M290" s="283">
        <v>46374</v>
      </c>
      <c r="N290" s="260">
        <v>249</v>
      </c>
    </row>
    <row r="291" spans="1:14" ht="13">
      <c r="A291" s="188"/>
      <c r="B291" s="10"/>
      <c r="C291" s="7"/>
      <c r="D291" s="21"/>
      <c r="E291" s="21"/>
      <c r="F291" s="594">
        <v>0</v>
      </c>
      <c r="G291" s="592"/>
      <c r="H291" s="592"/>
      <c r="I291" s="29"/>
      <c r="J291" s="258"/>
      <c r="K291" s="23"/>
      <c r="L291" s="47"/>
      <c r="M291" s="283"/>
      <c r="N291" s="260"/>
    </row>
    <row r="292" spans="1:14" ht="13">
      <c r="A292" s="188">
        <v>46003</v>
      </c>
      <c r="B292" s="10" t="s">
        <v>720</v>
      </c>
      <c r="C292" s="7" t="s">
        <v>7</v>
      </c>
      <c r="D292" s="21" t="s">
        <v>187</v>
      </c>
      <c r="E292" s="21" t="s">
        <v>189</v>
      </c>
      <c r="F292" s="594">
        <v>-4.666666666666667</v>
      </c>
      <c r="G292" s="592">
        <v>150</v>
      </c>
      <c r="H292" s="592">
        <v>237.04000000000002</v>
      </c>
      <c r="I292" s="29">
        <v>0</v>
      </c>
      <c r="J292" s="258">
        <v>-0.36719541005737433</v>
      </c>
      <c r="K292" s="23">
        <v>0.1033785162024924</v>
      </c>
      <c r="L292" s="47">
        <v>700</v>
      </c>
      <c r="M292" s="283">
        <v>46374</v>
      </c>
      <c r="N292" s="260">
        <v>249</v>
      </c>
    </row>
    <row r="293" spans="1:14" ht="13">
      <c r="A293" s="188">
        <v>46003</v>
      </c>
      <c r="B293" s="10" t="s">
        <v>720</v>
      </c>
      <c r="C293" s="7" t="s">
        <v>7</v>
      </c>
      <c r="D293" s="21" t="s">
        <v>187</v>
      </c>
      <c r="E293" s="21" t="s">
        <v>189</v>
      </c>
      <c r="F293" s="594">
        <v>-4.666666666666667</v>
      </c>
      <c r="G293" s="592">
        <v>145</v>
      </c>
      <c r="H293" s="592">
        <v>237.04000000000002</v>
      </c>
      <c r="I293" s="29">
        <v>0</v>
      </c>
      <c r="J293" s="258">
        <v>-0.38828889638879516</v>
      </c>
      <c r="K293" s="23">
        <v>8.6497330782183413E-2</v>
      </c>
      <c r="L293" s="47">
        <v>676.66666666666674</v>
      </c>
      <c r="M293" s="283">
        <v>46374</v>
      </c>
      <c r="N293" s="260">
        <v>249</v>
      </c>
    </row>
    <row r="294" spans="1:14" ht="13">
      <c r="A294" s="188">
        <v>45992</v>
      </c>
      <c r="B294" s="10" t="s">
        <v>332</v>
      </c>
      <c r="C294" s="7" t="s">
        <v>7</v>
      </c>
      <c r="D294" s="21" t="s">
        <v>187</v>
      </c>
      <c r="E294" s="21" t="s">
        <v>189</v>
      </c>
      <c r="F294" s="594">
        <v>-2.3333333333333335</v>
      </c>
      <c r="G294" s="592">
        <v>135</v>
      </c>
      <c r="H294" s="592">
        <v>237.04000000000002</v>
      </c>
      <c r="I294" s="29">
        <v>0</v>
      </c>
      <c r="J294" s="258">
        <v>-0.43047586905163693</v>
      </c>
      <c r="K294" s="23">
        <v>5.7782772402849049E-2</v>
      </c>
      <c r="L294" s="47">
        <v>315</v>
      </c>
      <c r="M294" s="283">
        <v>46374</v>
      </c>
      <c r="N294" s="260">
        <v>249</v>
      </c>
    </row>
    <row r="295" spans="1:14" ht="13">
      <c r="A295" s="188"/>
      <c r="B295" s="10"/>
      <c r="C295" s="7"/>
      <c r="D295" s="21"/>
      <c r="E295" s="21"/>
      <c r="F295" s="594">
        <v>0</v>
      </c>
      <c r="G295" s="592"/>
      <c r="H295" s="592"/>
      <c r="I295" s="29"/>
      <c r="J295" s="258"/>
      <c r="K295" s="23"/>
      <c r="L295" s="47"/>
      <c r="M295" s="114"/>
      <c r="N295" s="260"/>
    </row>
    <row r="296" spans="1:14" ht="13">
      <c r="A296" s="188">
        <v>46015</v>
      </c>
      <c r="B296" s="10" t="s">
        <v>721</v>
      </c>
      <c r="C296" s="7" t="s">
        <v>7</v>
      </c>
      <c r="D296" s="21" t="s">
        <v>318</v>
      </c>
      <c r="E296" s="21" t="s">
        <v>542</v>
      </c>
      <c r="F296" s="594">
        <v>-13.333333333333334</v>
      </c>
      <c r="G296" s="592">
        <v>85</v>
      </c>
      <c r="H296" s="592">
        <v>123.845</v>
      </c>
      <c r="I296" s="29">
        <v>0</v>
      </c>
      <c r="J296" s="258">
        <v>-0.31365820178448867</v>
      </c>
      <c r="K296" s="23">
        <v>1.0917634547045332E-2</v>
      </c>
      <c r="L296" s="47">
        <v>1133.3333333333335</v>
      </c>
      <c r="M296" s="283">
        <v>46191</v>
      </c>
      <c r="N296" s="260">
        <v>66</v>
      </c>
    </row>
    <row r="297" spans="1:14" ht="13">
      <c r="A297" s="188">
        <v>46013</v>
      </c>
      <c r="B297" s="10" t="s">
        <v>721</v>
      </c>
      <c r="C297" s="7" t="s">
        <v>7</v>
      </c>
      <c r="D297" s="21" t="s">
        <v>318</v>
      </c>
      <c r="E297" s="21" t="s">
        <v>542</v>
      </c>
      <c r="F297" s="594">
        <v>-20</v>
      </c>
      <c r="G297" s="592">
        <v>80</v>
      </c>
      <c r="H297" s="592">
        <v>123.845</v>
      </c>
      <c r="I297" s="29">
        <v>0</v>
      </c>
      <c r="J297" s="258">
        <v>-0.35403124873834224</v>
      </c>
      <c r="K297" s="23">
        <v>3.8106564257759036E-3</v>
      </c>
      <c r="L297" s="47">
        <v>1600</v>
      </c>
      <c r="M297" s="283">
        <v>46191</v>
      </c>
      <c r="N297" s="260">
        <v>66</v>
      </c>
    </row>
    <row r="298" spans="1:14" ht="13">
      <c r="A298" s="188">
        <v>46006</v>
      </c>
      <c r="B298" s="10" t="s">
        <v>720</v>
      </c>
      <c r="C298" s="7" t="s">
        <v>7</v>
      </c>
      <c r="D298" s="21" t="s">
        <v>318</v>
      </c>
      <c r="E298" s="21" t="s">
        <v>542</v>
      </c>
      <c r="F298" s="594">
        <v>-20</v>
      </c>
      <c r="G298" s="592">
        <v>75</v>
      </c>
      <c r="H298" s="592">
        <v>123.845</v>
      </c>
      <c r="I298" s="29">
        <v>0</v>
      </c>
      <c r="J298" s="258">
        <v>-0.39440429569219593</v>
      </c>
      <c r="K298" s="23">
        <v>1.0781931064263971E-3</v>
      </c>
      <c r="L298" s="47">
        <v>1500</v>
      </c>
      <c r="M298" s="283">
        <v>46191</v>
      </c>
      <c r="N298" s="260">
        <v>66</v>
      </c>
    </row>
    <row r="299" spans="1:14" ht="13">
      <c r="A299" s="188"/>
      <c r="B299" s="10"/>
      <c r="C299" s="7"/>
      <c r="D299" s="21"/>
      <c r="E299" s="21"/>
      <c r="F299" s="594">
        <v>0</v>
      </c>
      <c r="G299" s="592"/>
      <c r="H299" s="592"/>
      <c r="I299" s="29"/>
      <c r="J299" s="258"/>
      <c r="K299" s="23"/>
      <c r="L299" s="47"/>
      <c r="M299" s="283"/>
      <c r="N299" s="260"/>
    </row>
    <row r="300" spans="1:14" ht="13">
      <c r="A300" s="188">
        <v>46015</v>
      </c>
      <c r="B300" s="10" t="s">
        <v>720</v>
      </c>
      <c r="C300" s="7" t="s">
        <v>7</v>
      </c>
      <c r="D300" s="21" t="s">
        <v>318</v>
      </c>
      <c r="E300" s="21" t="s">
        <v>542</v>
      </c>
      <c r="F300" s="594">
        <v>-20</v>
      </c>
      <c r="G300" s="592">
        <v>70</v>
      </c>
      <c r="H300" s="592">
        <v>123.845</v>
      </c>
      <c r="I300" s="29">
        <v>0</v>
      </c>
      <c r="J300" s="258">
        <v>-0.4347773426460495</v>
      </c>
      <c r="K300" s="23">
        <v>4.0248404784600067E-2</v>
      </c>
      <c r="L300" s="47">
        <v>1400</v>
      </c>
      <c r="M300" s="283">
        <v>46374</v>
      </c>
      <c r="N300" s="260">
        <v>249</v>
      </c>
    </row>
    <row r="301" spans="1:14" ht="13">
      <c r="A301" s="188"/>
      <c r="B301" s="10"/>
      <c r="C301" s="7"/>
      <c r="D301" s="21"/>
      <c r="E301" s="21"/>
      <c r="F301" s="594">
        <v>0</v>
      </c>
      <c r="G301" s="592"/>
      <c r="H301" s="592"/>
      <c r="I301" s="29"/>
      <c r="J301" s="258"/>
      <c r="K301" s="23"/>
      <c r="L301" s="47"/>
      <c r="M301" s="283"/>
      <c r="N301" s="260"/>
    </row>
    <row r="302" spans="1:14" ht="13">
      <c r="A302" s="188"/>
      <c r="B302" s="10"/>
      <c r="C302" s="7"/>
      <c r="D302" s="21"/>
      <c r="E302" s="21"/>
      <c r="F302" s="594">
        <v>0</v>
      </c>
      <c r="G302" s="592"/>
      <c r="H302" s="592"/>
      <c r="I302" s="29"/>
      <c r="J302" s="258"/>
      <c r="K302" s="23"/>
      <c r="L302" s="47"/>
      <c r="M302" s="283"/>
      <c r="N302" s="260"/>
    </row>
    <row r="303" spans="1:14" ht="13">
      <c r="A303" s="188">
        <v>46094</v>
      </c>
      <c r="B303" s="10" t="s">
        <v>721</v>
      </c>
      <c r="C303" s="7" t="s">
        <v>7</v>
      </c>
      <c r="D303" s="21" t="s">
        <v>317</v>
      </c>
      <c r="E303" s="21" t="s">
        <v>317</v>
      </c>
      <c r="F303" s="594">
        <v>-5</v>
      </c>
      <c r="G303" s="592">
        <v>200</v>
      </c>
      <c r="H303" s="592">
        <v>308.46500000000003</v>
      </c>
      <c r="I303" s="29">
        <v>0</v>
      </c>
      <c r="J303" s="258">
        <v>-0.35162822362342572</v>
      </c>
      <c r="K303" s="23">
        <v>9.5007937399316539E-2</v>
      </c>
      <c r="L303" s="47">
        <v>1000</v>
      </c>
      <c r="M303" s="283">
        <v>46374</v>
      </c>
      <c r="N303" s="260">
        <v>249</v>
      </c>
    </row>
    <row r="304" spans="1:14" ht="13">
      <c r="A304" s="188">
        <v>46013</v>
      </c>
      <c r="B304" s="10" t="s">
        <v>721</v>
      </c>
      <c r="C304" s="7" t="s">
        <v>7</v>
      </c>
      <c r="D304" s="21" t="s">
        <v>317</v>
      </c>
      <c r="E304" s="21" t="s">
        <v>317</v>
      </c>
      <c r="F304" s="594">
        <v>-5</v>
      </c>
      <c r="G304" s="592">
        <v>195</v>
      </c>
      <c r="H304" s="592">
        <v>308.46500000000003</v>
      </c>
      <c r="I304" s="29">
        <v>0</v>
      </c>
      <c r="J304" s="258">
        <v>-0.36783751803284015</v>
      </c>
      <c r="K304" s="23">
        <v>8.208270918609642E-2</v>
      </c>
      <c r="L304" s="47">
        <v>975</v>
      </c>
      <c r="M304" s="283">
        <v>46374</v>
      </c>
      <c r="N304" s="260">
        <v>249</v>
      </c>
    </row>
    <row r="305" spans="1:14" ht="13">
      <c r="A305" s="188">
        <v>46013</v>
      </c>
      <c r="B305" s="10" t="s">
        <v>720</v>
      </c>
      <c r="C305" s="7" t="s">
        <v>7</v>
      </c>
      <c r="D305" s="21" t="s">
        <v>317</v>
      </c>
      <c r="E305" s="21" t="s">
        <v>317</v>
      </c>
      <c r="F305" s="594">
        <v>-6</v>
      </c>
      <c r="G305" s="592">
        <v>190</v>
      </c>
      <c r="H305" s="592">
        <v>308.46500000000003</v>
      </c>
      <c r="I305" s="29">
        <v>0</v>
      </c>
      <c r="J305" s="258">
        <v>-0.38404681244225447</v>
      </c>
      <c r="K305" s="23">
        <v>7.0246297546840655E-2</v>
      </c>
      <c r="L305" s="47">
        <v>1140</v>
      </c>
      <c r="M305" s="283">
        <v>46374</v>
      </c>
      <c r="N305" s="260">
        <v>249</v>
      </c>
    </row>
    <row r="306" spans="1:14" ht="13">
      <c r="A306" s="188">
        <v>45992</v>
      </c>
      <c r="B306" s="10" t="s">
        <v>332</v>
      </c>
      <c r="C306" s="7" t="s">
        <v>7</v>
      </c>
      <c r="D306" s="21" t="s">
        <v>317</v>
      </c>
      <c r="E306" s="21" t="s">
        <v>317</v>
      </c>
      <c r="F306" s="594">
        <v>-6</v>
      </c>
      <c r="G306" s="592">
        <v>175</v>
      </c>
      <c r="H306" s="592">
        <v>308.46500000000003</v>
      </c>
      <c r="I306" s="29">
        <v>0</v>
      </c>
      <c r="J306" s="258">
        <v>-0.43267469567049754</v>
      </c>
      <c r="K306" s="23">
        <v>4.1283667376381838E-2</v>
      </c>
      <c r="L306" s="47">
        <v>1050</v>
      </c>
      <c r="M306" s="283">
        <v>46374</v>
      </c>
      <c r="N306" s="260">
        <v>249</v>
      </c>
    </row>
    <row r="307" spans="1:14" ht="13">
      <c r="A307" s="188"/>
      <c r="B307" s="10"/>
      <c r="C307" s="7"/>
      <c r="D307" s="21"/>
      <c r="E307" s="21"/>
      <c r="F307" s="594">
        <v>0</v>
      </c>
      <c r="G307" s="592"/>
      <c r="H307" s="592"/>
      <c r="I307" s="29"/>
      <c r="J307" s="258"/>
      <c r="K307" s="23"/>
      <c r="L307" s="47"/>
      <c r="M307" s="283"/>
      <c r="N307" s="260"/>
    </row>
    <row r="308" spans="1:14" ht="13">
      <c r="A308" s="188"/>
      <c r="B308" s="10"/>
      <c r="C308" s="7"/>
      <c r="D308" s="21"/>
      <c r="E308" s="21"/>
      <c r="F308" s="594">
        <v>0</v>
      </c>
      <c r="G308" s="592"/>
      <c r="H308" s="592"/>
      <c r="I308" s="29"/>
      <c r="J308" s="258"/>
      <c r="K308" s="23"/>
      <c r="L308" s="47"/>
      <c r="M308" s="283"/>
      <c r="N308" s="260"/>
    </row>
    <row r="309" spans="1:14" ht="13">
      <c r="A309" s="188"/>
      <c r="B309" s="10"/>
      <c r="C309" s="7"/>
      <c r="D309" s="21"/>
      <c r="E309" s="21"/>
      <c r="F309" s="594">
        <v>0</v>
      </c>
      <c r="G309" s="592"/>
      <c r="H309" s="592"/>
      <c r="I309" s="29"/>
      <c r="J309" s="258"/>
      <c r="K309" s="23"/>
      <c r="L309" s="47"/>
      <c r="M309" s="283"/>
      <c r="N309" s="260"/>
    </row>
    <row r="310" spans="1:14" ht="13">
      <c r="A310" s="188">
        <v>46087</v>
      </c>
      <c r="B310" s="10" t="s">
        <v>721</v>
      </c>
      <c r="C310" s="7" t="s">
        <v>7</v>
      </c>
      <c r="D310" s="21" t="s">
        <v>320</v>
      </c>
      <c r="E310" s="21" t="s">
        <v>543</v>
      </c>
      <c r="F310" s="594">
        <v>-33.333333333333336</v>
      </c>
      <c r="G310" s="592">
        <v>32</v>
      </c>
      <c r="H310" s="592">
        <v>52.355000000000004</v>
      </c>
      <c r="I310" s="29">
        <v>0</v>
      </c>
      <c r="J310" s="258">
        <v>-0.38878808136758669</v>
      </c>
      <c r="K310" s="23">
        <v>6.6991433261097341E-2</v>
      </c>
      <c r="L310" s="47">
        <v>1066.6666666666667</v>
      </c>
      <c r="M310" s="283">
        <v>46374</v>
      </c>
      <c r="N310" s="260">
        <v>249</v>
      </c>
    </row>
    <row r="311" spans="1:14" ht="13">
      <c r="A311" s="188">
        <v>46090</v>
      </c>
      <c r="B311" s="10" t="s">
        <v>720</v>
      </c>
      <c r="C311" s="7" t="s">
        <v>7</v>
      </c>
      <c r="D311" s="21" t="s">
        <v>320</v>
      </c>
      <c r="E311" s="21" t="s">
        <v>543</v>
      </c>
      <c r="F311" s="594">
        <v>-40</v>
      </c>
      <c r="G311" s="592">
        <v>32</v>
      </c>
      <c r="H311" s="592">
        <v>52.355000000000004</v>
      </c>
      <c r="I311" s="29">
        <v>0</v>
      </c>
      <c r="J311" s="258">
        <v>-0.38878808136758669</v>
      </c>
      <c r="K311" s="23">
        <v>6.6991433261097341E-2</v>
      </c>
      <c r="L311" s="47">
        <v>1280</v>
      </c>
      <c r="M311" s="283">
        <v>46374</v>
      </c>
      <c r="N311" s="260">
        <v>249</v>
      </c>
    </row>
    <row r="312" spans="1:14" ht="13">
      <c r="A312" s="188">
        <v>46006</v>
      </c>
      <c r="B312" s="10" t="s">
        <v>720</v>
      </c>
      <c r="C312" s="7" t="s">
        <v>7</v>
      </c>
      <c r="D312" s="21" t="s">
        <v>320</v>
      </c>
      <c r="E312" s="21" t="s">
        <v>543</v>
      </c>
      <c r="F312" s="594">
        <v>-33.333333333333336</v>
      </c>
      <c r="G312" s="592">
        <v>30</v>
      </c>
      <c r="H312" s="592">
        <v>52.355000000000004</v>
      </c>
      <c r="I312" s="29">
        <v>0</v>
      </c>
      <c r="J312" s="258">
        <v>-0.42698882628211254</v>
      </c>
      <c r="K312" s="23">
        <v>4.417120820562298E-2</v>
      </c>
      <c r="L312" s="47">
        <v>1000.0000000000001</v>
      </c>
      <c r="M312" s="283">
        <v>46374</v>
      </c>
      <c r="N312" s="260">
        <v>249</v>
      </c>
    </row>
    <row r="313" spans="1:14" ht="10.75" customHeight="1">
      <c r="A313" s="188">
        <v>45993</v>
      </c>
      <c r="B313" s="10" t="s">
        <v>721</v>
      </c>
      <c r="C313" s="7" t="s">
        <v>7</v>
      </c>
      <c r="D313" s="21" t="s">
        <v>320</v>
      </c>
      <c r="E313" s="21" t="s">
        <v>543</v>
      </c>
      <c r="F313" s="594">
        <v>-33.333333333333336</v>
      </c>
      <c r="G313" s="592">
        <v>28</v>
      </c>
      <c r="H313" s="592">
        <v>52.355000000000004</v>
      </c>
      <c r="I313" s="29">
        <v>0</v>
      </c>
      <c r="J313" s="258">
        <v>-0.4651895711966384</v>
      </c>
      <c r="K313" s="23">
        <v>2.7175592076814005E-2</v>
      </c>
      <c r="L313" s="47">
        <v>933.33333333333337</v>
      </c>
      <c r="M313" s="283">
        <v>46374</v>
      </c>
      <c r="N313" s="260">
        <v>249</v>
      </c>
    </row>
    <row r="314" spans="1:14" ht="10.75" customHeight="1">
      <c r="A314" s="188">
        <v>46077</v>
      </c>
      <c r="B314" s="10" t="s">
        <v>721</v>
      </c>
      <c r="C314" s="7" t="s">
        <v>7</v>
      </c>
      <c r="D314" s="21" t="s">
        <v>320</v>
      </c>
      <c r="E314" s="21" t="s">
        <v>543</v>
      </c>
      <c r="F314" s="594">
        <v>-25</v>
      </c>
      <c r="G314" s="592">
        <v>28</v>
      </c>
      <c r="H314" s="592">
        <v>52.355000000000004</v>
      </c>
      <c r="I314" s="29">
        <v>0</v>
      </c>
      <c r="J314" s="258">
        <v>-0.4651895711966384</v>
      </c>
      <c r="K314" s="23">
        <v>2.7175592076814005E-2</v>
      </c>
      <c r="L314" s="47">
        <v>700</v>
      </c>
      <c r="M314" s="283">
        <v>46374</v>
      </c>
      <c r="N314" s="260">
        <v>249</v>
      </c>
    </row>
    <row r="315" spans="1:14" ht="13">
      <c r="A315" s="188"/>
      <c r="B315" s="10"/>
      <c r="C315" s="7"/>
      <c r="D315" s="21"/>
      <c r="E315" s="21"/>
      <c r="F315" s="594">
        <v>0</v>
      </c>
      <c r="G315" s="592"/>
      <c r="H315" s="592"/>
      <c r="I315" s="29"/>
      <c r="J315" s="258"/>
      <c r="K315" s="23"/>
      <c r="L315" s="47"/>
      <c r="M315" s="283"/>
      <c r="N315" s="260"/>
    </row>
    <row r="316" spans="1:14" ht="13">
      <c r="A316" s="188"/>
      <c r="B316" s="10"/>
      <c r="C316" s="7"/>
      <c r="D316" s="21"/>
      <c r="E316" s="21"/>
      <c r="F316" s="594">
        <v>0</v>
      </c>
      <c r="G316" s="592"/>
      <c r="H316" s="592"/>
      <c r="I316" s="29">
        <v>0</v>
      </c>
      <c r="J316" s="258"/>
      <c r="K316" s="23"/>
      <c r="L316" s="47">
        <v>0</v>
      </c>
      <c r="M316" s="283"/>
      <c r="N316" s="260" t="s">
        <v>805</v>
      </c>
    </row>
    <row r="317" spans="1:14" ht="13">
      <c r="A317" s="188">
        <v>46030</v>
      </c>
      <c r="B317" s="10" t="s">
        <v>721</v>
      </c>
      <c r="C317" s="7" t="s">
        <v>7</v>
      </c>
      <c r="D317" s="21" t="s">
        <v>544</v>
      </c>
      <c r="E317" s="21" t="s">
        <v>545</v>
      </c>
      <c r="F317" s="594">
        <v>-3.5</v>
      </c>
      <c r="G317" s="592">
        <v>640</v>
      </c>
      <c r="H317" s="592">
        <v>875.53</v>
      </c>
      <c r="I317" s="29">
        <v>0</v>
      </c>
      <c r="J317" s="258">
        <v>-0.26901419711489039</v>
      </c>
      <c r="K317" s="23">
        <v>4.8266743730428718E-2</v>
      </c>
      <c r="L317" s="47">
        <v>2240</v>
      </c>
      <c r="M317" s="283">
        <v>46191</v>
      </c>
      <c r="N317" s="260">
        <v>66</v>
      </c>
    </row>
    <row r="318" spans="1:14" ht="13">
      <c r="A318" s="188"/>
      <c r="B318" s="10"/>
      <c r="C318" s="7"/>
      <c r="D318" s="21"/>
      <c r="E318" s="21"/>
      <c r="F318" s="594">
        <v>0</v>
      </c>
      <c r="G318" s="592"/>
      <c r="H318" s="592"/>
      <c r="I318" s="29"/>
      <c r="J318" s="258"/>
      <c r="K318" s="23"/>
      <c r="L318" s="47"/>
      <c r="M318" s="283"/>
      <c r="N318" s="260"/>
    </row>
    <row r="319" spans="1:14" ht="13">
      <c r="A319" s="188">
        <v>46077</v>
      </c>
      <c r="B319" s="10" t="s">
        <v>720</v>
      </c>
      <c r="C319" s="7" t="s">
        <v>7</v>
      </c>
      <c r="D319" s="21" t="s">
        <v>544</v>
      </c>
      <c r="E319" s="21" t="s">
        <v>545</v>
      </c>
      <c r="F319" s="594">
        <v>-2.5</v>
      </c>
      <c r="G319" s="592">
        <v>600</v>
      </c>
      <c r="H319" s="592">
        <v>875.53</v>
      </c>
      <c r="I319" s="29">
        <v>0</v>
      </c>
      <c r="J319" s="258">
        <v>-0.31470080979520976</v>
      </c>
      <c r="K319" s="23">
        <v>0.1677020092714292</v>
      </c>
      <c r="L319" s="47">
        <v>1500</v>
      </c>
      <c r="M319" s="283">
        <v>46374</v>
      </c>
      <c r="N319" s="260">
        <v>249</v>
      </c>
    </row>
    <row r="320" spans="1:14" ht="13">
      <c r="A320" s="188">
        <v>46084</v>
      </c>
      <c r="B320" s="10" t="s">
        <v>721</v>
      </c>
      <c r="C320" s="7" t="s">
        <v>7</v>
      </c>
      <c r="D320" s="21" t="s">
        <v>544</v>
      </c>
      <c r="E320" s="21" t="s">
        <v>545</v>
      </c>
      <c r="F320" s="594">
        <v>-4.333333333333333</v>
      </c>
      <c r="G320" s="592">
        <v>580</v>
      </c>
      <c r="H320" s="592">
        <v>875.53</v>
      </c>
      <c r="I320" s="29">
        <v>0</v>
      </c>
      <c r="J320" s="258">
        <v>-0.33754411613536939</v>
      </c>
      <c r="K320" s="23">
        <v>0.14485891588286007</v>
      </c>
      <c r="L320" s="47">
        <v>2513.333333333333</v>
      </c>
      <c r="M320" s="283">
        <v>46374</v>
      </c>
      <c r="N320" s="260">
        <v>249</v>
      </c>
    </row>
    <row r="321" spans="1:14" ht="13">
      <c r="A321" s="188">
        <v>46094</v>
      </c>
      <c r="B321" s="10" t="s">
        <v>720</v>
      </c>
      <c r="C321" s="7" t="s">
        <v>7</v>
      </c>
      <c r="D321" s="21" t="s">
        <v>544</v>
      </c>
      <c r="E321" s="21" t="s">
        <v>545</v>
      </c>
      <c r="F321" s="594">
        <v>-2.6666666666666665</v>
      </c>
      <c r="G321" s="592">
        <v>550</v>
      </c>
      <c r="H321" s="592">
        <v>875.53</v>
      </c>
      <c r="I321" s="29">
        <v>0</v>
      </c>
      <c r="J321" s="258">
        <v>-0.37180907564560894</v>
      </c>
      <c r="K321" s="23">
        <v>0.11346990965841261</v>
      </c>
      <c r="L321" s="47">
        <v>1466.6666666666665</v>
      </c>
      <c r="M321" s="283">
        <v>46374</v>
      </c>
      <c r="N321" s="260">
        <v>249</v>
      </c>
    </row>
    <row r="322" spans="1:14" ht="13">
      <c r="A322" s="188">
        <v>45992</v>
      </c>
      <c r="B322" s="10" t="s">
        <v>332</v>
      </c>
      <c r="C322" s="7" t="s">
        <v>7</v>
      </c>
      <c r="D322" s="21" t="s">
        <v>544</v>
      </c>
      <c r="E322" s="21" t="s">
        <v>545</v>
      </c>
      <c r="F322" s="594">
        <v>-4.666666666666667</v>
      </c>
      <c r="G322" s="592">
        <v>450</v>
      </c>
      <c r="H322" s="592">
        <v>875.53</v>
      </c>
      <c r="I322" s="29">
        <v>0</v>
      </c>
      <c r="J322" s="258">
        <v>-0.48602560734640732</v>
      </c>
      <c r="K322" s="23">
        <v>3.8089724607665923E-2</v>
      </c>
      <c r="L322" s="47">
        <v>2100</v>
      </c>
      <c r="M322" s="283">
        <v>46374</v>
      </c>
      <c r="N322" s="260">
        <v>249</v>
      </c>
    </row>
    <row r="323" spans="1:14" ht="13">
      <c r="A323" s="188"/>
      <c r="B323" s="10"/>
      <c r="C323" s="7"/>
      <c r="D323" s="21"/>
      <c r="E323" s="21"/>
      <c r="F323" s="594">
        <v>0</v>
      </c>
      <c r="G323" s="592"/>
      <c r="H323" s="592"/>
      <c r="I323" s="29"/>
      <c r="J323" s="258"/>
      <c r="K323" s="23"/>
      <c r="L323" s="47"/>
      <c r="M323" s="283"/>
      <c r="N323" s="260"/>
    </row>
    <row r="324" spans="1:14" ht="13">
      <c r="A324" s="188"/>
      <c r="B324" s="10"/>
      <c r="C324" s="7"/>
      <c r="D324" s="21"/>
      <c r="E324" s="21"/>
      <c r="F324" s="594">
        <v>0</v>
      </c>
      <c r="G324" s="592"/>
      <c r="H324" s="592"/>
      <c r="I324" s="29"/>
      <c r="J324" s="750"/>
      <c r="K324" s="23"/>
      <c r="L324" s="47"/>
      <c r="M324" s="283"/>
      <c r="N324" s="260" t="s">
        <v>805</v>
      </c>
    </row>
    <row r="325" spans="1:14" ht="13">
      <c r="A325" s="188">
        <v>46035</v>
      </c>
      <c r="B325" s="10" t="s">
        <v>721</v>
      </c>
      <c r="C325" s="7" t="s">
        <v>7</v>
      </c>
      <c r="D325" s="21" t="s">
        <v>721</v>
      </c>
      <c r="E325" s="21" t="s">
        <v>517</v>
      </c>
      <c r="F325" s="594">
        <v>-16.666666666666668</v>
      </c>
      <c r="G325" s="592">
        <v>115</v>
      </c>
      <c r="H325" s="592">
        <v>177.9</v>
      </c>
      <c r="I325" s="29">
        <v>0</v>
      </c>
      <c r="J325" s="258">
        <v>-0.35356942102304667</v>
      </c>
      <c r="K325" s="23">
        <v>9.7929345948336143E-3</v>
      </c>
      <c r="L325" s="47">
        <v>1916.6666666666667</v>
      </c>
      <c r="M325" s="283">
        <v>46191</v>
      </c>
      <c r="N325" s="260">
        <v>66</v>
      </c>
    </row>
    <row r="326" spans="1:14" ht="13">
      <c r="A326" s="188"/>
      <c r="B326" s="10"/>
      <c r="C326" s="7"/>
      <c r="D326" s="21"/>
      <c r="E326" s="21"/>
      <c r="F326" s="594">
        <v>0</v>
      </c>
      <c r="G326" s="592"/>
      <c r="H326" s="592"/>
      <c r="I326" s="29"/>
      <c r="J326" s="258"/>
      <c r="K326" s="23"/>
      <c r="L326" s="47"/>
      <c r="M326" s="283"/>
      <c r="N326" s="260"/>
    </row>
    <row r="327" spans="1:14" ht="13">
      <c r="A327" s="188">
        <v>46066</v>
      </c>
      <c r="B327" s="10" t="s">
        <v>721</v>
      </c>
      <c r="C327" s="7" t="s">
        <v>7</v>
      </c>
      <c r="D327" s="21" t="s">
        <v>721</v>
      </c>
      <c r="E327" s="21" t="s">
        <v>517</v>
      </c>
      <c r="F327" s="594">
        <v>-16.666666666666668</v>
      </c>
      <c r="G327" s="592">
        <v>120</v>
      </c>
      <c r="H327" s="592">
        <v>177.9</v>
      </c>
      <c r="I327" s="29">
        <v>0</v>
      </c>
      <c r="J327" s="258">
        <v>-0.32546374367622266</v>
      </c>
      <c r="K327" s="23">
        <v>0.15676133005507076</v>
      </c>
      <c r="L327" s="47">
        <v>2000.0000000000002</v>
      </c>
      <c r="M327" s="283">
        <v>46374</v>
      </c>
      <c r="N327" s="260">
        <v>249</v>
      </c>
    </row>
    <row r="328" spans="1:14" ht="13">
      <c r="A328" s="188">
        <v>46084</v>
      </c>
      <c r="B328" s="10" t="s">
        <v>721</v>
      </c>
      <c r="C328" s="7" t="s">
        <v>7</v>
      </c>
      <c r="D328" s="21" t="s">
        <v>721</v>
      </c>
      <c r="E328" s="21" t="s">
        <v>517</v>
      </c>
      <c r="F328" s="594">
        <v>-13.333333333333334</v>
      </c>
      <c r="G328" s="592">
        <v>110</v>
      </c>
      <c r="H328" s="592">
        <v>177.9</v>
      </c>
      <c r="I328" s="29">
        <v>0</v>
      </c>
      <c r="J328" s="258">
        <v>-0.38167509836987068</v>
      </c>
      <c r="K328" s="23">
        <v>0.10512990867060873</v>
      </c>
      <c r="L328" s="47">
        <v>1466.6666666666667</v>
      </c>
      <c r="M328" s="283">
        <v>46374</v>
      </c>
      <c r="N328" s="260">
        <v>249</v>
      </c>
    </row>
    <row r="329" spans="1:14" ht="13">
      <c r="A329" s="188">
        <v>46094</v>
      </c>
      <c r="B329" s="10" t="s">
        <v>720</v>
      </c>
      <c r="C329" s="7" t="s">
        <v>7</v>
      </c>
      <c r="D329" s="21" t="s">
        <v>721</v>
      </c>
      <c r="E329" s="21" t="s">
        <v>517</v>
      </c>
      <c r="F329" s="594">
        <v>-13.333333333333334</v>
      </c>
      <c r="G329" s="592">
        <v>105</v>
      </c>
      <c r="H329" s="592">
        <v>177.9</v>
      </c>
      <c r="I329" s="29">
        <v>0</v>
      </c>
      <c r="J329" s="258">
        <v>-0.4097807757166948</v>
      </c>
      <c r="K329" s="23">
        <v>8.3204445585937301E-2</v>
      </c>
      <c r="L329" s="47">
        <v>1400</v>
      </c>
      <c r="M329" s="283">
        <v>46374</v>
      </c>
      <c r="N329" s="260">
        <v>249</v>
      </c>
    </row>
    <row r="330" spans="1:14" ht="13">
      <c r="A330" s="188">
        <v>45992</v>
      </c>
      <c r="B330" s="10" t="s">
        <v>332</v>
      </c>
      <c r="C330" s="7" t="s">
        <v>7</v>
      </c>
      <c r="D330" s="21" t="s">
        <v>721</v>
      </c>
      <c r="E330" s="21" t="s">
        <v>517</v>
      </c>
      <c r="F330" s="594">
        <v>-23.333333333333332</v>
      </c>
      <c r="G330" s="592">
        <v>75</v>
      </c>
      <c r="H330" s="592">
        <v>177.9</v>
      </c>
      <c r="I330" s="29">
        <v>0</v>
      </c>
      <c r="J330" s="258">
        <v>-0.57841483979763919</v>
      </c>
      <c r="K330" s="23">
        <v>9.8708136684071395E-3</v>
      </c>
      <c r="L330" s="47">
        <v>1750</v>
      </c>
      <c r="M330" s="283">
        <v>46374</v>
      </c>
      <c r="N330" s="260">
        <v>249</v>
      </c>
    </row>
    <row r="331" spans="1:14" ht="13">
      <c r="A331" s="188"/>
      <c r="B331" s="10"/>
      <c r="C331" s="7"/>
      <c r="D331" s="21"/>
      <c r="E331" s="21"/>
      <c r="F331" s="594">
        <v>0</v>
      </c>
      <c r="G331" s="592"/>
      <c r="H331" s="592"/>
      <c r="I331" s="29"/>
      <c r="J331" s="258"/>
      <c r="K331" s="23"/>
      <c r="L331" s="47">
        <v>0</v>
      </c>
      <c r="M331" s="114"/>
      <c r="N331" s="260"/>
    </row>
    <row r="332" spans="1:14" ht="13">
      <c r="A332" s="188">
        <v>46013</v>
      </c>
      <c r="B332" s="10" t="s">
        <v>721</v>
      </c>
      <c r="C332" s="7" t="s">
        <v>7</v>
      </c>
      <c r="D332" s="21" t="s">
        <v>268</v>
      </c>
      <c r="E332" s="21" t="s">
        <v>269</v>
      </c>
      <c r="F332" s="594">
        <v>-2</v>
      </c>
      <c r="G332" s="592">
        <v>300</v>
      </c>
      <c r="H332" s="592">
        <v>351.40499999999997</v>
      </c>
      <c r="I332" s="29">
        <v>0</v>
      </c>
      <c r="J332" s="258">
        <v>-0.1462842019891577</v>
      </c>
      <c r="K332" s="23">
        <v>0.35260473773525192</v>
      </c>
      <c r="L332" s="47">
        <v>600</v>
      </c>
      <c r="M332" s="283">
        <v>46374</v>
      </c>
      <c r="N332" s="260">
        <v>249</v>
      </c>
    </row>
    <row r="333" spans="1:14" ht="13">
      <c r="A333" s="188">
        <v>46050</v>
      </c>
      <c r="B333" s="10" t="s">
        <v>720</v>
      </c>
      <c r="C333" s="7" t="s">
        <v>7</v>
      </c>
      <c r="D333" s="21" t="s">
        <v>268</v>
      </c>
      <c r="E333" s="21" t="s">
        <v>269</v>
      </c>
      <c r="F333" s="594">
        <v>-3</v>
      </c>
      <c r="G333" s="592">
        <v>230</v>
      </c>
      <c r="H333" s="592">
        <v>351.40499999999997</v>
      </c>
      <c r="I333" s="29">
        <v>0</v>
      </c>
      <c r="J333" s="258">
        <v>-0.34548455485835428</v>
      </c>
      <c r="K333" s="23">
        <v>0.12243135947672533</v>
      </c>
      <c r="L333" s="47">
        <v>690</v>
      </c>
      <c r="M333" s="283">
        <v>46374</v>
      </c>
      <c r="N333" s="260">
        <v>249</v>
      </c>
    </row>
    <row r="334" spans="1:14" ht="13">
      <c r="A334" s="188">
        <v>46076</v>
      </c>
      <c r="B334" s="10" t="s">
        <v>720</v>
      </c>
      <c r="C334" s="7" t="s">
        <v>7</v>
      </c>
      <c r="D334" s="21" t="s">
        <v>268</v>
      </c>
      <c r="E334" s="21" t="s">
        <v>269</v>
      </c>
      <c r="F334" s="594">
        <v>-4</v>
      </c>
      <c r="G334" s="592">
        <v>220</v>
      </c>
      <c r="H334" s="592">
        <v>351.40499999999997</v>
      </c>
      <c r="I334" s="29">
        <v>0</v>
      </c>
      <c r="J334" s="258">
        <v>-0.37394174812538239</v>
      </c>
      <c r="K334" s="23">
        <v>9.7800931748520753E-2</v>
      </c>
      <c r="L334" s="47">
        <v>880</v>
      </c>
      <c r="M334" s="283">
        <v>46374</v>
      </c>
      <c r="N334" s="260">
        <v>249</v>
      </c>
    </row>
    <row r="335" spans="1:14" ht="13">
      <c r="A335" s="188">
        <v>46091</v>
      </c>
      <c r="B335" s="10" t="s">
        <v>720</v>
      </c>
      <c r="C335" s="7" t="s">
        <v>7</v>
      </c>
      <c r="D335" s="21" t="s">
        <v>268</v>
      </c>
      <c r="E335" s="21" t="s">
        <v>269</v>
      </c>
      <c r="F335" s="594">
        <v>-4</v>
      </c>
      <c r="G335" s="592">
        <v>210</v>
      </c>
      <c r="H335" s="592">
        <v>351.40499999999997</v>
      </c>
      <c r="I335" s="29">
        <v>0</v>
      </c>
      <c r="J335" s="258">
        <v>-0.40239894139241039</v>
      </c>
      <c r="K335" s="23">
        <v>7.6135255939705243E-2</v>
      </c>
      <c r="L335" s="47">
        <v>840</v>
      </c>
      <c r="M335" s="283">
        <v>46374</v>
      </c>
      <c r="N335" s="260">
        <v>249</v>
      </c>
    </row>
    <row r="336" spans="1:14" ht="13">
      <c r="A336" s="188">
        <v>46078</v>
      </c>
      <c r="B336" s="10" t="s">
        <v>108</v>
      </c>
      <c r="C336" s="7" t="s">
        <v>7</v>
      </c>
      <c r="D336" s="21" t="s">
        <v>268</v>
      </c>
      <c r="E336" s="21" t="s">
        <v>269</v>
      </c>
      <c r="F336" s="594">
        <v>-4</v>
      </c>
      <c r="G336" s="592">
        <v>200</v>
      </c>
      <c r="H336" s="592">
        <v>351.40499999999997</v>
      </c>
      <c r="I336" s="29">
        <v>0</v>
      </c>
      <c r="J336" s="258">
        <v>-0.43085613465943851</v>
      </c>
      <c r="K336" s="23">
        <v>5.75550149618963E-2</v>
      </c>
      <c r="L336" s="47">
        <v>800</v>
      </c>
      <c r="M336" s="283">
        <v>46374</v>
      </c>
      <c r="N336" s="260">
        <v>249</v>
      </c>
    </row>
    <row r="337" spans="1:14" ht="13">
      <c r="A337" s="188"/>
      <c r="B337" s="10"/>
      <c r="C337" s="7"/>
      <c r="D337" s="21"/>
      <c r="E337" s="21"/>
      <c r="F337" s="594">
        <v>0</v>
      </c>
      <c r="G337" s="592"/>
      <c r="H337" s="592"/>
      <c r="I337" s="29"/>
      <c r="J337" s="258"/>
      <c r="K337" s="23"/>
      <c r="L337" s="47"/>
      <c r="M337" s="283"/>
      <c r="N337" s="260"/>
    </row>
    <row r="338" spans="1:14" ht="13">
      <c r="A338" s="188">
        <v>46003</v>
      </c>
      <c r="B338" s="10" t="s">
        <v>720</v>
      </c>
      <c r="C338" s="7" t="s">
        <v>7</v>
      </c>
      <c r="D338" s="21" t="s">
        <v>161</v>
      </c>
      <c r="E338" s="21" t="s">
        <v>162</v>
      </c>
      <c r="F338" s="594">
        <v>-5</v>
      </c>
      <c r="G338" s="592">
        <v>235</v>
      </c>
      <c r="H338" s="592">
        <v>316.26</v>
      </c>
      <c r="I338" s="29">
        <v>0</v>
      </c>
      <c r="J338" s="258">
        <v>-0.25694049200025293</v>
      </c>
      <c r="K338" s="23">
        <v>5.9287640094185495E-2</v>
      </c>
      <c r="L338" s="47">
        <v>1175</v>
      </c>
      <c r="M338" s="283">
        <v>46191</v>
      </c>
      <c r="N338" s="260">
        <v>66</v>
      </c>
    </row>
    <row r="339" spans="1:14" ht="13">
      <c r="A339" s="188">
        <v>46006</v>
      </c>
      <c r="B339" s="10" t="s">
        <v>720</v>
      </c>
      <c r="C339" s="7" t="s">
        <v>7</v>
      </c>
      <c r="D339" s="21" t="s">
        <v>161</v>
      </c>
      <c r="E339" s="21" t="s">
        <v>162</v>
      </c>
      <c r="F339" s="594">
        <v>-5</v>
      </c>
      <c r="G339" s="592">
        <v>230</v>
      </c>
      <c r="H339" s="592">
        <v>316.26</v>
      </c>
      <c r="I339" s="29">
        <v>0</v>
      </c>
      <c r="J339" s="258">
        <v>-0.27275026876620501</v>
      </c>
      <c r="K339" s="23">
        <v>4.6713564867160121E-2</v>
      </c>
      <c r="L339" s="47">
        <v>1150</v>
      </c>
      <c r="M339" s="283">
        <v>46191</v>
      </c>
      <c r="N339" s="260">
        <v>66</v>
      </c>
    </row>
    <row r="340" spans="1:14" ht="13">
      <c r="A340" s="188"/>
      <c r="B340" s="10"/>
      <c r="C340" s="7"/>
      <c r="D340" s="21"/>
      <c r="E340" s="21"/>
      <c r="F340" s="594">
        <v>0</v>
      </c>
      <c r="G340" s="592"/>
      <c r="H340" s="592"/>
      <c r="I340" s="29">
        <v>0</v>
      </c>
      <c r="J340" s="258"/>
      <c r="K340" s="23"/>
      <c r="L340" s="47"/>
      <c r="M340" s="283"/>
      <c r="N340" s="260"/>
    </row>
    <row r="341" spans="1:14" ht="13">
      <c r="A341" s="188"/>
      <c r="B341" s="10"/>
      <c r="C341" s="7" t="s">
        <v>7</v>
      </c>
      <c r="D341" s="21" t="s">
        <v>717</v>
      </c>
      <c r="E341" s="21" t="s">
        <v>718</v>
      </c>
      <c r="F341" s="594">
        <v>0</v>
      </c>
      <c r="G341" s="592"/>
      <c r="H341" s="592">
        <v>231.38</v>
      </c>
      <c r="I341" s="29">
        <v>0</v>
      </c>
      <c r="J341" s="258">
        <v>0</v>
      </c>
      <c r="K341" s="23">
        <v>0</v>
      </c>
      <c r="L341" s="47">
        <v>0</v>
      </c>
      <c r="M341" s="283"/>
      <c r="N341" s="260" t="s">
        <v>805</v>
      </c>
    </row>
    <row r="342" spans="1:14" ht="13">
      <c r="A342" s="188"/>
      <c r="B342" s="10"/>
      <c r="C342" s="7" t="s">
        <v>7</v>
      </c>
      <c r="D342" s="21" t="s">
        <v>717</v>
      </c>
      <c r="E342" s="21" t="s">
        <v>718</v>
      </c>
      <c r="F342" s="594">
        <v>0</v>
      </c>
      <c r="G342" s="592"/>
      <c r="H342" s="592">
        <v>231.38</v>
      </c>
      <c r="I342" s="29">
        <v>0</v>
      </c>
      <c r="J342" s="258">
        <v>0</v>
      </c>
      <c r="K342" s="23">
        <v>0</v>
      </c>
      <c r="L342" s="47">
        <v>0</v>
      </c>
      <c r="M342" s="283"/>
      <c r="N342" s="260" t="s">
        <v>805</v>
      </c>
    </row>
    <row r="343" spans="1:14" ht="13">
      <c r="A343" s="188"/>
      <c r="B343" s="10"/>
      <c r="C343" s="7"/>
      <c r="D343" s="21"/>
      <c r="E343" s="21"/>
      <c r="F343" s="594">
        <v>0</v>
      </c>
      <c r="G343" s="592"/>
      <c r="H343" s="592"/>
      <c r="I343" s="29">
        <v>0</v>
      </c>
      <c r="J343" s="258"/>
      <c r="K343" s="23"/>
      <c r="L343" s="47">
        <v>0</v>
      </c>
      <c r="M343" s="283"/>
      <c r="N343" s="260"/>
    </row>
    <row r="344" spans="1:14" ht="13">
      <c r="A344" s="188">
        <v>46045</v>
      </c>
      <c r="B344" s="10" t="s">
        <v>720</v>
      </c>
      <c r="C344" s="7" t="s">
        <v>7</v>
      </c>
      <c r="D344" s="21" t="s">
        <v>275</v>
      </c>
      <c r="E344" s="21" t="s">
        <v>333</v>
      </c>
      <c r="F344" s="594">
        <v>-6.666666666666667</v>
      </c>
      <c r="G344" s="592">
        <v>144</v>
      </c>
      <c r="H344" s="592">
        <v>188.34</v>
      </c>
      <c r="I344" s="29">
        <v>0</v>
      </c>
      <c r="J344" s="258">
        <v>-0.23542529467983431</v>
      </c>
      <c r="K344" s="23">
        <v>0.12795133169907816</v>
      </c>
      <c r="L344" s="47">
        <v>960</v>
      </c>
      <c r="M344" s="283">
        <v>46191</v>
      </c>
      <c r="N344" s="260">
        <v>66</v>
      </c>
    </row>
    <row r="345" spans="1:14" ht="13">
      <c r="A345" s="188">
        <v>46015</v>
      </c>
      <c r="B345" s="10" t="s">
        <v>721</v>
      </c>
      <c r="C345" s="7" t="s">
        <v>7</v>
      </c>
      <c r="D345" s="21" t="s">
        <v>275</v>
      </c>
      <c r="E345" s="21" t="s">
        <v>333</v>
      </c>
      <c r="F345" s="594">
        <v>-6.666666666666667</v>
      </c>
      <c r="G345" s="592">
        <v>125</v>
      </c>
      <c r="H345" s="592">
        <v>188.34</v>
      </c>
      <c r="I345" s="29">
        <v>0</v>
      </c>
      <c r="J345" s="258">
        <v>-0.33630667940957848</v>
      </c>
      <c r="K345" s="23">
        <v>3.786237229332523E-2</v>
      </c>
      <c r="L345" s="47">
        <v>833.33333333333337</v>
      </c>
      <c r="M345" s="283">
        <v>46191</v>
      </c>
      <c r="N345" s="260">
        <v>66</v>
      </c>
    </row>
    <row r="346" spans="1:14" ht="13">
      <c r="A346" s="188"/>
      <c r="B346" s="10"/>
      <c r="C346" s="7"/>
      <c r="D346" s="21"/>
      <c r="E346" s="21"/>
      <c r="F346" s="594">
        <v>0</v>
      </c>
      <c r="G346" s="592"/>
      <c r="H346" s="592"/>
      <c r="I346" s="29"/>
      <c r="J346" s="258"/>
      <c r="K346" s="23"/>
      <c r="L346" s="47"/>
      <c r="M346" s="283"/>
      <c r="N346" s="260"/>
    </row>
    <row r="347" spans="1:14" ht="13">
      <c r="A347" s="188">
        <v>46090</v>
      </c>
      <c r="B347" s="10" t="s">
        <v>108</v>
      </c>
      <c r="C347" s="7" t="s">
        <v>7</v>
      </c>
      <c r="D347" s="21" t="s">
        <v>275</v>
      </c>
      <c r="E347" s="21" t="s">
        <v>333</v>
      </c>
      <c r="F347" s="594">
        <v>-10</v>
      </c>
      <c r="G347" s="592">
        <v>125</v>
      </c>
      <c r="H347" s="592">
        <v>188.34</v>
      </c>
      <c r="I347" s="29">
        <v>0</v>
      </c>
      <c r="J347" s="258">
        <v>-0.33630667940957848</v>
      </c>
      <c r="K347" s="23">
        <v>0.21091526026472662</v>
      </c>
      <c r="L347" s="47">
        <v>1250</v>
      </c>
      <c r="M347" s="283">
        <v>46374</v>
      </c>
      <c r="N347" s="260">
        <v>249</v>
      </c>
    </row>
    <row r="348" spans="1:14" ht="13">
      <c r="A348" s="188">
        <v>46013</v>
      </c>
      <c r="B348" s="10" t="s">
        <v>721</v>
      </c>
      <c r="C348" s="7" t="s">
        <v>7</v>
      </c>
      <c r="D348" s="21" t="s">
        <v>275</v>
      </c>
      <c r="E348" s="21" t="s">
        <v>333</v>
      </c>
      <c r="F348" s="594">
        <v>-10</v>
      </c>
      <c r="G348" s="592">
        <v>120</v>
      </c>
      <c r="H348" s="592">
        <v>188.34</v>
      </c>
      <c r="I348" s="29">
        <v>0</v>
      </c>
      <c r="J348" s="258">
        <v>-0.36285441223319526</v>
      </c>
      <c r="K348" s="23">
        <v>0.18451378538150348</v>
      </c>
      <c r="L348" s="47">
        <v>1200</v>
      </c>
      <c r="M348" s="283">
        <v>46374</v>
      </c>
      <c r="N348" s="260">
        <v>249</v>
      </c>
    </row>
    <row r="349" spans="1:14" ht="13">
      <c r="A349" s="188">
        <v>46050</v>
      </c>
      <c r="B349" s="10" t="s">
        <v>720</v>
      </c>
      <c r="C349" s="7" t="s">
        <v>7</v>
      </c>
      <c r="D349" s="21" t="s">
        <v>275</v>
      </c>
      <c r="E349" s="21" t="s">
        <v>333</v>
      </c>
      <c r="F349" s="594">
        <v>-10</v>
      </c>
      <c r="G349" s="592">
        <v>115</v>
      </c>
      <c r="H349" s="592">
        <v>188.34</v>
      </c>
      <c r="I349" s="29">
        <v>0</v>
      </c>
      <c r="J349" s="258">
        <v>-0.38940214505681214</v>
      </c>
      <c r="K349" s="23">
        <v>0.15928788000695981</v>
      </c>
      <c r="L349" s="47">
        <v>1150</v>
      </c>
      <c r="M349" s="283">
        <v>46374</v>
      </c>
      <c r="N349" s="260">
        <v>249</v>
      </c>
    </row>
    <row r="350" spans="1:14" ht="13">
      <c r="A350" s="188">
        <v>46077</v>
      </c>
      <c r="B350" s="10" t="s">
        <v>108</v>
      </c>
      <c r="C350" s="7" t="s">
        <v>7</v>
      </c>
      <c r="D350" s="21" t="s">
        <v>275</v>
      </c>
      <c r="E350" s="21" t="s">
        <v>333</v>
      </c>
      <c r="F350" s="594">
        <v>-11.666666666666666</v>
      </c>
      <c r="G350" s="592">
        <v>110</v>
      </c>
      <c r="H350" s="592">
        <v>188.34</v>
      </c>
      <c r="I350" s="29">
        <v>0</v>
      </c>
      <c r="J350" s="258">
        <v>-0.41594987788042903</v>
      </c>
      <c r="K350" s="23">
        <v>0.135472911428591</v>
      </c>
      <c r="L350" s="47">
        <v>1283.3333333333333</v>
      </c>
      <c r="M350" s="283">
        <v>46374</v>
      </c>
      <c r="N350" s="260">
        <v>249</v>
      </c>
    </row>
    <row r="351" spans="1:14" ht="13">
      <c r="A351" s="188">
        <v>45993</v>
      </c>
      <c r="B351" s="10" t="s">
        <v>721</v>
      </c>
      <c r="C351" s="7" t="s">
        <v>7</v>
      </c>
      <c r="D351" s="21" t="s">
        <v>275</v>
      </c>
      <c r="E351" s="21" t="s">
        <v>333</v>
      </c>
      <c r="F351" s="594">
        <v>-10</v>
      </c>
      <c r="G351" s="592">
        <v>100</v>
      </c>
      <c r="H351" s="592">
        <v>188.34</v>
      </c>
      <c r="I351" s="29">
        <v>0</v>
      </c>
      <c r="J351" s="258">
        <v>-0.46904534352766269</v>
      </c>
      <c r="K351" s="23">
        <v>9.2950945278955616E-2</v>
      </c>
      <c r="L351" s="47">
        <v>1000</v>
      </c>
      <c r="M351" s="283">
        <v>46374</v>
      </c>
      <c r="N351" s="260">
        <v>249</v>
      </c>
    </row>
    <row r="352" spans="1:14" ht="13">
      <c r="A352" s="188">
        <v>46077</v>
      </c>
      <c r="B352" s="10" t="s">
        <v>721</v>
      </c>
      <c r="C352" s="7" t="s">
        <v>7</v>
      </c>
      <c r="D352" s="21" t="s">
        <v>275</v>
      </c>
      <c r="E352" s="21" t="s">
        <v>333</v>
      </c>
      <c r="F352" s="594">
        <v>-11.666666666666666</v>
      </c>
      <c r="G352" s="592">
        <v>95</v>
      </c>
      <c r="H352" s="592">
        <v>188.34</v>
      </c>
      <c r="I352" s="29">
        <v>0</v>
      </c>
      <c r="J352" s="258">
        <v>-0.49559307635127958</v>
      </c>
      <c r="K352" s="23">
        <v>7.4619112621568298E-2</v>
      </c>
      <c r="L352" s="47">
        <v>1108.3333333333333</v>
      </c>
      <c r="M352" s="283">
        <v>46374</v>
      </c>
      <c r="N352" s="260">
        <v>249</v>
      </c>
    </row>
    <row r="353" spans="1:14" ht="13">
      <c r="A353" s="188">
        <v>46080</v>
      </c>
      <c r="B353" s="10" t="s">
        <v>721</v>
      </c>
      <c r="C353" s="7" t="s">
        <v>7</v>
      </c>
      <c r="D353" s="21" t="s">
        <v>275</v>
      </c>
      <c r="E353" s="21" t="s">
        <v>333</v>
      </c>
      <c r="F353" s="594">
        <v>-11.666666666666666</v>
      </c>
      <c r="G353" s="592">
        <v>90</v>
      </c>
      <c r="H353" s="592">
        <v>188.34</v>
      </c>
      <c r="I353" s="29">
        <v>0</v>
      </c>
      <c r="J353" s="258">
        <v>-0.52214080917489647</v>
      </c>
      <c r="K353" s="23">
        <v>5.8427330544540544E-2</v>
      </c>
      <c r="L353" s="47">
        <v>1050</v>
      </c>
      <c r="M353" s="283">
        <v>46374</v>
      </c>
      <c r="N353" s="260">
        <v>249</v>
      </c>
    </row>
    <row r="354" spans="1:14" ht="13">
      <c r="A354" s="188"/>
      <c r="B354" s="10"/>
      <c r="C354" s="7"/>
      <c r="D354" s="21"/>
      <c r="E354" s="21"/>
      <c r="F354" s="594">
        <v>0</v>
      </c>
      <c r="G354" s="592"/>
      <c r="H354" s="592"/>
      <c r="I354" s="29"/>
      <c r="J354" s="258"/>
      <c r="K354" s="23"/>
      <c r="L354" s="47"/>
      <c r="M354" s="114"/>
      <c r="N354" s="260"/>
    </row>
    <row r="355" spans="1:14" ht="13">
      <c r="A355" s="188">
        <v>46006</v>
      </c>
      <c r="B355" s="10" t="s">
        <v>720</v>
      </c>
      <c r="C355" s="7" t="s">
        <v>7</v>
      </c>
      <c r="D355" s="21" t="s">
        <v>160</v>
      </c>
      <c r="E355" s="21" t="s">
        <v>160</v>
      </c>
      <c r="F355" s="594">
        <v>-4.666666666666667</v>
      </c>
      <c r="G355" s="592">
        <v>200</v>
      </c>
      <c r="H355" s="592">
        <v>257.48</v>
      </c>
      <c r="I355" s="29">
        <v>0</v>
      </c>
      <c r="J355" s="258">
        <v>-0.22324064004971267</v>
      </c>
      <c r="K355" s="23">
        <v>6.4714132214012843E-2</v>
      </c>
      <c r="L355" s="47">
        <v>933.33333333333337</v>
      </c>
      <c r="M355" s="283">
        <v>46191</v>
      </c>
      <c r="N355" s="260">
        <v>66</v>
      </c>
    </row>
    <row r="356" spans="1:14" ht="13">
      <c r="A356" s="188">
        <v>46034</v>
      </c>
      <c r="B356" s="10" t="s">
        <v>721</v>
      </c>
      <c r="C356" s="7" t="s">
        <v>7</v>
      </c>
      <c r="D356" s="21" t="s">
        <v>160</v>
      </c>
      <c r="E356" s="21" t="s">
        <v>160</v>
      </c>
      <c r="F356" s="594">
        <v>-5</v>
      </c>
      <c r="G356" s="592">
        <v>190</v>
      </c>
      <c r="H356" s="592">
        <v>257.48</v>
      </c>
      <c r="I356" s="29">
        <v>0</v>
      </c>
      <c r="J356" s="258">
        <v>-0.26207860804722705</v>
      </c>
      <c r="K356" s="23">
        <v>3.3504684331245295E-2</v>
      </c>
      <c r="L356" s="47">
        <v>950</v>
      </c>
      <c r="M356" s="283">
        <v>46191</v>
      </c>
      <c r="N356" s="260">
        <v>66</v>
      </c>
    </row>
    <row r="357" spans="1:14" ht="13">
      <c r="A357" s="188"/>
      <c r="B357" s="10"/>
      <c r="C357" s="7"/>
      <c r="D357" s="21"/>
      <c r="E357" s="21"/>
      <c r="F357" s="594">
        <v>0</v>
      </c>
      <c r="G357" s="592"/>
      <c r="H357" s="592"/>
      <c r="I357" s="29"/>
      <c r="J357" s="258"/>
      <c r="K357" s="23"/>
      <c r="L357" s="47"/>
      <c r="M357" s="283"/>
      <c r="N357" s="260"/>
    </row>
    <row r="358" spans="1:14" ht="13">
      <c r="A358" s="188">
        <v>46098</v>
      </c>
      <c r="B358" s="10" t="s">
        <v>721</v>
      </c>
      <c r="C358" s="7" t="s">
        <v>7</v>
      </c>
      <c r="D358" s="21" t="s">
        <v>160</v>
      </c>
      <c r="E358" s="21" t="s">
        <v>160</v>
      </c>
      <c r="F358" s="594">
        <v>-8.3333333333333339</v>
      </c>
      <c r="G358" s="592">
        <v>160</v>
      </c>
      <c r="H358" s="592">
        <v>257.48</v>
      </c>
      <c r="I358" s="29">
        <v>0</v>
      </c>
      <c r="J358" s="258">
        <v>-0.37859251203977007</v>
      </c>
      <c r="K358" s="23">
        <v>7.5648218442340417E-2</v>
      </c>
      <c r="L358" s="47">
        <v>1333.3333333333335</v>
      </c>
      <c r="M358" s="283">
        <v>46374</v>
      </c>
      <c r="N358" s="260">
        <v>249</v>
      </c>
    </row>
    <row r="359" spans="1:14" ht="13">
      <c r="A359" s="188"/>
      <c r="B359" s="10"/>
      <c r="C359" s="7"/>
      <c r="D359" s="21"/>
      <c r="E359" s="21"/>
      <c r="F359" s="594">
        <v>0</v>
      </c>
      <c r="G359" s="592"/>
      <c r="H359" s="592"/>
      <c r="I359" s="29"/>
      <c r="J359" s="258"/>
      <c r="K359" s="23"/>
      <c r="L359" s="47"/>
      <c r="M359" s="283"/>
      <c r="N359" s="260" t="s">
        <v>805</v>
      </c>
    </row>
    <row r="360" spans="1:14" ht="13">
      <c r="A360" s="188"/>
      <c r="B360" s="10"/>
      <c r="C360" s="7"/>
      <c r="D360" s="21"/>
      <c r="E360" s="21"/>
      <c r="F360" s="594">
        <v>0</v>
      </c>
      <c r="G360" s="592"/>
      <c r="H360" s="592"/>
      <c r="I360" s="29"/>
      <c r="J360" s="258"/>
      <c r="K360" s="23"/>
      <c r="L360" s="47">
        <v>0</v>
      </c>
      <c r="M360" s="283"/>
      <c r="N360" s="260" t="s">
        <v>805</v>
      </c>
    </row>
    <row r="361" spans="1:14" ht="13">
      <c r="A361" s="188">
        <v>46052</v>
      </c>
      <c r="B361" s="10" t="s">
        <v>720</v>
      </c>
      <c r="C361" s="7" t="s">
        <v>7</v>
      </c>
      <c r="D361" s="21" t="s">
        <v>722</v>
      </c>
      <c r="E361" s="21" t="s">
        <v>197</v>
      </c>
      <c r="F361" s="594">
        <v>-2.3333333333333335</v>
      </c>
      <c r="G361" s="592">
        <v>320</v>
      </c>
      <c r="H361" s="592">
        <v>376.76499999999999</v>
      </c>
      <c r="I361" s="29">
        <v>0</v>
      </c>
      <c r="J361" s="258">
        <v>-0.15066420713176643</v>
      </c>
      <c r="K361" s="23">
        <v>0.32770902405478608</v>
      </c>
      <c r="L361" s="47">
        <v>746.66666666666674</v>
      </c>
      <c r="M361" s="283">
        <v>46374</v>
      </c>
      <c r="N361" s="260">
        <v>249</v>
      </c>
    </row>
    <row r="362" spans="1:14" ht="13">
      <c r="A362" s="188">
        <v>46059</v>
      </c>
      <c r="B362" s="10" t="s">
        <v>720</v>
      </c>
      <c r="C362" s="7" t="s">
        <v>7</v>
      </c>
      <c r="D362" s="21" t="s">
        <v>722</v>
      </c>
      <c r="E362" s="21" t="s">
        <v>197</v>
      </c>
      <c r="F362" s="594">
        <v>-3</v>
      </c>
      <c r="G362" s="592">
        <v>300</v>
      </c>
      <c r="H362" s="592">
        <v>376.76499999999999</v>
      </c>
      <c r="I362" s="29">
        <v>0</v>
      </c>
      <c r="J362" s="258">
        <v>-0.203747694186031</v>
      </c>
      <c r="K362" s="23">
        <v>0.25769666629669613</v>
      </c>
      <c r="L362" s="47">
        <v>900</v>
      </c>
      <c r="M362" s="283">
        <v>46374</v>
      </c>
      <c r="N362" s="260">
        <v>249</v>
      </c>
    </row>
    <row r="363" spans="1:14" ht="13">
      <c r="A363" s="188"/>
      <c r="B363" s="10"/>
      <c r="C363" s="7"/>
      <c r="D363" s="21"/>
      <c r="E363" s="21"/>
      <c r="F363" s="594">
        <v>0</v>
      </c>
      <c r="G363" s="592"/>
      <c r="H363" s="592"/>
      <c r="I363" s="29">
        <v>0</v>
      </c>
      <c r="J363" s="258"/>
      <c r="K363" s="23"/>
      <c r="L363" s="47">
        <v>0</v>
      </c>
      <c r="M363" s="283"/>
      <c r="N363" s="260" t="s">
        <v>805</v>
      </c>
    </row>
    <row r="364" spans="1:14" ht="13">
      <c r="A364" s="188">
        <v>46100</v>
      </c>
      <c r="B364" s="10" t="s">
        <v>720</v>
      </c>
      <c r="C364" s="7" t="s">
        <v>7</v>
      </c>
      <c r="D364" s="21" t="s">
        <v>495</v>
      </c>
      <c r="E364" s="21" t="s">
        <v>495</v>
      </c>
      <c r="F364" s="594">
        <v>-3.3333333333333335</v>
      </c>
      <c r="G364" s="592">
        <v>360</v>
      </c>
      <c r="H364" s="592">
        <v>627.72</v>
      </c>
      <c r="I364" s="29">
        <v>0</v>
      </c>
      <c r="J364" s="840">
        <v>-0.42649588988721088</v>
      </c>
      <c r="K364" s="23">
        <v>7.8972293148209124E-2</v>
      </c>
      <c r="L364" s="47">
        <v>1200</v>
      </c>
      <c r="M364" s="283">
        <v>46374</v>
      </c>
      <c r="N364" s="260">
        <v>249</v>
      </c>
    </row>
    <row r="365" spans="1:14" ht="13">
      <c r="A365" s="188"/>
      <c r="B365" s="10"/>
      <c r="C365" s="7"/>
      <c r="D365" s="21"/>
      <c r="E365" s="21"/>
      <c r="F365" s="594">
        <v>0</v>
      </c>
      <c r="G365" s="592"/>
      <c r="H365" s="592"/>
      <c r="I365" s="29"/>
      <c r="J365" s="258"/>
      <c r="K365" s="23"/>
      <c r="L365" s="47"/>
      <c r="M365" s="283"/>
      <c r="N365" s="260"/>
    </row>
    <row r="366" spans="1:14" ht="13">
      <c r="A366" s="67"/>
      <c r="B366" s="10"/>
      <c r="C366" s="7"/>
      <c r="D366" s="21"/>
      <c r="E366" s="21"/>
      <c r="F366" s="109">
        <v>0</v>
      </c>
      <c r="G366" s="22"/>
      <c r="H366" s="22"/>
      <c r="I366" s="29">
        <v>0</v>
      </c>
      <c r="J366" s="23"/>
      <c r="K366" s="23"/>
      <c r="L366" s="47"/>
      <c r="M366" s="114"/>
      <c r="N366" s="238"/>
    </row>
    <row r="367" spans="1:14" ht="13.5" thickBot="1">
      <c r="A367" s="71"/>
      <c r="B367" s="32"/>
      <c r="C367" s="116"/>
      <c r="D367" s="33"/>
      <c r="E367" s="33"/>
      <c r="F367" s="117"/>
      <c r="G367" s="34"/>
      <c r="H367" s="118"/>
      <c r="I367" s="96"/>
      <c r="J367" s="157"/>
      <c r="K367" s="157"/>
      <c r="L367" s="119"/>
      <c r="M367" s="120"/>
      <c r="N367" s="237"/>
    </row>
    <row r="368" spans="1:14">
      <c r="J368" s="248"/>
      <c r="K368" s="248"/>
      <c r="L368" s="749">
        <f>SUM(L269:L367)</f>
        <v>87973.333333333314</v>
      </c>
      <c r="M368"/>
      <c r="N368" s="56"/>
    </row>
    <row r="369" spans="2:14">
      <c r="G369" s="30"/>
      <c r="J369" s="248"/>
      <c r="K369" s="248"/>
      <c r="L369" s="249"/>
      <c r="M369"/>
      <c r="N369" s="56"/>
    </row>
    <row r="370" spans="2:14">
      <c r="J370" s="248"/>
      <c r="K370" s="248"/>
      <c r="L370" s="249"/>
      <c r="M370"/>
      <c r="N370" s="56"/>
    </row>
    <row r="371" spans="2:14">
      <c r="F371" s="104"/>
      <c r="H371" s="14" t="s">
        <v>23</v>
      </c>
      <c r="I371" s="15">
        <f>SUM(I119:I368)</f>
        <v>0</v>
      </c>
      <c r="J371" s="250"/>
      <c r="K371" s="250"/>
      <c r="L371" s="15">
        <f>+L368+L266</f>
        <v>87973.333333333314</v>
      </c>
      <c r="M371" s="165">
        <f>SUM(I245:I366)</f>
        <v>0</v>
      </c>
      <c r="N371" s="747">
        <f>AVERAGE(N120:N366)</f>
        <v>211.19801980198019</v>
      </c>
    </row>
    <row r="372" spans="2:14" ht="13">
      <c r="F372" s="139"/>
      <c r="J372" s="250"/>
      <c r="K372" s="250"/>
      <c r="L372" s="105">
        <f>+I371/(L371-L119)</f>
        <v>0</v>
      </c>
      <c r="M372"/>
      <c r="N372" s="56"/>
    </row>
    <row r="373" spans="2:14" ht="18">
      <c r="D373" s="45"/>
      <c r="E373" s="106"/>
      <c r="F373" s="107"/>
      <c r="G373" s="107"/>
      <c r="H373" t="s">
        <v>157</v>
      </c>
      <c r="I373" s="839">
        <f>SUM(I270:I366)</f>
        <v>0</v>
      </c>
      <c r="K373" s="111"/>
      <c r="M373"/>
      <c r="N373" s="56"/>
    </row>
    <row r="374" spans="2:14" ht="18">
      <c r="D374" s="28"/>
      <c r="E374" s="108"/>
      <c r="F374" s="108"/>
      <c r="G374" s="106"/>
      <c r="H374" s="48" t="s">
        <v>158</v>
      </c>
      <c r="I374" s="839">
        <f>SUM(I245:I264)</f>
        <v>0</v>
      </c>
      <c r="K374" s="111"/>
      <c r="L374" s="246"/>
      <c r="M374"/>
      <c r="N374" s="56"/>
    </row>
    <row r="375" spans="2:14">
      <c r="I375" s="839"/>
      <c r="K375" s="111"/>
      <c r="M375"/>
      <c r="N375" s="56"/>
    </row>
    <row r="377" spans="2:14">
      <c r="J377" s="56"/>
      <c r="K377" s="138"/>
      <c r="L377" s="56"/>
      <c r="N377" s="59"/>
    </row>
    <row r="378" spans="2:14">
      <c r="J378" s="56"/>
      <c r="K378" s="56"/>
      <c r="L378" s="56"/>
      <c r="N378" s="59"/>
    </row>
    <row r="379" spans="2:14">
      <c r="B379" s="43"/>
      <c r="J379" s="56"/>
      <c r="K379" s="56"/>
      <c r="L379" s="56"/>
      <c r="N379" s="59"/>
    </row>
    <row r="380" spans="2:14">
      <c r="C380" s="43"/>
      <c r="J380" s="56"/>
      <c r="K380" s="56"/>
      <c r="L380" s="56"/>
      <c r="N380" s="59"/>
    </row>
    <row r="381" spans="2:14">
      <c r="J381"/>
      <c r="M381"/>
      <c r="N381" s="43"/>
    </row>
    <row r="382" spans="2:14">
      <c r="J382"/>
      <c r="M382"/>
      <c r="N382" s="43"/>
    </row>
    <row r="383" spans="2:14">
      <c r="J383"/>
      <c r="M383"/>
      <c r="N383" s="43"/>
    </row>
    <row r="384" spans="2:14">
      <c r="J384"/>
      <c r="M384"/>
      <c r="N384" s="43"/>
    </row>
    <row r="385" spans="10:14">
      <c r="J385"/>
      <c r="M385"/>
      <c r="N385" s="43"/>
    </row>
    <row r="386" spans="10:14">
      <c r="J386"/>
      <c r="M386"/>
      <c r="N386" s="43"/>
    </row>
    <row r="387" spans="10:14">
      <c r="J387"/>
      <c r="M387"/>
      <c r="N387" s="43"/>
    </row>
    <row r="388" spans="10:14">
      <c r="J388"/>
      <c r="M388"/>
      <c r="N388" s="43"/>
    </row>
    <row r="389" spans="10:14">
      <c r="J389"/>
      <c r="M389"/>
      <c r="N389" s="43"/>
    </row>
    <row r="390" spans="10:14">
      <c r="J390"/>
      <c r="M390"/>
      <c r="N390" s="43"/>
    </row>
    <row r="391" spans="10:14">
      <c r="J391"/>
    </row>
    <row r="392" spans="10:14">
      <c r="J392"/>
    </row>
    <row r="393" spans="10:14">
      <c r="J393"/>
    </row>
    <row r="394" spans="10:14">
      <c r="J394"/>
    </row>
    <row r="395" spans="10:14">
      <c r="J395"/>
    </row>
    <row r="396" spans="10:14">
      <c r="J396"/>
    </row>
    <row r="397" spans="10:14">
      <c r="J397"/>
    </row>
    <row r="398" spans="10:14">
      <c r="J398"/>
    </row>
    <row r="399" spans="10:14" ht="13">
      <c r="J399"/>
      <c r="L399" s="240"/>
    </row>
    <row r="400" spans="10:14">
      <c r="J400"/>
    </row>
    <row r="401" spans="10:13">
      <c r="J401"/>
    </row>
    <row r="402" spans="10:13">
      <c r="J402"/>
    </row>
    <row r="403" spans="10:13">
      <c r="J403"/>
      <c r="M403"/>
    </row>
    <row r="404" spans="10:13">
      <c r="J404"/>
      <c r="M404"/>
    </row>
    <row r="405" spans="10:13">
      <c r="J405"/>
      <c r="M405"/>
    </row>
    <row r="406" spans="10:13">
      <c r="J406"/>
      <c r="M406"/>
    </row>
    <row r="407" spans="10:13">
      <c r="J407"/>
      <c r="M407"/>
    </row>
    <row r="408" spans="10:13">
      <c r="J408"/>
      <c r="M408"/>
    </row>
    <row r="409" spans="10:13">
      <c r="J409"/>
      <c r="M409"/>
    </row>
    <row r="410" spans="10:13">
      <c r="J410"/>
      <c r="M410"/>
    </row>
    <row r="411" spans="10:13">
      <c r="J411"/>
      <c r="M411"/>
    </row>
    <row r="412" spans="10:13">
      <c r="J412"/>
      <c r="M412"/>
    </row>
    <row r="413" spans="10:13">
      <c r="J413"/>
      <c r="M413"/>
    </row>
    <row r="414" spans="10:13">
      <c r="J414"/>
      <c r="M414"/>
    </row>
    <row r="415" spans="10:13">
      <c r="J415"/>
      <c r="M415"/>
    </row>
    <row r="416" spans="10:13">
      <c r="J416"/>
      <c r="M416"/>
    </row>
    <row r="417" spans="10:13">
      <c r="J417"/>
      <c r="M417"/>
    </row>
    <row r="418" spans="10:13">
      <c r="J418"/>
      <c r="M418"/>
    </row>
    <row r="419" spans="10:13">
      <c r="J419"/>
      <c r="M419"/>
    </row>
    <row r="420" spans="10:13">
      <c r="J420"/>
      <c r="M420"/>
    </row>
    <row r="421" spans="10:13">
      <c r="J421"/>
      <c r="M421"/>
    </row>
    <row r="422" spans="10:13">
      <c r="J422"/>
      <c r="M422"/>
    </row>
    <row r="423" spans="10:13">
      <c r="J423"/>
      <c r="M423"/>
    </row>
    <row r="424" spans="10:13">
      <c r="J424"/>
      <c r="M424"/>
    </row>
    <row r="425" spans="10:13">
      <c r="J425"/>
      <c r="M425"/>
    </row>
    <row r="426" spans="10:13">
      <c r="J426"/>
      <c r="M426"/>
    </row>
    <row r="427" spans="10:13">
      <c r="J427"/>
      <c r="M427"/>
    </row>
    <row r="428" spans="10:13">
      <c r="J428"/>
      <c r="M428"/>
    </row>
    <row r="429" spans="10:13">
      <c r="J429"/>
      <c r="M429"/>
    </row>
    <row r="430" spans="10:13">
      <c r="J430"/>
      <c r="M430"/>
    </row>
    <row r="431" spans="10:13">
      <c r="J431"/>
      <c r="M431"/>
    </row>
    <row r="432" spans="10:13">
      <c r="J432"/>
      <c r="M432"/>
    </row>
    <row r="433" spans="10:13">
      <c r="J433"/>
      <c r="M433"/>
    </row>
    <row r="434" spans="10:13">
      <c r="J434"/>
      <c r="M434"/>
    </row>
    <row r="435" spans="10:13">
      <c r="J435"/>
      <c r="M435"/>
    </row>
    <row r="436" spans="10:13">
      <c r="J436"/>
      <c r="M436"/>
    </row>
    <row r="437" spans="10:13">
      <c r="J437"/>
      <c r="M437"/>
    </row>
    <row r="438" spans="10:13">
      <c r="J438"/>
      <c r="M438"/>
    </row>
  </sheetData>
  <autoFilter ref="A7:N79" xr:uid="{00000000-0001-0000-0400-000000000000}"/>
  <sortState xmlns:xlrd2="http://schemas.microsoft.com/office/spreadsheetml/2017/richdata2" ref="A361:N362">
    <sortCondition descending="1" ref="G361:G362"/>
  </sortState>
  <mergeCells count="3">
    <mergeCell ref="C243:E243"/>
    <mergeCell ref="A5:C5"/>
    <mergeCell ref="C117:E117"/>
  </mergeCells>
  <phoneticPr fontId="47" type="noConversion"/>
  <pageMargins left="0.75" right="0.75" top="1" bottom="1" header="0" footer="0"/>
  <pageSetup scale="7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1">
    <pageSetUpPr fitToPage="1"/>
  </sheetPr>
  <dimension ref="A1:M347"/>
  <sheetViews>
    <sheetView topLeftCell="A27" zoomScale="90" zoomScaleNormal="90" workbookViewId="0">
      <selection activeCell="O54" sqref="O54"/>
    </sheetView>
  </sheetViews>
  <sheetFormatPr baseColWidth="10" defaultRowHeight="12.5"/>
  <cols>
    <col min="1" max="1" width="5.36328125" style="1" customWidth="1"/>
    <col min="2" max="2" width="10.08984375" customWidth="1"/>
    <col min="3" max="3" width="11.36328125" bestFit="1" customWidth="1"/>
    <col min="4" max="4" width="10.6328125" style="64" bestFit="1" customWidth="1"/>
    <col min="5" max="5" width="10.90625" customWidth="1"/>
    <col min="6" max="7" width="12.6328125" customWidth="1"/>
    <col min="8" max="8" width="16.6328125" customWidth="1"/>
    <col min="9" max="9" width="13" customWidth="1"/>
    <col min="10" max="10" width="13.90625" customWidth="1"/>
    <col min="11" max="11" width="10.54296875" style="1" customWidth="1"/>
    <col min="12" max="12" width="11.453125" style="1" bestFit="1" customWidth="1"/>
    <col min="13" max="13" width="13.90625" style="1" bestFit="1" customWidth="1"/>
  </cols>
  <sheetData>
    <row r="1" spans="1:13" s="1" customFormat="1" ht="15.5">
      <c r="B1" s="313"/>
      <c r="C1" s="314"/>
      <c r="D1" s="315"/>
      <c r="E1" s="316"/>
      <c r="F1" s="316"/>
      <c r="G1" s="317"/>
      <c r="H1" s="4"/>
      <c r="I1" s="4"/>
      <c r="J1" s="4"/>
      <c r="K1" s="4"/>
      <c r="L1" s="4"/>
      <c r="M1" s="4"/>
    </row>
    <row r="2" spans="1:13" s="1" customFormat="1">
      <c r="B2" s="60"/>
      <c r="C2" s="60"/>
      <c r="D2" s="60"/>
    </row>
    <row r="3" spans="1:13" s="1" customFormat="1"/>
    <row r="4" spans="1:13" ht="17.5">
      <c r="B4" s="322"/>
      <c r="C4" s="322"/>
      <c r="D4" s="322"/>
      <c r="E4" s="322"/>
      <c r="F4" s="856" t="s">
        <v>314</v>
      </c>
      <c r="G4" s="856"/>
      <c r="H4" s="856"/>
      <c r="I4" s="322"/>
      <c r="J4" s="323"/>
      <c r="K4" s="324"/>
      <c r="L4" s="323"/>
      <c r="M4" s="323"/>
    </row>
    <row r="5" spans="1:13">
      <c r="B5" s="1"/>
      <c r="C5" s="1"/>
      <c r="D5" s="60"/>
      <c r="E5" s="1"/>
      <c r="F5" s="1"/>
      <c r="G5" s="1"/>
      <c r="H5" s="1"/>
      <c r="I5" s="3"/>
      <c r="J5" s="2"/>
      <c r="K5" s="31"/>
    </row>
    <row r="6" spans="1:13" ht="13" thickBot="1">
      <c r="B6" s="1"/>
      <c r="C6" s="1"/>
      <c r="D6" s="60"/>
      <c r="E6" s="1"/>
      <c r="F6" s="1"/>
      <c r="G6" s="1"/>
      <c r="H6" s="1"/>
      <c r="I6" s="3"/>
      <c r="J6" s="31"/>
      <c r="K6" s="2"/>
    </row>
    <row r="7" spans="1:13" ht="14.25" customHeight="1" thickBot="1">
      <c r="B7" s="191" t="s">
        <v>47</v>
      </c>
      <c r="C7" s="192" t="s">
        <v>16</v>
      </c>
      <c r="D7" s="192" t="s">
        <v>35</v>
      </c>
      <c r="E7" s="192" t="s">
        <v>513</v>
      </c>
      <c r="F7" s="192" t="s">
        <v>25</v>
      </c>
      <c r="G7" s="192" t="s">
        <v>26</v>
      </c>
      <c r="H7" s="192" t="s">
        <v>18</v>
      </c>
      <c r="I7" s="192" t="s">
        <v>19</v>
      </c>
      <c r="J7" s="65" t="s">
        <v>21</v>
      </c>
      <c r="K7" s="65" t="s">
        <v>22</v>
      </c>
      <c r="L7" s="65" t="s">
        <v>27</v>
      </c>
      <c r="M7" s="65" t="s">
        <v>77</v>
      </c>
    </row>
    <row r="8" spans="1:13" ht="13">
      <c r="A8" s="66"/>
      <c r="B8" s="263"/>
      <c r="C8" s="10" t="s">
        <v>46</v>
      </c>
      <c r="D8" s="203"/>
      <c r="E8" s="204"/>
      <c r="F8" s="94" t="s">
        <v>28</v>
      </c>
      <c r="G8" s="94" t="s">
        <v>29</v>
      </c>
      <c r="H8" s="261"/>
      <c r="I8" s="95">
        <v>46.11</v>
      </c>
      <c r="J8" s="95"/>
      <c r="K8" s="205">
        <f t="shared" ref="K8:K13" si="0">+J8*H8-H8*I8</f>
        <v>0</v>
      </c>
      <c r="L8" s="206"/>
      <c r="M8" s="207">
        <f t="shared" ref="M8:M13" si="1">+J8*H8</f>
        <v>0</v>
      </c>
    </row>
    <row r="9" spans="1:13" ht="13">
      <c r="A9" s="70"/>
      <c r="B9" s="190"/>
      <c r="C9" s="10" t="s">
        <v>46</v>
      </c>
      <c r="D9" s="10"/>
      <c r="E9" s="7"/>
      <c r="F9" s="21" t="s">
        <v>80</v>
      </c>
      <c r="G9" s="21" t="s">
        <v>152</v>
      </c>
      <c r="H9" s="262"/>
      <c r="I9" s="22">
        <v>20.184999999999999</v>
      </c>
      <c r="J9" s="22">
        <v>19.6722</v>
      </c>
      <c r="K9" s="68">
        <f t="shared" si="0"/>
        <v>0</v>
      </c>
      <c r="L9" s="80">
        <f>LN(J9/I9)</f>
        <v>-2.5733282708248643E-2</v>
      </c>
      <c r="M9" s="69">
        <f t="shared" si="1"/>
        <v>0</v>
      </c>
    </row>
    <row r="10" spans="1:13" ht="13">
      <c r="A10" s="70"/>
      <c r="B10" s="190"/>
      <c r="C10" s="10" t="s">
        <v>46</v>
      </c>
      <c r="D10" s="10"/>
      <c r="E10" s="7"/>
      <c r="F10" s="21" t="s">
        <v>1</v>
      </c>
      <c r="G10" s="21" t="s">
        <v>193</v>
      </c>
      <c r="H10" s="262"/>
      <c r="I10" s="22">
        <v>19.215</v>
      </c>
      <c r="J10" s="22"/>
      <c r="K10" s="68">
        <f t="shared" si="0"/>
        <v>0</v>
      </c>
      <c r="L10" s="80"/>
      <c r="M10" s="69">
        <f t="shared" si="1"/>
        <v>0</v>
      </c>
    </row>
    <row r="11" spans="1:13" ht="13">
      <c r="A11" s="70"/>
      <c r="B11" s="190"/>
      <c r="C11" s="10" t="s">
        <v>46</v>
      </c>
      <c r="D11" s="10"/>
      <c r="E11" s="7"/>
      <c r="F11" s="21" t="s">
        <v>194</v>
      </c>
      <c r="G11" s="21" t="s">
        <v>195</v>
      </c>
      <c r="H11" s="262"/>
      <c r="I11" s="22">
        <v>61.89</v>
      </c>
      <c r="J11" s="22">
        <v>78.914999999999992</v>
      </c>
      <c r="K11" s="68">
        <f t="shared" si="0"/>
        <v>0</v>
      </c>
      <c r="L11" s="80">
        <f>LN(J11/I11)</f>
        <v>0.24301270809961004</v>
      </c>
      <c r="M11" s="69">
        <f t="shared" si="1"/>
        <v>0</v>
      </c>
    </row>
    <row r="12" spans="1:13" ht="13">
      <c r="A12" s="70"/>
      <c r="B12" s="190"/>
      <c r="C12" s="10" t="s">
        <v>46</v>
      </c>
      <c r="D12" s="10"/>
      <c r="E12" s="7"/>
      <c r="F12" s="21" t="s">
        <v>160</v>
      </c>
      <c r="G12" s="21" t="s">
        <v>204</v>
      </c>
      <c r="H12" s="262"/>
      <c r="I12" s="22">
        <f>323.0656/4</f>
        <v>80.766400000000004</v>
      </c>
      <c r="J12" s="22"/>
      <c r="K12" s="68">
        <f t="shared" si="0"/>
        <v>0</v>
      </c>
      <c r="L12" s="80"/>
      <c r="M12" s="69">
        <f t="shared" si="1"/>
        <v>0</v>
      </c>
    </row>
    <row r="13" spans="1:13" ht="13">
      <c r="A13" s="70"/>
      <c r="B13" s="190"/>
      <c r="C13" s="10" t="s">
        <v>46</v>
      </c>
      <c r="D13" s="10"/>
      <c r="E13" s="7"/>
      <c r="F13" s="21" t="s">
        <v>160</v>
      </c>
      <c r="G13" s="21" t="s">
        <v>204</v>
      </c>
      <c r="H13" s="262"/>
      <c r="I13" s="22">
        <v>123.78987499999999</v>
      </c>
      <c r="J13" s="22"/>
      <c r="K13" s="68">
        <f t="shared" si="0"/>
        <v>0</v>
      </c>
      <c r="L13" s="80"/>
      <c r="M13" s="69">
        <f t="shared" si="1"/>
        <v>0</v>
      </c>
    </row>
    <row r="14" spans="1:13" ht="13">
      <c r="A14" s="70"/>
      <c r="B14" s="190"/>
      <c r="C14" s="10" t="s">
        <v>46</v>
      </c>
      <c r="D14" s="10"/>
      <c r="E14" s="7"/>
      <c r="F14" s="21" t="s">
        <v>52</v>
      </c>
      <c r="G14" s="21" t="s">
        <v>520</v>
      </c>
      <c r="H14" s="262"/>
      <c r="I14" s="22">
        <v>247.09989999999999</v>
      </c>
      <c r="J14" s="22">
        <v>432.95</v>
      </c>
      <c r="K14" s="68">
        <f t="shared" ref="K14:K20" si="2">+J14*H14-H14*I14</f>
        <v>0</v>
      </c>
      <c r="L14" s="80">
        <f t="shared" ref="L14:L20" si="3">LN(J14/I14)</f>
        <v>0.56082953959378345</v>
      </c>
      <c r="M14" s="69">
        <f t="shared" ref="M14:M20" si="4">+J14*H14</f>
        <v>0</v>
      </c>
    </row>
    <row r="15" spans="1:13" ht="13">
      <c r="A15" s="70"/>
      <c r="B15" s="190"/>
      <c r="C15" s="10" t="s">
        <v>46</v>
      </c>
      <c r="D15" s="10"/>
      <c r="E15" s="7"/>
      <c r="F15" s="21" t="s">
        <v>52</v>
      </c>
      <c r="G15" s="21" t="s">
        <v>520</v>
      </c>
      <c r="H15" s="262"/>
      <c r="I15" s="22">
        <v>248.54910000000001</v>
      </c>
      <c r="J15" s="22">
        <v>432.95</v>
      </c>
      <c r="K15" s="68">
        <f t="shared" si="2"/>
        <v>0</v>
      </c>
      <c r="L15" s="80">
        <f t="shared" si="3"/>
        <v>0.5549818363614949</v>
      </c>
      <c r="M15" s="69">
        <f t="shared" si="4"/>
        <v>0</v>
      </c>
    </row>
    <row r="16" spans="1:13" ht="13">
      <c r="A16" s="70"/>
      <c r="B16" s="190"/>
      <c r="C16" s="10" t="s">
        <v>46</v>
      </c>
      <c r="D16" s="10"/>
      <c r="E16" s="7"/>
      <c r="F16" s="21" t="s">
        <v>52</v>
      </c>
      <c r="G16" s="21" t="s">
        <v>520</v>
      </c>
      <c r="H16" s="262"/>
      <c r="I16" s="22">
        <v>251.61500000000001</v>
      </c>
      <c r="J16" s="22">
        <v>432.95</v>
      </c>
      <c r="K16" s="68">
        <f t="shared" si="2"/>
        <v>0</v>
      </c>
      <c r="L16" s="80">
        <f t="shared" si="3"/>
        <v>0.54272210640266194</v>
      </c>
      <c r="M16" s="69">
        <f t="shared" si="4"/>
        <v>0</v>
      </c>
    </row>
    <row r="17" spans="1:13" ht="13">
      <c r="A17" s="70"/>
      <c r="B17" s="190"/>
      <c r="C17" s="10" t="s">
        <v>46</v>
      </c>
      <c r="D17" s="10"/>
      <c r="E17" s="7"/>
      <c r="F17" s="21" t="s">
        <v>52</v>
      </c>
      <c r="G17" s="21" t="s">
        <v>520</v>
      </c>
      <c r="H17" s="262"/>
      <c r="I17" s="22">
        <v>248.93989999999999</v>
      </c>
      <c r="J17" s="22">
        <v>432.95</v>
      </c>
      <c r="K17" s="68">
        <f t="shared" si="2"/>
        <v>0</v>
      </c>
      <c r="L17" s="80">
        <f t="shared" si="3"/>
        <v>0.55341074602428109</v>
      </c>
      <c r="M17" s="69">
        <f t="shared" si="4"/>
        <v>0</v>
      </c>
    </row>
    <row r="18" spans="1:13" ht="13">
      <c r="A18" s="70"/>
      <c r="B18" s="190"/>
      <c r="C18" s="10" t="s">
        <v>46</v>
      </c>
      <c r="D18" s="10"/>
      <c r="E18" s="7"/>
      <c r="F18" s="21" t="s">
        <v>52</v>
      </c>
      <c r="G18" s="21" t="s">
        <v>520</v>
      </c>
      <c r="H18" s="262"/>
      <c r="I18" s="22">
        <v>248.85990000000001</v>
      </c>
      <c r="J18" s="22">
        <v>432.95</v>
      </c>
      <c r="K18" s="68">
        <f t="shared" si="2"/>
        <v>0</v>
      </c>
      <c r="L18" s="80">
        <f t="shared" si="3"/>
        <v>0.55373216037876127</v>
      </c>
      <c r="M18" s="69">
        <f t="shared" si="4"/>
        <v>0</v>
      </c>
    </row>
    <row r="19" spans="1:13" ht="13">
      <c r="A19" s="70"/>
      <c r="B19" s="190"/>
      <c r="C19" s="10" t="s">
        <v>46</v>
      </c>
      <c r="D19" s="10"/>
      <c r="E19" s="7"/>
      <c r="F19" s="21" t="s">
        <v>304</v>
      </c>
      <c r="G19" s="21" t="s">
        <v>305</v>
      </c>
      <c r="H19" s="262"/>
      <c r="I19" s="22">
        <v>531.58259999999996</v>
      </c>
      <c r="J19" s="22">
        <v>611.20500000000004</v>
      </c>
      <c r="K19" s="68">
        <f t="shared" si="2"/>
        <v>0</v>
      </c>
      <c r="L19" s="80">
        <f t="shared" si="3"/>
        <v>0.13957382352069006</v>
      </c>
      <c r="M19" s="69">
        <f t="shared" si="4"/>
        <v>0</v>
      </c>
    </row>
    <row r="20" spans="1:13" ht="13">
      <c r="A20" s="70"/>
      <c r="B20" s="190"/>
      <c r="C20" s="10" t="s">
        <v>46</v>
      </c>
      <c r="D20" s="10"/>
      <c r="E20" s="7"/>
      <c r="F20" s="21" t="s">
        <v>274</v>
      </c>
      <c r="G20" s="21" t="s">
        <v>229</v>
      </c>
      <c r="H20" s="262"/>
      <c r="I20" s="22">
        <v>114.8742</v>
      </c>
      <c r="J20" s="22">
        <v>52.805000000000007</v>
      </c>
      <c r="K20" s="68">
        <f t="shared" si="2"/>
        <v>0</v>
      </c>
      <c r="L20" s="80">
        <f t="shared" si="3"/>
        <v>-0.77723173336176021</v>
      </c>
      <c r="M20" s="69">
        <f t="shared" si="4"/>
        <v>0</v>
      </c>
    </row>
    <row r="21" spans="1:13" ht="13">
      <c r="A21" s="66"/>
      <c r="B21" s="190"/>
      <c r="C21" s="10" t="s">
        <v>46</v>
      </c>
      <c r="D21" s="10"/>
      <c r="E21" s="7"/>
      <c r="F21" s="21" t="s">
        <v>191</v>
      </c>
      <c r="G21" s="21" t="s">
        <v>192</v>
      </c>
      <c r="H21" s="262"/>
      <c r="I21" s="22">
        <v>263.75</v>
      </c>
      <c r="J21" s="22"/>
      <c r="K21" s="68">
        <f t="shared" ref="K21:K35" si="5">+J21*H21-H21*I21</f>
        <v>0</v>
      </c>
      <c r="L21" s="80"/>
      <c r="M21" s="69">
        <f t="shared" ref="M21:M28" si="6">+J21*H21</f>
        <v>0</v>
      </c>
    </row>
    <row r="22" spans="1:13" ht="13">
      <c r="A22" s="66"/>
      <c r="B22" s="190"/>
      <c r="C22" s="10" t="s">
        <v>46</v>
      </c>
      <c r="D22" s="10"/>
      <c r="E22" s="7"/>
      <c r="F22" s="21" t="s">
        <v>316</v>
      </c>
      <c r="G22" s="21" t="s">
        <v>322</v>
      </c>
      <c r="H22" s="262"/>
      <c r="I22" s="22">
        <v>344.37549999999999</v>
      </c>
      <c r="J22" s="22">
        <v>476.98</v>
      </c>
      <c r="K22" s="68">
        <f t="shared" si="5"/>
        <v>0</v>
      </c>
      <c r="L22" s="80">
        <f t="shared" ref="L22:L28" si="7">LN(J22/I22)</f>
        <v>0.32574192947638281</v>
      </c>
      <c r="M22" s="69">
        <f t="shared" si="6"/>
        <v>0</v>
      </c>
    </row>
    <row r="23" spans="1:13" ht="13">
      <c r="A23" s="66"/>
      <c r="B23" s="190"/>
      <c r="C23" s="10" t="s">
        <v>46</v>
      </c>
      <c r="D23" s="10"/>
      <c r="E23" s="7"/>
      <c r="F23" s="21" t="s">
        <v>316</v>
      </c>
      <c r="G23" s="21" t="s">
        <v>322</v>
      </c>
      <c r="H23" s="262"/>
      <c r="I23" s="22">
        <v>338.49709999999999</v>
      </c>
      <c r="J23" s="22">
        <v>476.98</v>
      </c>
      <c r="K23" s="68">
        <f t="shared" si="5"/>
        <v>0</v>
      </c>
      <c r="L23" s="80">
        <f t="shared" si="7"/>
        <v>0.34295903618077478</v>
      </c>
      <c r="M23" s="69">
        <f t="shared" si="6"/>
        <v>0</v>
      </c>
    </row>
    <row r="24" spans="1:13" ht="13">
      <c r="A24" s="66"/>
      <c r="B24" s="190"/>
      <c r="C24" s="10" t="s">
        <v>46</v>
      </c>
      <c r="D24" s="582"/>
      <c r="E24" s="581"/>
      <c r="F24" s="21" t="s">
        <v>510</v>
      </c>
      <c r="G24" s="21" t="s">
        <v>511</v>
      </c>
      <c r="H24" s="262"/>
      <c r="I24" s="22">
        <v>28.2394</v>
      </c>
      <c r="J24" s="22">
        <v>35.445</v>
      </c>
      <c r="K24" s="68">
        <f t="shared" si="5"/>
        <v>0</v>
      </c>
      <c r="L24" s="80">
        <f t="shared" si="7"/>
        <v>0.22726403336657228</v>
      </c>
      <c r="M24" s="69">
        <f t="shared" si="6"/>
        <v>0</v>
      </c>
    </row>
    <row r="25" spans="1:13" ht="13">
      <c r="A25" s="70"/>
      <c r="B25" s="190"/>
      <c r="C25" s="10" t="s">
        <v>46</v>
      </c>
      <c r="D25" s="10"/>
      <c r="E25" s="581"/>
      <c r="F25" s="21" t="s">
        <v>510</v>
      </c>
      <c r="G25" s="21" t="s">
        <v>511</v>
      </c>
      <c r="H25" s="262"/>
      <c r="I25" s="552">
        <v>30.9971</v>
      </c>
      <c r="J25" s="22">
        <v>35.445</v>
      </c>
      <c r="K25" s="68">
        <f t="shared" si="5"/>
        <v>0</v>
      </c>
      <c r="L25" s="80">
        <f t="shared" si="7"/>
        <v>0.13408854758485472</v>
      </c>
      <c r="M25" s="69">
        <f t="shared" si="6"/>
        <v>0</v>
      </c>
    </row>
    <row r="26" spans="1:13" ht="13">
      <c r="A26" s="66"/>
      <c r="B26" s="190"/>
      <c r="C26" s="10" t="s">
        <v>46</v>
      </c>
      <c r="D26" s="10"/>
      <c r="E26" s="581"/>
      <c r="F26" s="21" t="s">
        <v>273</v>
      </c>
      <c r="G26" s="21" t="s">
        <v>273</v>
      </c>
      <c r="H26" s="262"/>
      <c r="I26" s="22">
        <v>222.12389999999999</v>
      </c>
      <c r="J26" s="22">
        <v>231.51499999999999</v>
      </c>
      <c r="K26" s="68">
        <f t="shared" si="5"/>
        <v>0</v>
      </c>
      <c r="L26" s="80">
        <f t="shared" si="7"/>
        <v>4.1409331947629489E-2</v>
      </c>
      <c r="M26" s="69">
        <f t="shared" si="6"/>
        <v>0</v>
      </c>
    </row>
    <row r="27" spans="1:13" ht="13">
      <c r="A27" s="66"/>
      <c r="B27" s="190"/>
      <c r="C27" s="10" t="s">
        <v>46</v>
      </c>
      <c r="D27" s="10"/>
      <c r="E27" s="581"/>
      <c r="F27" s="21" t="s">
        <v>521</v>
      </c>
      <c r="G27" s="21" t="s">
        <v>521</v>
      </c>
      <c r="H27" s="262"/>
      <c r="I27" s="552">
        <v>52.744999999999997</v>
      </c>
      <c r="J27" s="22">
        <v>49.635000000000005</v>
      </c>
      <c r="K27" s="68">
        <f t="shared" si="5"/>
        <v>0</v>
      </c>
      <c r="L27" s="80">
        <f t="shared" si="7"/>
        <v>-6.077275109208681E-2</v>
      </c>
      <c r="M27" s="69">
        <f t="shared" si="6"/>
        <v>0</v>
      </c>
    </row>
    <row r="28" spans="1:13" ht="13">
      <c r="A28" s="66"/>
      <c r="B28" s="190"/>
      <c r="C28" s="10" t="s">
        <v>46</v>
      </c>
      <c r="D28" s="10"/>
      <c r="E28" s="581"/>
      <c r="F28" s="21" t="s">
        <v>521</v>
      </c>
      <c r="G28" s="21" t="s">
        <v>521</v>
      </c>
      <c r="H28" s="262"/>
      <c r="I28" s="22">
        <v>40.666899999999998</v>
      </c>
      <c r="J28" s="22">
        <v>49.635000000000005</v>
      </c>
      <c r="K28" s="68">
        <f t="shared" si="5"/>
        <v>0</v>
      </c>
      <c r="L28" s="80">
        <f t="shared" si="7"/>
        <v>0.19928173628808094</v>
      </c>
      <c r="M28" s="69">
        <f t="shared" si="6"/>
        <v>0</v>
      </c>
    </row>
    <row r="29" spans="1:13" ht="13">
      <c r="A29" s="66"/>
      <c r="B29" s="190"/>
      <c r="C29" s="10" t="s">
        <v>46</v>
      </c>
      <c r="D29" s="10"/>
      <c r="E29" s="581"/>
      <c r="F29" s="21" t="s">
        <v>65</v>
      </c>
      <c r="G29" s="21" t="s">
        <v>507</v>
      </c>
      <c r="H29" s="262"/>
      <c r="I29" s="22">
        <v>595.17340000000002</v>
      </c>
      <c r="J29" s="22">
        <v>679.30499999999995</v>
      </c>
      <c r="K29" s="68">
        <f t="shared" si="5"/>
        <v>0</v>
      </c>
      <c r="L29" s="80">
        <f t="shared" ref="L29:L37" si="8">LN(J29/I29)</f>
        <v>0.1322174250283473</v>
      </c>
      <c r="M29" s="69">
        <f t="shared" ref="M29:M37" si="9">+J29*H29</f>
        <v>0</v>
      </c>
    </row>
    <row r="30" spans="1:13" ht="13">
      <c r="A30" s="66"/>
      <c r="B30" s="190"/>
      <c r="C30" s="10" t="s">
        <v>46</v>
      </c>
      <c r="D30" s="10"/>
      <c r="E30" s="581"/>
      <c r="F30" s="21" t="s">
        <v>268</v>
      </c>
      <c r="G30" s="21" t="s">
        <v>269</v>
      </c>
      <c r="H30" s="262"/>
      <c r="I30" s="22">
        <v>453.65131687242797</v>
      </c>
      <c r="J30" s="22">
        <v>351.67499999999995</v>
      </c>
      <c r="K30" s="68">
        <f t="shared" si="5"/>
        <v>0</v>
      </c>
      <c r="L30" s="80">
        <f t="shared" si="8"/>
        <v>-0.25462142480559746</v>
      </c>
      <c r="M30" s="69">
        <f t="shared" si="9"/>
        <v>0</v>
      </c>
    </row>
    <row r="31" spans="1:13" ht="13">
      <c r="A31" s="66"/>
      <c r="B31" s="190"/>
      <c r="C31" s="10" t="s">
        <v>46</v>
      </c>
      <c r="D31" s="10"/>
      <c r="E31" s="581"/>
      <c r="F31" s="21" t="s">
        <v>187</v>
      </c>
      <c r="G31" s="21" t="s">
        <v>187</v>
      </c>
      <c r="H31" s="262"/>
      <c r="I31" s="22">
        <v>234.82919999999999</v>
      </c>
      <c r="J31" s="22">
        <v>236.94499999999999</v>
      </c>
      <c r="K31" s="68">
        <f t="shared" si="5"/>
        <v>0</v>
      </c>
      <c r="L31" s="80">
        <f t="shared" si="8"/>
        <v>8.9696053125849582E-3</v>
      </c>
      <c r="M31" s="69">
        <f t="shared" si="9"/>
        <v>0</v>
      </c>
    </row>
    <row r="32" spans="1:13" ht="13">
      <c r="A32" s="66"/>
      <c r="B32" s="190"/>
      <c r="C32" s="10" t="s">
        <v>46</v>
      </c>
      <c r="D32" s="10"/>
      <c r="E32" s="581"/>
      <c r="F32" s="21" t="s">
        <v>275</v>
      </c>
      <c r="G32" s="21" t="s">
        <v>275</v>
      </c>
      <c r="H32" s="262"/>
      <c r="I32" s="22">
        <v>193.26900000000001</v>
      </c>
      <c r="J32" s="22">
        <v>188.315</v>
      </c>
      <c r="K32" s="68">
        <f t="shared" si="5"/>
        <v>0</v>
      </c>
      <c r="L32" s="80">
        <f>LN(J32/I32)</f>
        <v>-2.5966908267987924E-2</v>
      </c>
      <c r="M32" s="69">
        <f>+J32*H32</f>
        <v>0</v>
      </c>
    </row>
    <row r="33" spans="1:13" ht="13">
      <c r="A33" s="66"/>
      <c r="B33" s="190"/>
      <c r="C33" s="10" t="s">
        <v>46</v>
      </c>
      <c r="D33" s="10"/>
      <c r="E33" s="7"/>
      <c r="F33" s="21" t="s">
        <v>196</v>
      </c>
      <c r="G33" s="21" t="s">
        <v>197</v>
      </c>
      <c r="H33" s="262"/>
      <c r="I33" s="22">
        <v>439.57</v>
      </c>
      <c r="J33" s="22">
        <v>376.72500000000002</v>
      </c>
      <c r="K33" s="68">
        <f t="shared" si="5"/>
        <v>0</v>
      </c>
      <c r="L33" s="80">
        <f t="shared" si="8"/>
        <v>-0.15428149803847732</v>
      </c>
      <c r="M33" s="69">
        <f t="shared" si="9"/>
        <v>0</v>
      </c>
    </row>
    <row r="34" spans="1:13" ht="13">
      <c r="A34" s="66"/>
      <c r="B34" s="190"/>
      <c r="C34" s="10" t="s">
        <v>46</v>
      </c>
      <c r="D34" s="10"/>
      <c r="E34" s="7"/>
      <c r="F34" s="21" t="s">
        <v>498</v>
      </c>
      <c r="G34" s="21" t="s">
        <v>501</v>
      </c>
      <c r="H34" s="262"/>
      <c r="I34" s="22">
        <v>48.429900000000004</v>
      </c>
      <c r="J34" s="22">
        <v>83.13</v>
      </c>
      <c r="K34" s="68">
        <f t="shared" si="5"/>
        <v>0</v>
      </c>
      <c r="L34" s="80">
        <f>LN(J34/I34)</f>
        <v>0.54028825596583618</v>
      </c>
      <c r="M34" s="69">
        <f>+J34*H34</f>
        <v>0</v>
      </c>
    </row>
    <row r="35" spans="1:13" ht="13">
      <c r="A35" s="66"/>
      <c r="B35" s="190"/>
      <c r="C35" s="10" t="s">
        <v>46</v>
      </c>
      <c r="D35" s="10"/>
      <c r="E35" s="7"/>
      <c r="F35" s="21" t="s">
        <v>161</v>
      </c>
      <c r="G35" s="21" t="s">
        <v>161</v>
      </c>
      <c r="H35" s="262"/>
      <c r="I35" s="22">
        <v>200.95</v>
      </c>
      <c r="J35" s="22">
        <v>316.15999999999997</v>
      </c>
      <c r="K35" s="68">
        <f t="shared" si="5"/>
        <v>0</v>
      </c>
      <c r="L35" s="80">
        <f t="shared" si="8"/>
        <v>0.45319229366429292</v>
      </c>
      <c r="M35" s="69">
        <f t="shared" si="9"/>
        <v>0</v>
      </c>
    </row>
    <row r="36" spans="1:13" ht="13">
      <c r="A36" s="70"/>
      <c r="B36" s="190"/>
      <c r="C36" s="10" t="s">
        <v>46</v>
      </c>
      <c r="D36" s="10"/>
      <c r="E36" s="7"/>
      <c r="F36" s="21" t="s">
        <v>161</v>
      </c>
      <c r="G36" s="21" t="s">
        <v>161</v>
      </c>
      <c r="H36" s="262"/>
      <c r="I36" s="22">
        <v>1755.5707</v>
      </c>
      <c r="J36" s="22">
        <v>316.15999999999997</v>
      </c>
      <c r="K36" s="68">
        <f t="shared" ref="K36:K41" si="10">+J36*H36-H36*I36</f>
        <v>0</v>
      </c>
      <c r="L36" s="80">
        <f t="shared" si="8"/>
        <v>-1.7143008536644055</v>
      </c>
      <c r="M36" s="69">
        <f t="shared" si="9"/>
        <v>0</v>
      </c>
    </row>
    <row r="37" spans="1:13" ht="13">
      <c r="A37" s="70"/>
      <c r="B37" s="190"/>
      <c r="C37" s="10" t="s">
        <v>46</v>
      </c>
      <c r="D37" s="10"/>
      <c r="E37" s="7"/>
      <c r="F37" s="21" t="s">
        <v>199</v>
      </c>
      <c r="G37" s="21" t="s">
        <v>200</v>
      </c>
      <c r="H37" s="262"/>
      <c r="I37" s="22">
        <v>37.659799999999997</v>
      </c>
      <c r="J37" s="22">
        <v>50.835000000000001</v>
      </c>
      <c r="K37" s="68">
        <f t="shared" si="10"/>
        <v>0</v>
      </c>
      <c r="L37" s="80">
        <f t="shared" si="8"/>
        <v>0.29999188118667547</v>
      </c>
      <c r="M37" s="69">
        <f t="shared" si="9"/>
        <v>0</v>
      </c>
    </row>
    <row r="38" spans="1:13" ht="13">
      <c r="A38" s="70"/>
      <c r="B38" s="190"/>
      <c r="C38" s="10" t="s">
        <v>46</v>
      </c>
      <c r="D38" s="10"/>
      <c r="E38" s="7"/>
      <c r="F38" s="21" t="s">
        <v>504</v>
      </c>
      <c r="G38" s="21" t="s">
        <v>541</v>
      </c>
      <c r="H38" s="262"/>
      <c r="I38" s="22">
        <v>5851.5</v>
      </c>
      <c r="J38" s="22">
        <v>6827.0152500000004</v>
      </c>
      <c r="K38" s="68">
        <f t="shared" si="10"/>
        <v>0</v>
      </c>
      <c r="L38" s="80">
        <f>LN(J38/I38)</f>
        <v>0.15418953357861215</v>
      </c>
      <c r="M38" s="69">
        <f>+J38*H38</f>
        <v>0</v>
      </c>
    </row>
    <row r="39" spans="1:13" ht="13">
      <c r="A39" s="70"/>
      <c r="B39" s="190"/>
      <c r="C39" s="10" t="s">
        <v>46</v>
      </c>
      <c r="D39" s="10"/>
      <c r="E39" s="7"/>
      <c r="F39" s="21" t="s">
        <v>504</v>
      </c>
      <c r="G39" s="21" t="s">
        <v>503</v>
      </c>
      <c r="H39" s="262"/>
      <c r="I39" s="22">
        <v>6025</v>
      </c>
      <c r="J39" s="22">
        <v>6877.9631249999984</v>
      </c>
      <c r="K39" s="68">
        <f t="shared" si="10"/>
        <v>0</v>
      </c>
      <c r="L39" s="80">
        <f>LN(J39/I39)</f>
        <v>0.13240507132209503</v>
      </c>
      <c r="M39" s="69">
        <f>+J39*H39</f>
        <v>0</v>
      </c>
    </row>
    <row r="40" spans="1:13" ht="13">
      <c r="A40" s="70"/>
      <c r="B40" s="190"/>
      <c r="C40" s="10" t="s">
        <v>46</v>
      </c>
      <c r="D40" s="10"/>
      <c r="E40" s="7"/>
      <c r="F40" s="21" t="s">
        <v>505</v>
      </c>
      <c r="G40" s="21" t="s">
        <v>506</v>
      </c>
      <c r="H40" s="262"/>
      <c r="I40" s="22">
        <v>20058</v>
      </c>
      <c r="J40" s="22">
        <v>25434.532068750003</v>
      </c>
      <c r="K40" s="68">
        <f t="shared" si="10"/>
        <v>0</v>
      </c>
      <c r="L40" s="80">
        <f>LN(J40/I40)</f>
        <v>0.23747970429971432</v>
      </c>
      <c r="M40" s="69">
        <f>+J40*H40</f>
        <v>0</v>
      </c>
    </row>
    <row r="41" spans="1:13" ht="13">
      <c r="A41" s="70"/>
      <c r="B41" s="190"/>
      <c r="C41" s="10" t="s">
        <v>46</v>
      </c>
      <c r="D41" s="10"/>
      <c r="E41" s="7"/>
      <c r="F41" s="21" t="s">
        <v>275</v>
      </c>
      <c r="G41" s="21" t="s">
        <v>63</v>
      </c>
      <c r="H41" s="262"/>
      <c r="I41" s="22">
        <v>129.715</v>
      </c>
      <c r="J41" s="22">
        <v>188.315</v>
      </c>
      <c r="K41" s="68">
        <f t="shared" si="10"/>
        <v>0</v>
      </c>
      <c r="L41" s="80">
        <f>LN(J41/I41)</f>
        <v>0.37277635646849477</v>
      </c>
      <c r="M41" s="69">
        <f>+J41*H41</f>
        <v>0</v>
      </c>
    </row>
    <row r="42" spans="1:13" ht="13">
      <c r="A42" s="70"/>
      <c r="B42" s="190"/>
      <c r="C42" s="10" t="s">
        <v>46</v>
      </c>
      <c r="D42" s="10"/>
      <c r="E42" s="7"/>
      <c r="F42" s="21" t="s">
        <v>275</v>
      </c>
      <c r="G42" s="21" t="s">
        <v>63</v>
      </c>
      <c r="H42" s="262"/>
      <c r="I42" s="22">
        <v>130.5197</v>
      </c>
      <c r="J42" s="22">
        <v>188.315</v>
      </c>
      <c r="K42" s="68">
        <f>+J42*H42-H42*I42</f>
        <v>0</v>
      </c>
      <c r="L42" s="80">
        <f>LN(J42/I42)</f>
        <v>0.366591919383079</v>
      </c>
      <c r="M42" s="69">
        <f>+J42*H42</f>
        <v>0</v>
      </c>
    </row>
    <row r="43" spans="1:13" ht="13.5" thickBot="1">
      <c r="A43" s="66"/>
      <c r="B43" s="358" t="s">
        <v>300</v>
      </c>
      <c r="C43" s="32"/>
      <c r="D43" s="32"/>
      <c r="E43" s="101"/>
      <c r="F43" s="33"/>
      <c r="G43" s="33"/>
      <c r="H43" s="264"/>
      <c r="I43" s="34"/>
      <c r="J43" s="34"/>
      <c r="K43" s="140"/>
      <c r="L43" s="81"/>
      <c r="M43" s="72"/>
    </row>
    <row r="44" spans="1:13" ht="13">
      <c r="A44" s="66"/>
      <c r="B44" s="31"/>
      <c r="C44" s="4"/>
      <c r="D44" s="4"/>
      <c r="E44" s="31"/>
      <c r="F44" s="31"/>
      <c r="G44" s="31"/>
      <c r="H44" s="73"/>
      <c r="I44" s="63"/>
      <c r="J44" s="14" t="s">
        <v>23</v>
      </c>
      <c r="K44" s="74">
        <f>SUM(K8:K43)</f>
        <v>0</v>
      </c>
      <c r="L44" s="23"/>
      <c r="M44" s="46">
        <f>SUM(M8:M43)</f>
        <v>0</v>
      </c>
    </row>
    <row r="45" spans="1:13" ht="13">
      <c r="A45" s="66"/>
      <c r="B45" s="31"/>
      <c r="C45" s="4"/>
      <c r="D45" s="4"/>
      <c r="E45" s="31"/>
      <c r="F45" s="31"/>
      <c r="G45" s="31"/>
      <c r="H45" s="73"/>
      <c r="I45" s="63"/>
      <c r="J45" s="22"/>
      <c r="K45" s="62"/>
      <c r="L45" s="23"/>
      <c r="M45" s="61"/>
    </row>
    <row r="46" spans="1:13" ht="13">
      <c r="B46" s="31"/>
      <c r="C46" s="4"/>
      <c r="D46" s="4"/>
      <c r="E46" s="31"/>
      <c r="F46" s="31"/>
      <c r="G46" s="242"/>
      <c r="H46" s="242"/>
      <c r="I46" s="63"/>
      <c r="J46" s="75" t="s">
        <v>48</v>
      </c>
      <c r="K46" s="76"/>
      <c r="L46" s="76"/>
      <c r="M46" s="77"/>
    </row>
    <row r="47" spans="1:13" ht="13">
      <c r="B47" s="31"/>
      <c r="C47" s="4"/>
      <c r="D47" s="4"/>
      <c r="E47" s="31"/>
      <c r="F47" s="99"/>
      <c r="G47" s="99"/>
      <c r="H47" s="100"/>
      <c r="I47" s="63"/>
      <c r="J47" s="76" t="s">
        <v>75</v>
      </c>
      <c r="K47" s="76"/>
      <c r="L47" s="76"/>
      <c r="M47" s="78"/>
    </row>
    <row r="48" spans="1:13" ht="13">
      <c r="B48" s="31"/>
      <c r="C48" s="4"/>
      <c r="D48" s="4"/>
      <c r="E48" s="31"/>
      <c r="F48" s="31"/>
      <c r="G48" s="31"/>
      <c r="H48" s="241"/>
      <c r="I48" s="122"/>
      <c r="J48" s="77" t="s">
        <v>78</v>
      </c>
      <c r="K48" s="79"/>
      <c r="L48" s="79"/>
      <c r="M48" s="77">
        <f>+M46+M44</f>
        <v>0</v>
      </c>
    </row>
    <row r="49" spans="2:13" ht="13">
      <c r="B49" s="31"/>
      <c r="C49" s="4"/>
      <c r="D49" s="4"/>
      <c r="E49" s="31"/>
      <c r="F49" s="31"/>
      <c r="G49" s="31"/>
      <c r="H49" s="241"/>
      <c r="I49" s="122"/>
      <c r="J49" s="31"/>
      <c r="K49" s="31"/>
      <c r="L49" s="31"/>
      <c r="M49" s="57"/>
    </row>
    <row r="50" spans="2:13" ht="13">
      <c r="B50" s="31"/>
      <c r="C50" s="4"/>
      <c r="D50" s="4"/>
      <c r="E50" s="31"/>
      <c r="F50" s="31"/>
      <c r="G50" s="31"/>
      <c r="H50" s="241"/>
      <c r="I50" s="31"/>
      <c r="J50" s="31"/>
      <c r="K50" s="31"/>
      <c r="L50" s="31"/>
      <c r="M50" s="31"/>
    </row>
    <row r="51" spans="2:13">
      <c r="B51" s="9" t="s">
        <v>114</v>
      </c>
      <c r="C51" s="9" t="s">
        <v>115</v>
      </c>
      <c r="D51" s="9" t="s">
        <v>35</v>
      </c>
      <c r="E51" s="9" t="s">
        <v>17</v>
      </c>
      <c r="F51" s="9" t="s">
        <v>25</v>
      </c>
      <c r="G51" s="9" t="s">
        <v>26</v>
      </c>
      <c r="H51" s="9" t="s">
        <v>18</v>
      </c>
      <c r="I51" s="9" t="s">
        <v>19</v>
      </c>
      <c r="J51" s="9" t="s">
        <v>21</v>
      </c>
      <c r="K51" s="9" t="s">
        <v>22</v>
      </c>
      <c r="L51" s="31"/>
      <c r="M51" s="31"/>
    </row>
    <row r="52" spans="2:13" ht="13">
      <c r="B52" s="266"/>
      <c r="C52" s="266"/>
      <c r="D52" s="10"/>
      <c r="E52" s="7"/>
      <c r="F52" s="21"/>
      <c r="G52" s="21"/>
      <c r="H52" s="262"/>
      <c r="I52" s="22"/>
      <c r="J52" s="22"/>
      <c r="K52" s="68"/>
      <c r="L52" s="31"/>
      <c r="M52" s="31"/>
    </row>
    <row r="53" spans="2:13" ht="13">
      <c r="B53" s="266"/>
      <c r="C53" s="10"/>
      <c r="D53" s="10"/>
      <c r="E53" s="7"/>
      <c r="F53" s="21"/>
      <c r="G53" s="21"/>
      <c r="H53" s="262"/>
      <c r="I53" s="22"/>
      <c r="J53" s="22"/>
      <c r="K53" s="68">
        <f t="shared" ref="K53:K66" si="11">+J53*H53-H53*I53</f>
        <v>0</v>
      </c>
      <c r="L53" s="31"/>
      <c r="M53" s="31"/>
    </row>
    <row r="54" spans="2:13" ht="13">
      <c r="B54" s="266"/>
      <c r="C54" s="10"/>
      <c r="D54" s="10"/>
      <c r="E54" s="581"/>
      <c r="F54" s="21"/>
      <c r="G54" s="21"/>
      <c r="H54" s="262"/>
      <c r="I54" s="552"/>
      <c r="J54" s="22"/>
      <c r="K54" s="68">
        <f t="shared" si="11"/>
        <v>0</v>
      </c>
      <c r="L54" s="31"/>
      <c r="M54" s="31"/>
    </row>
    <row r="55" spans="2:13" ht="13">
      <c r="B55" s="266"/>
      <c r="C55" s="10"/>
      <c r="D55" s="10"/>
      <c r="E55" s="581"/>
      <c r="F55" s="21"/>
      <c r="G55" s="21"/>
      <c r="H55" s="262"/>
      <c r="I55" s="22"/>
      <c r="J55" s="22"/>
      <c r="K55" s="68">
        <f t="shared" si="11"/>
        <v>0</v>
      </c>
      <c r="L55" s="31"/>
      <c r="M55" s="31"/>
    </row>
    <row r="56" spans="2:13" ht="13">
      <c r="B56" s="266"/>
      <c r="C56" s="266"/>
      <c r="D56" s="10"/>
      <c r="E56" s="12"/>
      <c r="F56" s="21"/>
      <c r="G56" s="21"/>
      <c r="H56" s="12"/>
      <c r="I56" s="22"/>
      <c r="J56" s="22"/>
      <c r="K56" s="68">
        <f t="shared" si="11"/>
        <v>0</v>
      </c>
      <c r="L56" s="31"/>
      <c r="M56" s="31"/>
    </row>
    <row r="57" spans="2:13" ht="13">
      <c r="B57" s="266"/>
      <c r="C57" s="266"/>
      <c r="D57" s="10"/>
      <c r="E57" s="12"/>
      <c r="F57" s="21"/>
      <c r="G57" s="21"/>
      <c r="H57" s="262"/>
      <c r="I57" s="22"/>
      <c r="J57" s="22"/>
      <c r="K57" s="68">
        <f t="shared" si="11"/>
        <v>0</v>
      </c>
      <c r="L57" s="31"/>
      <c r="M57" s="31"/>
    </row>
    <row r="58" spans="2:13" ht="13">
      <c r="B58" s="266"/>
      <c r="C58" s="266"/>
      <c r="D58" s="10"/>
      <c r="E58" s="12"/>
      <c r="F58" s="21"/>
      <c r="G58" s="21"/>
      <c r="H58" s="262"/>
      <c r="I58" s="22"/>
      <c r="J58" s="22"/>
      <c r="K58" s="68">
        <f t="shared" si="11"/>
        <v>0</v>
      </c>
      <c r="L58" s="31"/>
      <c r="M58" s="31"/>
    </row>
    <row r="59" spans="2:13" ht="13">
      <c r="B59" s="266"/>
      <c r="C59" s="266"/>
      <c r="D59" s="10"/>
      <c r="E59" s="12"/>
      <c r="F59" s="21"/>
      <c r="G59" s="21"/>
      <c r="H59" s="12"/>
      <c r="I59" s="22"/>
      <c r="J59" s="22"/>
      <c r="K59" s="68">
        <f t="shared" si="11"/>
        <v>0</v>
      </c>
      <c r="L59" s="31"/>
      <c r="M59" s="31"/>
    </row>
    <row r="60" spans="2:13" ht="13">
      <c r="B60" s="266"/>
      <c r="C60" s="266"/>
      <c r="D60" s="10"/>
      <c r="E60" s="12"/>
      <c r="F60" s="21"/>
      <c r="G60" s="21"/>
      <c r="H60" s="12"/>
      <c r="I60" s="22"/>
      <c r="J60" s="22"/>
      <c r="K60" s="68">
        <f t="shared" si="11"/>
        <v>0</v>
      </c>
      <c r="L60" s="31"/>
      <c r="M60" s="31"/>
    </row>
    <row r="61" spans="2:13" ht="13">
      <c r="B61" s="266"/>
      <c r="C61" s="266"/>
      <c r="D61" s="10"/>
      <c r="E61" s="12"/>
      <c r="F61" s="21"/>
      <c r="G61" s="21"/>
      <c r="H61" s="12"/>
      <c r="I61" s="22"/>
      <c r="J61" s="22"/>
      <c r="K61" s="68">
        <f t="shared" si="11"/>
        <v>0</v>
      </c>
      <c r="L61" s="31"/>
      <c r="M61" s="31"/>
    </row>
    <row r="62" spans="2:13" ht="13">
      <c r="B62" s="266"/>
      <c r="C62" s="266"/>
      <c r="D62" s="10"/>
      <c r="E62" s="12"/>
      <c r="F62" s="21"/>
      <c r="G62" s="21"/>
      <c r="H62" s="12"/>
      <c r="I62" s="22"/>
      <c r="J62" s="22"/>
      <c r="K62" s="68">
        <f t="shared" si="11"/>
        <v>0</v>
      </c>
      <c r="L62" s="31"/>
      <c r="M62" s="31"/>
    </row>
    <row r="63" spans="2:13" ht="13">
      <c r="B63" s="266"/>
      <c r="C63" s="266"/>
      <c r="D63" s="10"/>
      <c r="E63" s="12"/>
      <c r="F63" s="21"/>
      <c r="G63" s="21"/>
      <c r="H63" s="262"/>
      <c r="I63" s="22"/>
      <c r="J63" s="22"/>
      <c r="K63" s="68">
        <f t="shared" si="11"/>
        <v>0</v>
      </c>
      <c r="L63" s="31"/>
      <c r="M63" s="31"/>
    </row>
    <row r="64" spans="2:13" ht="13">
      <c r="B64" s="266"/>
      <c r="C64" s="266"/>
      <c r="D64" s="10"/>
      <c r="E64" s="12"/>
      <c r="F64" s="21"/>
      <c r="G64" s="21"/>
      <c r="H64" s="262"/>
      <c r="I64" s="22"/>
      <c r="J64" s="22"/>
      <c r="K64" s="68">
        <f t="shared" si="11"/>
        <v>0</v>
      </c>
      <c r="L64" s="31"/>
      <c r="M64" s="31"/>
    </row>
    <row r="65" spans="2:13" ht="13">
      <c r="B65" s="266"/>
      <c r="C65" s="266"/>
      <c r="D65" s="10"/>
      <c r="E65" s="12"/>
      <c r="F65" s="21"/>
      <c r="G65" s="21"/>
      <c r="H65" s="12"/>
      <c r="I65" s="22"/>
      <c r="J65" s="22"/>
      <c r="K65" s="68">
        <f t="shared" si="11"/>
        <v>0</v>
      </c>
      <c r="L65" s="31"/>
      <c r="M65" s="31"/>
    </row>
    <row r="66" spans="2:13" ht="13">
      <c r="B66" s="266"/>
      <c r="C66" s="266"/>
      <c r="D66" s="10"/>
      <c r="E66" s="12"/>
      <c r="F66" s="21"/>
      <c r="G66" s="21"/>
      <c r="H66" s="12"/>
      <c r="I66" s="22"/>
      <c r="J66" s="22"/>
      <c r="K66" s="68">
        <f t="shared" si="11"/>
        <v>0</v>
      </c>
      <c r="L66" s="31"/>
      <c r="M66" s="31"/>
    </row>
    <row r="67" spans="2:13" ht="13">
      <c r="B67" s="266"/>
      <c r="C67" s="266"/>
      <c r="D67" s="10"/>
      <c r="E67" s="12"/>
      <c r="F67" s="21"/>
      <c r="G67" s="21"/>
      <c r="H67" s="12"/>
      <c r="I67" s="22"/>
      <c r="J67" s="22"/>
      <c r="K67" s="29"/>
      <c r="L67" s="31"/>
      <c r="M67" s="31"/>
    </row>
    <row r="68" spans="2:13" ht="13">
      <c r="B68" s="266"/>
      <c r="C68" s="266"/>
      <c r="D68" s="10"/>
      <c r="E68" s="12"/>
      <c r="F68" s="21"/>
      <c r="G68" s="21"/>
      <c r="H68" s="12"/>
      <c r="I68" s="22"/>
      <c r="J68" s="22"/>
      <c r="K68" s="29"/>
      <c r="L68" s="31"/>
      <c r="M68" s="31"/>
    </row>
    <row r="69" spans="2:13" ht="13">
      <c r="B69" s="266"/>
      <c r="C69" s="266"/>
      <c r="D69" s="10"/>
      <c r="E69" s="12"/>
      <c r="F69" s="21"/>
      <c r="G69" s="21"/>
      <c r="H69" s="12"/>
      <c r="I69" s="22"/>
      <c r="J69" s="22"/>
      <c r="K69" s="29"/>
      <c r="L69" s="31"/>
      <c r="M69" s="31"/>
    </row>
    <row r="70" spans="2:13" ht="13">
      <c r="B70" s="266"/>
      <c r="C70" s="266"/>
      <c r="D70" s="10"/>
      <c r="E70" s="12"/>
      <c r="F70" s="21"/>
      <c r="G70" s="21"/>
      <c r="H70" s="12"/>
      <c r="I70" s="22"/>
      <c r="J70" s="22"/>
      <c r="K70" s="29"/>
      <c r="L70" s="31"/>
      <c r="M70" s="31"/>
    </row>
    <row r="71" spans="2:13" ht="13">
      <c r="B71" s="266"/>
      <c r="C71" s="266"/>
      <c r="D71" s="10"/>
      <c r="E71" s="12"/>
      <c r="F71" s="21"/>
      <c r="G71" s="21"/>
      <c r="H71" s="12"/>
      <c r="I71" s="22"/>
      <c r="J71" s="22"/>
      <c r="K71" s="29"/>
      <c r="L71" s="31"/>
      <c r="M71" s="31"/>
    </row>
    <row r="72" spans="2:13" ht="13">
      <c r="B72" s="266"/>
      <c r="C72" s="266"/>
      <c r="D72" s="10"/>
      <c r="E72" s="12"/>
      <c r="F72" s="21"/>
      <c r="G72" s="21"/>
      <c r="H72" s="12"/>
      <c r="I72" s="22"/>
      <c r="J72" s="22"/>
      <c r="K72" s="29"/>
      <c r="L72" s="31"/>
      <c r="M72" s="31"/>
    </row>
    <row r="73" spans="2:13" ht="13">
      <c r="B73" s="266"/>
      <c r="C73" s="266"/>
      <c r="D73" s="10"/>
      <c r="E73" s="12"/>
      <c r="F73" s="21"/>
      <c r="G73" s="21"/>
      <c r="H73" s="12"/>
      <c r="I73" s="22"/>
      <c r="J73" s="22"/>
      <c r="K73" s="29"/>
      <c r="L73" s="31"/>
      <c r="M73" s="31"/>
    </row>
    <row r="74" spans="2:13" ht="13">
      <c r="B74" s="266"/>
      <c r="C74" s="266"/>
      <c r="D74" s="10"/>
      <c r="E74" s="12"/>
      <c r="F74" s="21"/>
      <c r="G74" s="21"/>
      <c r="H74" s="12"/>
      <c r="I74" s="22"/>
      <c r="J74" s="22"/>
      <c r="K74" s="29"/>
      <c r="L74" s="31"/>
      <c r="M74" s="31"/>
    </row>
    <row r="75" spans="2:13" ht="13">
      <c r="B75" s="266"/>
      <c r="C75" s="266"/>
      <c r="D75" s="10"/>
      <c r="E75" s="12"/>
      <c r="F75" s="21"/>
      <c r="G75" s="21"/>
      <c r="H75" s="12"/>
      <c r="I75" s="22"/>
      <c r="J75" s="22"/>
      <c r="K75" s="29"/>
      <c r="L75" s="31"/>
      <c r="M75" s="31"/>
    </row>
    <row r="76" spans="2:13" ht="13">
      <c r="B76" s="266"/>
      <c r="C76" s="266"/>
      <c r="D76" s="10"/>
      <c r="E76" s="12"/>
      <c r="F76" s="21"/>
      <c r="G76" s="21"/>
      <c r="H76" s="12"/>
      <c r="I76" s="22"/>
      <c r="J76" s="22"/>
      <c r="K76" s="29"/>
      <c r="L76" s="31"/>
      <c r="M76" s="31"/>
    </row>
    <row r="77" spans="2:13" ht="13">
      <c r="B77" s="266"/>
      <c r="C77" s="266"/>
      <c r="D77" s="10"/>
      <c r="E77" s="12"/>
      <c r="F77" s="21"/>
      <c r="G77" s="21"/>
      <c r="H77" s="12"/>
      <c r="I77" s="22"/>
      <c r="J77" s="22"/>
      <c r="K77" s="29"/>
      <c r="L77" s="31"/>
      <c r="M77" s="31"/>
    </row>
    <row r="78" spans="2:13" ht="13">
      <c r="B78" s="266"/>
      <c r="C78" s="266"/>
      <c r="D78" s="10"/>
      <c r="E78" s="12"/>
      <c r="F78" s="21"/>
      <c r="G78" s="21"/>
      <c r="H78" s="12"/>
      <c r="I78" s="22"/>
      <c r="J78" s="22"/>
      <c r="K78" s="29"/>
    </row>
    <row r="79" spans="2:13" ht="13">
      <c r="B79" s="266"/>
      <c r="C79" s="266"/>
      <c r="D79" s="10"/>
      <c r="E79" s="12"/>
      <c r="F79" s="21"/>
      <c r="G79" s="21"/>
      <c r="H79" s="12"/>
      <c r="I79" s="22"/>
      <c r="J79" s="22"/>
      <c r="K79" s="29"/>
    </row>
    <row r="80" spans="2:13" ht="13">
      <c r="B80" s="266"/>
      <c r="C80" s="266"/>
      <c r="D80" s="10"/>
      <c r="E80" s="12"/>
      <c r="F80" s="21"/>
      <c r="G80" s="21"/>
      <c r="H80" s="12"/>
      <c r="I80" s="22"/>
      <c r="J80" s="22"/>
      <c r="K80" s="29"/>
    </row>
    <row r="81" spans="2:12" ht="13">
      <c r="B81" s="266"/>
      <c r="C81" s="266"/>
      <c r="D81" s="10"/>
      <c r="E81" s="12"/>
      <c r="F81" s="21"/>
      <c r="G81" s="21"/>
      <c r="H81" s="12"/>
      <c r="I81" s="22"/>
      <c r="J81" s="22"/>
      <c r="K81" s="29"/>
    </row>
    <row r="82" spans="2:12" ht="13">
      <c r="B82" s="266"/>
      <c r="C82" s="266"/>
      <c r="D82" s="10"/>
      <c r="E82" s="12"/>
      <c r="F82" s="21"/>
      <c r="G82" s="21"/>
      <c r="H82" s="12"/>
      <c r="I82" s="22"/>
      <c r="J82" s="22"/>
      <c r="K82" s="29"/>
      <c r="L82" s="355"/>
    </row>
    <row r="83" spans="2:12" ht="13">
      <c r="B83" s="266"/>
      <c r="C83" s="266"/>
      <c r="D83" s="10"/>
      <c r="E83" s="12"/>
      <c r="F83" s="21"/>
      <c r="G83" s="21"/>
      <c r="H83" s="12"/>
      <c r="I83" s="22"/>
      <c r="J83" s="22"/>
      <c r="K83" s="29"/>
    </row>
    <row r="84" spans="2:12" ht="13">
      <c r="B84" s="266"/>
      <c r="C84" s="266"/>
      <c r="D84" s="10"/>
      <c r="E84" s="12"/>
      <c r="F84" s="21"/>
      <c r="G84" s="21"/>
      <c r="H84" s="12"/>
      <c r="I84" s="22"/>
      <c r="J84" s="22"/>
      <c r="K84" s="29"/>
    </row>
    <row r="85" spans="2:12" ht="13">
      <c r="B85" s="266"/>
      <c r="C85" s="266"/>
      <c r="D85" s="10"/>
      <c r="E85" s="12"/>
      <c r="F85" s="21"/>
      <c r="G85" s="21"/>
      <c r="H85" s="12"/>
      <c r="I85" s="22"/>
      <c r="J85" s="22"/>
      <c r="K85" s="29"/>
    </row>
    <row r="86" spans="2:12" ht="13">
      <c r="B86" s="266"/>
      <c r="C86" s="266"/>
      <c r="D86" s="10"/>
      <c r="E86" s="12"/>
      <c r="F86" s="21"/>
      <c r="G86" s="21"/>
      <c r="H86" s="12"/>
      <c r="I86" s="22"/>
      <c r="J86" s="22"/>
      <c r="K86" s="29"/>
    </row>
    <row r="87" spans="2:12" ht="13">
      <c r="B87" s="266"/>
      <c r="C87" s="266"/>
      <c r="D87" s="10"/>
      <c r="E87" s="12"/>
      <c r="F87" s="21"/>
      <c r="G87" s="21"/>
      <c r="H87" s="12"/>
      <c r="I87" s="22"/>
      <c r="J87" s="22"/>
      <c r="K87" s="29"/>
    </row>
    <row r="88" spans="2:12" ht="13">
      <c r="B88" s="266"/>
      <c r="C88" s="266"/>
      <c r="D88" s="10"/>
      <c r="E88" s="12"/>
      <c r="F88" s="21"/>
      <c r="G88" s="21"/>
      <c r="H88" s="12"/>
      <c r="I88" s="22"/>
      <c r="J88" s="22"/>
      <c r="K88" s="29"/>
      <c r="L88" s="350"/>
    </row>
    <row r="89" spans="2:12" ht="13">
      <c r="B89" s="266"/>
      <c r="C89" s="266"/>
      <c r="D89" s="10"/>
      <c r="E89" s="12"/>
      <c r="F89" s="21"/>
      <c r="G89" s="21"/>
      <c r="H89" s="12"/>
      <c r="I89" s="22"/>
      <c r="J89" s="22"/>
      <c r="K89" s="29"/>
    </row>
    <row r="90" spans="2:12" ht="13">
      <c r="B90" s="266"/>
      <c r="C90" s="266"/>
      <c r="D90" s="10"/>
      <c r="E90" s="12"/>
      <c r="F90" s="21"/>
      <c r="G90" s="21"/>
      <c r="H90" s="12"/>
      <c r="I90" s="22"/>
      <c r="J90" s="22"/>
      <c r="K90" s="29"/>
    </row>
    <row r="91" spans="2:12" ht="13">
      <c r="B91" s="266"/>
      <c r="C91" s="266"/>
      <c r="D91" s="10"/>
      <c r="E91" s="12"/>
      <c r="F91" s="21"/>
      <c r="G91" s="21"/>
      <c r="H91" s="12"/>
      <c r="I91" s="22"/>
      <c r="J91" s="22"/>
      <c r="K91" s="29"/>
    </row>
    <row r="92" spans="2:12" ht="13">
      <c r="B92" s="266"/>
      <c r="C92" s="266"/>
      <c r="D92" s="10"/>
      <c r="E92" s="12"/>
      <c r="F92" s="21"/>
      <c r="G92" s="21"/>
      <c r="H92" s="12"/>
      <c r="I92" s="22"/>
      <c r="J92" s="22"/>
      <c r="K92" s="29"/>
    </row>
    <row r="93" spans="2:12" ht="13">
      <c r="B93" s="266"/>
      <c r="C93" s="266"/>
      <c r="D93" s="10"/>
      <c r="E93" s="12"/>
      <c r="F93" s="21"/>
      <c r="G93" s="21"/>
      <c r="H93" s="12"/>
      <c r="I93" s="22"/>
      <c r="J93" s="22"/>
      <c r="K93" s="29"/>
    </row>
    <row r="94" spans="2:12" ht="13">
      <c r="B94" s="266"/>
      <c r="C94" s="266"/>
      <c r="D94" s="10"/>
      <c r="E94" s="12"/>
      <c r="F94" s="21"/>
      <c r="G94" s="21"/>
      <c r="H94" s="12"/>
      <c r="I94" s="22"/>
      <c r="J94" s="22"/>
      <c r="K94" s="29"/>
    </row>
    <row r="95" spans="2:12" ht="13">
      <c r="B95" s="266"/>
      <c r="C95" s="266"/>
      <c r="D95" s="10"/>
      <c r="E95" s="12"/>
      <c r="F95" s="21"/>
      <c r="G95" s="21"/>
      <c r="H95" s="12"/>
      <c r="I95" s="22"/>
      <c r="J95" s="22"/>
      <c r="K95" s="29"/>
    </row>
    <row r="96" spans="2:12" ht="13">
      <c r="B96" s="266"/>
      <c r="C96" s="266"/>
      <c r="D96" s="10"/>
      <c r="E96" s="12"/>
      <c r="F96" s="21"/>
      <c r="G96" s="21"/>
      <c r="H96" s="12"/>
      <c r="I96" s="22"/>
      <c r="J96" s="22"/>
      <c r="K96" s="29"/>
    </row>
    <row r="97" spans="2:11" ht="13">
      <c r="B97" s="266"/>
      <c r="C97" s="266"/>
      <c r="D97" s="10"/>
      <c r="E97" s="12"/>
      <c r="F97" s="21"/>
      <c r="G97" s="21"/>
      <c r="H97" s="12"/>
      <c r="I97" s="22"/>
      <c r="J97" s="22"/>
      <c r="K97" s="29"/>
    </row>
    <row r="98" spans="2:11" ht="13">
      <c r="B98" s="266"/>
      <c r="C98" s="266"/>
      <c r="D98" s="10"/>
      <c r="E98" s="12"/>
      <c r="F98" s="21"/>
      <c r="G98" s="21"/>
      <c r="H98" s="12"/>
      <c r="I98" s="22"/>
      <c r="J98" s="22"/>
      <c r="K98" s="29"/>
    </row>
    <row r="99" spans="2:11" ht="13">
      <c r="B99" s="266"/>
      <c r="C99" s="266"/>
      <c r="D99" s="10"/>
      <c r="E99" s="12"/>
      <c r="F99" s="21"/>
      <c r="G99" s="21"/>
      <c r="H99" s="12"/>
      <c r="I99" s="22"/>
      <c r="J99" s="22"/>
      <c r="K99" s="29"/>
    </row>
    <row r="100" spans="2:11" ht="13">
      <c r="B100" s="266"/>
      <c r="C100" s="266"/>
      <c r="D100" s="10"/>
      <c r="E100" s="12"/>
      <c r="F100" s="21"/>
      <c r="G100" s="21"/>
      <c r="H100" s="12"/>
      <c r="I100" s="22"/>
      <c r="J100" s="22"/>
      <c r="K100" s="29"/>
    </row>
    <row r="101" spans="2:11" ht="13">
      <c r="B101" s="266"/>
      <c r="C101" s="266"/>
      <c r="D101" s="10"/>
      <c r="E101" s="7"/>
      <c r="F101" s="21"/>
      <c r="G101" s="21"/>
      <c r="H101" s="12"/>
      <c r="I101" s="22"/>
      <c r="J101" s="22"/>
      <c r="K101" s="29"/>
    </row>
    <row r="102" spans="2:11">
      <c r="D102"/>
      <c r="J102" s="267"/>
      <c r="K102" s="268">
        <f>SUM(K52:K101)</f>
        <v>0</v>
      </c>
    </row>
    <row r="103" spans="2:11">
      <c r="B103" s="1"/>
      <c r="C103" s="1"/>
      <c r="D103" s="60"/>
      <c r="E103" s="1"/>
      <c r="F103" s="1"/>
      <c r="G103" s="1"/>
      <c r="H103" s="1"/>
      <c r="I103" s="1"/>
      <c r="J103" s="1"/>
    </row>
    <row r="104" spans="2:11">
      <c r="B104" s="1"/>
      <c r="C104" s="1"/>
      <c r="D104" s="60"/>
      <c r="E104" s="1"/>
      <c r="F104" s="1"/>
      <c r="G104" s="1"/>
      <c r="H104" s="1"/>
      <c r="I104" s="1"/>
      <c r="J104" s="1"/>
    </row>
    <row r="105" spans="2:11">
      <c r="B105" s="1"/>
      <c r="C105" s="1"/>
      <c r="D105" s="60"/>
      <c r="E105" s="1"/>
      <c r="F105" s="1"/>
      <c r="G105" s="1"/>
      <c r="H105" s="1"/>
      <c r="I105" s="1"/>
      <c r="J105" s="1"/>
    </row>
    <row r="106" spans="2:11">
      <c r="B106" s="1"/>
      <c r="C106" s="1"/>
      <c r="D106" s="60"/>
      <c r="E106" s="1"/>
      <c r="F106" s="1"/>
      <c r="G106" s="1"/>
      <c r="H106" s="1"/>
      <c r="I106" s="1"/>
      <c r="J106" s="1"/>
    </row>
    <row r="107" spans="2:11">
      <c r="B107" s="1"/>
      <c r="C107" s="1"/>
      <c r="D107" s="60"/>
      <c r="E107" s="1"/>
      <c r="F107" s="1"/>
      <c r="G107" s="1"/>
      <c r="H107" s="1"/>
      <c r="I107" s="1"/>
      <c r="J107" s="1"/>
    </row>
    <row r="108" spans="2:11">
      <c r="B108" s="1"/>
      <c r="C108" s="1"/>
      <c r="D108" s="60"/>
      <c r="E108" s="1"/>
      <c r="F108" s="1"/>
      <c r="G108" s="1"/>
      <c r="H108" s="1"/>
      <c r="I108" s="1"/>
      <c r="J108" s="1"/>
    </row>
    <row r="109" spans="2:11">
      <c r="B109" s="1"/>
      <c r="C109" s="1"/>
      <c r="D109" s="60"/>
      <c r="E109" s="1"/>
      <c r="F109" s="1"/>
      <c r="G109" s="1"/>
      <c r="H109" s="1"/>
      <c r="I109" s="1"/>
      <c r="J109" s="1"/>
    </row>
    <row r="110" spans="2:11">
      <c r="B110" s="1"/>
      <c r="C110" s="1"/>
      <c r="D110" s="60"/>
      <c r="E110" s="1"/>
      <c r="F110" s="1"/>
      <c r="G110" s="1"/>
      <c r="H110" s="1"/>
      <c r="I110" s="1"/>
      <c r="J110" s="1"/>
    </row>
    <row r="111" spans="2:11">
      <c r="B111" s="1"/>
      <c r="C111" s="1"/>
      <c r="D111" s="60"/>
      <c r="E111" s="1"/>
      <c r="F111" s="1"/>
      <c r="G111" s="1"/>
      <c r="H111" s="1"/>
      <c r="I111" s="1"/>
      <c r="J111" s="1"/>
    </row>
    <row r="112" spans="2:11">
      <c r="B112" s="1"/>
      <c r="C112" s="1"/>
      <c r="D112" s="60"/>
      <c r="E112" s="1"/>
      <c r="F112" s="1"/>
      <c r="G112" s="1"/>
      <c r="H112" s="1"/>
      <c r="I112" s="1"/>
      <c r="J112" s="1"/>
    </row>
    <row r="113" spans="2:10">
      <c r="B113" s="1"/>
      <c r="C113" s="1"/>
      <c r="D113" s="60"/>
      <c r="E113" s="1"/>
      <c r="F113" s="1"/>
      <c r="G113" s="1"/>
      <c r="H113" s="1"/>
      <c r="I113" s="1"/>
      <c r="J113" s="1"/>
    </row>
    <row r="114" spans="2:10">
      <c r="B114" s="1"/>
      <c r="C114" s="1"/>
      <c r="D114" s="60"/>
      <c r="E114" s="1"/>
      <c r="F114" s="1"/>
      <c r="G114" s="1"/>
      <c r="H114" s="1"/>
      <c r="I114" s="1"/>
      <c r="J114" s="1"/>
    </row>
    <row r="115" spans="2:10">
      <c r="B115" s="1"/>
      <c r="C115" s="1"/>
      <c r="D115" s="60"/>
      <c r="E115" s="1"/>
      <c r="F115" s="1"/>
      <c r="G115" s="1"/>
      <c r="H115" s="1"/>
      <c r="I115" s="1"/>
      <c r="J115" s="1"/>
    </row>
    <row r="116" spans="2:10">
      <c r="B116" s="1"/>
      <c r="C116" s="1"/>
      <c r="D116" s="60"/>
      <c r="E116" s="1"/>
      <c r="F116" s="1"/>
      <c r="G116" s="1"/>
      <c r="H116" s="1"/>
      <c r="I116" s="1"/>
      <c r="J116" s="1"/>
    </row>
    <row r="117" spans="2:10">
      <c r="B117" s="1"/>
      <c r="C117" s="1"/>
      <c r="D117" s="60"/>
      <c r="E117" s="1"/>
      <c r="F117" s="1"/>
      <c r="G117" s="1"/>
      <c r="H117" s="1"/>
      <c r="I117" s="1"/>
      <c r="J117" s="1"/>
    </row>
    <row r="118" spans="2:10">
      <c r="B118" s="1"/>
      <c r="C118" s="1"/>
      <c r="D118" s="60"/>
      <c r="E118" s="1"/>
      <c r="F118" s="1"/>
      <c r="G118" s="1"/>
      <c r="H118" s="1"/>
      <c r="I118" s="1"/>
      <c r="J118" s="1"/>
    </row>
    <row r="119" spans="2:10">
      <c r="B119" s="1"/>
      <c r="C119" s="1"/>
      <c r="D119" s="60"/>
      <c r="E119" s="1"/>
      <c r="F119" s="1"/>
      <c r="G119" s="1"/>
      <c r="H119" s="1"/>
      <c r="I119" s="1"/>
      <c r="J119" s="1"/>
    </row>
    <row r="120" spans="2:10">
      <c r="B120" s="1"/>
      <c r="C120" s="1"/>
      <c r="D120" s="60"/>
      <c r="E120" s="1"/>
      <c r="F120" s="1"/>
      <c r="G120" s="1"/>
      <c r="H120" s="1"/>
      <c r="I120" s="1"/>
      <c r="J120" s="1"/>
    </row>
    <row r="121" spans="2:10">
      <c r="B121" s="1"/>
      <c r="C121" s="1"/>
      <c r="D121" s="60"/>
      <c r="E121" s="1"/>
      <c r="F121" s="1"/>
      <c r="G121" s="1"/>
      <c r="H121" s="1"/>
      <c r="I121" s="1"/>
      <c r="J121" s="1"/>
    </row>
    <row r="122" spans="2:10">
      <c r="B122" s="1"/>
      <c r="C122" s="1"/>
      <c r="D122" s="60"/>
      <c r="E122" s="1"/>
      <c r="F122" s="1"/>
      <c r="G122" s="1"/>
      <c r="H122" s="1"/>
      <c r="I122" s="1"/>
      <c r="J122" s="1"/>
    </row>
    <row r="123" spans="2:10">
      <c r="B123" s="1"/>
      <c r="C123" s="1"/>
      <c r="D123" s="60"/>
      <c r="E123" s="1"/>
      <c r="F123" s="1"/>
      <c r="G123" s="1"/>
      <c r="H123" s="1"/>
      <c r="I123" s="1"/>
      <c r="J123" s="1"/>
    </row>
    <row r="124" spans="2:10">
      <c r="B124" s="1"/>
      <c r="C124" s="1"/>
      <c r="D124" s="60"/>
      <c r="E124" s="1"/>
      <c r="F124" s="1"/>
      <c r="G124" s="1"/>
      <c r="H124" s="1"/>
      <c r="I124" s="1"/>
      <c r="J124" s="1"/>
    </row>
    <row r="125" spans="2:10">
      <c r="B125" s="1"/>
      <c r="C125" s="1"/>
      <c r="D125" s="60"/>
      <c r="E125" s="1"/>
      <c r="F125" s="1"/>
      <c r="G125" s="1"/>
      <c r="H125" s="1"/>
      <c r="I125" s="1"/>
      <c r="J125" s="1"/>
    </row>
    <row r="126" spans="2:10">
      <c r="B126" s="1"/>
      <c r="C126" s="1"/>
      <c r="D126" s="60"/>
      <c r="E126" s="1"/>
      <c r="F126" s="1"/>
      <c r="G126" s="1"/>
      <c r="H126" s="1"/>
      <c r="I126" s="1"/>
      <c r="J126" s="1"/>
    </row>
    <row r="127" spans="2:10">
      <c r="B127" s="1"/>
      <c r="C127" s="1"/>
      <c r="D127" s="60"/>
      <c r="E127" s="1"/>
      <c r="F127" s="1"/>
      <c r="G127" s="1"/>
      <c r="H127" s="1"/>
      <c r="I127" s="1"/>
      <c r="J127" s="1"/>
    </row>
    <row r="128" spans="2:10">
      <c r="B128" s="1"/>
      <c r="C128" s="1"/>
      <c r="D128" s="60"/>
      <c r="E128" s="1"/>
      <c r="F128" s="1"/>
      <c r="G128" s="1"/>
      <c r="H128" s="1"/>
      <c r="I128" s="1"/>
      <c r="J128" s="1"/>
    </row>
    <row r="129" spans="2:10">
      <c r="B129" s="1"/>
      <c r="C129" s="1"/>
      <c r="D129" s="60"/>
      <c r="E129" s="1"/>
      <c r="F129" s="1"/>
      <c r="G129" s="1"/>
      <c r="H129" s="1"/>
      <c r="I129" s="1"/>
      <c r="J129" s="1"/>
    </row>
    <row r="130" spans="2:10">
      <c r="B130" s="1"/>
      <c r="C130" s="1"/>
      <c r="D130" s="60"/>
      <c r="E130" s="1"/>
      <c r="F130" s="1"/>
      <c r="G130" s="1"/>
      <c r="H130" s="1"/>
      <c r="I130" s="1"/>
      <c r="J130" s="1"/>
    </row>
    <row r="131" spans="2:10">
      <c r="B131" s="1"/>
      <c r="C131" s="1"/>
      <c r="D131" s="60"/>
      <c r="E131" s="1"/>
      <c r="F131" s="1"/>
      <c r="G131" s="1"/>
      <c r="H131" s="1"/>
      <c r="I131" s="1"/>
      <c r="J131" s="1"/>
    </row>
    <row r="132" spans="2:10">
      <c r="B132" s="1"/>
      <c r="C132" s="1"/>
      <c r="D132" s="60"/>
      <c r="E132" s="1"/>
      <c r="F132" s="1"/>
      <c r="G132" s="1"/>
      <c r="H132" s="1"/>
      <c r="I132" s="1"/>
      <c r="J132" s="1"/>
    </row>
    <row r="133" spans="2:10">
      <c r="B133" s="1"/>
      <c r="C133" s="1"/>
      <c r="D133" s="60"/>
      <c r="E133" s="1"/>
      <c r="F133" s="1"/>
      <c r="G133" s="1"/>
      <c r="H133" s="1"/>
      <c r="I133" s="1"/>
      <c r="J133" s="1"/>
    </row>
    <row r="134" spans="2:10">
      <c r="B134" s="1"/>
      <c r="C134" s="1"/>
      <c r="D134" s="60"/>
      <c r="E134" s="1"/>
      <c r="F134" s="1"/>
      <c r="G134" s="1"/>
      <c r="H134" s="1"/>
      <c r="I134" s="1"/>
      <c r="J134" s="1"/>
    </row>
    <row r="135" spans="2:10">
      <c r="B135" s="1"/>
      <c r="C135" s="1"/>
      <c r="D135" s="60"/>
      <c r="E135" s="1"/>
      <c r="F135" s="1"/>
      <c r="G135" s="1"/>
      <c r="H135" s="1"/>
      <c r="I135" s="1"/>
      <c r="J135" s="1"/>
    </row>
    <row r="136" spans="2:10">
      <c r="B136" s="1"/>
      <c r="C136" s="1"/>
      <c r="D136" s="60"/>
      <c r="E136" s="1"/>
      <c r="F136" s="1"/>
      <c r="G136" s="1"/>
      <c r="H136" s="1"/>
      <c r="I136" s="1"/>
      <c r="J136" s="1"/>
    </row>
    <row r="137" spans="2:10">
      <c r="B137" s="1"/>
      <c r="C137" s="1"/>
      <c r="D137" s="60"/>
      <c r="E137" s="1"/>
      <c r="F137" s="1"/>
      <c r="G137" s="1"/>
      <c r="H137" s="1"/>
      <c r="I137" s="1"/>
      <c r="J137" s="1"/>
    </row>
    <row r="138" spans="2:10">
      <c r="B138" s="1"/>
      <c r="C138" s="1"/>
      <c r="D138" s="60"/>
      <c r="E138" s="1"/>
      <c r="F138" s="1"/>
      <c r="G138" s="1"/>
      <c r="H138" s="1"/>
      <c r="I138" s="1"/>
      <c r="J138" s="1"/>
    </row>
    <row r="139" spans="2:10">
      <c r="B139" s="1"/>
      <c r="C139" s="1"/>
      <c r="D139" s="60"/>
      <c r="E139" s="1"/>
      <c r="F139" s="1"/>
      <c r="G139" s="1"/>
      <c r="H139" s="1"/>
      <c r="I139" s="1"/>
      <c r="J139" s="1"/>
    </row>
    <row r="140" spans="2:10">
      <c r="B140" s="1"/>
      <c r="C140" s="1"/>
      <c r="D140" s="60"/>
      <c r="E140" s="1"/>
      <c r="F140" s="1"/>
      <c r="G140" s="1"/>
      <c r="H140" s="1"/>
      <c r="I140" s="1"/>
      <c r="J140" s="1"/>
    </row>
    <row r="141" spans="2:10">
      <c r="B141" s="1"/>
      <c r="C141" s="1"/>
      <c r="D141" s="60"/>
      <c r="E141" s="1"/>
      <c r="F141" s="1"/>
      <c r="G141" s="1"/>
      <c r="H141" s="1"/>
      <c r="I141" s="1"/>
      <c r="J141" s="1"/>
    </row>
    <row r="142" spans="2:10">
      <c r="B142" s="1"/>
      <c r="C142" s="1"/>
      <c r="D142" s="60"/>
      <c r="E142" s="1"/>
      <c r="F142" s="1"/>
      <c r="G142" s="1"/>
      <c r="H142" s="1"/>
      <c r="I142" s="1"/>
      <c r="J142" s="1"/>
    </row>
    <row r="143" spans="2:10">
      <c r="B143" s="1"/>
      <c r="C143" s="1"/>
      <c r="D143" s="60"/>
      <c r="E143" s="1"/>
      <c r="F143" s="1"/>
      <c r="G143" s="1"/>
      <c r="H143" s="1"/>
      <c r="I143" s="1"/>
      <c r="J143" s="1"/>
    </row>
    <row r="144" spans="2:10">
      <c r="B144" s="1"/>
      <c r="C144" s="1"/>
      <c r="D144" s="60"/>
      <c r="E144" s="1"/>
      <c r="F144" s="1"/>
      <c r="G144" s="1"/>
      <c r="H144" s="1"/>
      <c r="I144" s="1"/>
      <c r="J144" s="1"/>
    </row>
    <row r="145" spans="2:10">
      <c r="B145" s="1"/>
      <c r="C145" s="1"/>
      <c r="D145" s="60"/>
      <c r="E145" s="1"/>
      <c r="F145" s="1"/>
      <c r="G145" s="1"/>
      <c r="H145" s="1"/>
      <c r="I145" s="1"/>
      <c r="J145" s="1"/>
    </row>
    <row r="146" spans="2:10">
      <c r="B146" s="1"/>
      <c r="C146" s="1"/>
      <c r="D146" s="60"/>
      <c r="E146" s="1"/>
      <c r="F146" s="1"/>
      <c r="G146" s="1"/>
      <c r="H146" s="1"/>
      <c r="I146" s="1"/>
      <c r="J146" s="1"/>
    </row>
    <row r="147" spans="2:10">
      <c r="B147" s="1"/>
      <c r="C147" s="1"/>
      <c r="D147" s="60"/>
      <c r="E147" s="1"/>
      <c r="F147" s="1"/>
      <c r="G147" s="1"/>
      <c r="H147" s="1"/>
      <c r="I147" s="1"/>
      <c r="J147" s="1"/>
    </row>
    <row r="148" spans="2:10">
      <c r="B148" s="1"/>
      <c r="C148" s="1"/>
      <c r="D148" s="60"/>
      <c r="E148" s="1"/>
      <c r="F148" s="1"/>
      <c r="G148" s="1"/>
      <c r="H148" s="1"/>
      <c r="I148" s="1"/>
      <c r="J148" s="1"/>
    </row>
    <row r="149" spans="2:10">
      <c r="B149" s="1"/>
      <c r="C149" s="1"/>
      <c r="D149" s="60"/>
      <c r="E149" s="1"/>
      <c r="F149" s="1"/>
      <c r="G149" s="1"/>
      <c r="H149" s="1"/>
      <c r="I149" s="1"/>
      <c r="J149" s="1"/>
    </row>
    <row r="150" spans="2:10">
      <c r="B150" s="1"/>
      <c r="C150" s="1"/>
      <c r="D150" s="60"/>
      <c r="E150" s="1"/>
      <c r="F150" s="1"/>
      <c r="G150" s="1"/>
      <c r="H150" s="1"/>
      <c r="I150" s="1"/>
      <c r="J150" s="1"/>
    </row>
    <row r="151" spans="2:10">
      <c r="B151" s="1"/>
      <c r="C151" s="1"/>
      <c r="D151" s="60"/>
      <c r="E151" s="1"/>
      <c r="F151" s="1"/>
      <c r="G151" s="1"/>
      <c r="H151" s="1"/>
      <c r="I151" s="1"/>
      <c r="J151" s="1"/>
    </row>
    <row r="152" spans="2:10">
      <c r="B152" s="1"/>
      <c r="C152" s="1"/>
      <c r="D152" s="60"/>
      <c r="E152" s="1"/>
      <c r="F152" s="1"/>
      <c r="G152" s="1"/>
      <c r="H152" s="1"/>
      <c r="I152" s="1"/>
      <c r="J152" s="1"/>
    </row>
    <row r="153" spans="2:10">
      <c r="B153" s="1"/>
      <c r="C153" s="1"/>
      <c r="D153" s="60"/>
      <c r="E153" s="1"/>
      <c r="F153" s="1"/>
      <c r="G153" s="1"/>
      <c r="H153" s="1"/>
      <c r="I153" s="1"/>
      <c r="J153" s="1"/>
    </row>
    <row r="154" spans="2:10">
      <c r="B154" s="1"/>
      <c r="C154" s="1"/>
      <c r="D154" s="60"/>
      <c r="E154" s="1"/>
      <c r="F154" s="1"/>
      <c r="G154" s="1"/>
      <c r="H154" s="1"/>
      <c r="I154" s="1"/>
      <c r="J154" s="1"/>
    </row>
    <row r="155" spans="2:10">
      <c r="B155" s="1"/>
      <c r="C155" s="1"/>
      <c r="D155" s="60"/>
      <c r="E155" s="1"/>
      <c r="F155" s="1"/>
      <c r="G155" s="1"/>
      <c r="H155" s="1"/>
      <c r="I155" s="1"/>
      <c r="J155" s="1"/>
    </row>
    <row r="156" spans="2:10">
      <c r="B156" s="1"/>
      <c r="C156" s="1"/>
      <c r="D156" s="60"/>
      <c r="E156" s="1"/>
      <c r="F156" s="1"/>
      <c r="G156" s="1"/>
      <c r="H156" s="1"/>
      <c r="I156" s="1"/>
      <c r="J156" s="1"/>
    </row>
    <row r="157" spans="2:10">
      <c r="B157" s="1"/>
      <c r="C157" s="1"/>
      <c r="D157" s="60"/>
      <c r="E157" s="1"/>
      <c r="F157" s="1"/>
      <c r="G157" s="1"/>
      <c r="H157" s="1"/>
      <c r="I157" s="1"/>
      <c r="J157" s="1"/>
    </row>
    <row r="158" spans="2:10">
      <c r="B158" s="1"/>
      <c r="C158" s="1"/>
      <c r="D158" s="60"/>
      <c r="E158" s="1"/>
      <c r="F158" s="1"/>
      <c r="G158" s="1"/>
      <c r="H158" s="1"/>
      <c r="I158" s="1"/>
      <c r="J158" s="1"/>
    </row>
    <row r="159" spans="2:10">
      <c r="B159" s="1"/>
      <c r="C159" s="1"/>
      <c r="D159" s="60"/>
      <c r="E159" s="1"/>
      <c r="F159" s="1"/>
      <c r="G159" s="1"/>
      <c r="H159" s="1"/>
      <c r="I159" s="1"/>
      <c r="J159" s="1"/>
    </row>
    <row r="160" spans="2:10">
      <c r="B160" s="1"/>
      <c r="C160" s="1"/>
      <c r="D160" s="60"/>
      <c r="E160" s="1"/>
      <c r="F160" s="1"/>
      <c r="G160" s="1"/>
      <c r="H160" s="1"/>
      <c r="I160" s="1"/>
      <c r="J160" s="1"/>
    </row>
    <row r="161" spans="2:10">
      <c r="B161" s="1"/>
      <c r="C161" s="1"/>
      <c r="D161" s="60"/>
      <c r="E161" s="1"/>
      <c r="F161" s="1"/>
      <c r="G161" s="1"/>
      <c r="H161" s="1"/>
      <c r="I161" s="1"/>
      <c r="J161" s="1"/>
    </row>
    <row r="162" spans="2:10">
      <c r="B162" s="1"/>
      <c r="C162" s="1"/>
      <c r="D162" s="60"/>
      <c r="E162" s="1"/>
      <c r="F162" s="1"/>
      <c r="G162" s="1"/>
      <c r="H162" s="1"/>
      <c r="I162" s="1"/>
      <c r="J162" s="1"/>
    </row>
    <row r="163" spans="2:10">
      <c r="B163" s="1"/>
      <c r="C163" s="1"/>
      <c r="D163" s="60"/>
      <c r="E163" s="1"/>
      <c r="F163" s="1"/>
      <c r="G163" s="1"/>
      <c r="H163" s="1"/>
      <c r="I163" s="1"/>
      <c r="J163" s="1"/>
    </row>
    <row r="164" spans="2:10">
      <c r="B164" s="1"/>
      <c r="C164" s="1"/>
      <c r="D164" s="60"/>
      <c r="E164" s="1"/>
      <c r="F164" s="1"/>
      <c r="G164" s="1"/>
      <c r="H164" s="1"/>
      <c r="I164" s="1"/>
      <c r="J164" s="1"/>
    </row>
    <row r="165" spans="2:10">
      <c r="B165" s="1"/>
      <c r="C165" s="1"/>
      <c r="D165" s="60"/>
      <c r="E165" s="1"/>
      <c r="F165" s="1"/>
      <c r="G165" s="1"/>
      <c r="H165" s="1"/>
      <c r="I165" s="1"/>
      <c r="J165" s="1"/>
    </row>
    <row r="166" spans="2:10">
      <c r="B166" s="1"/>
      <c r="C166" s="1"/>
      <c r="D166" s="60"/>
      <c r="E166" s="1"/>
      <c r="F166" s="1"/>
      <c r="G166" s="1"/>
      <c r="H166" s="1"/>
      <c r="I166" s="1"/>
      <c r="J166" s="1"/>
    </row>
    <row r="167" spans="2:10">
      <c r="B167" s="1"/>
      <c r="C167" s="1"/>
      <c r="D167" s="60"/>
      <c r="E167" s="1"/>
      <c r="F167" s="1"/>
      <c r="G167" s="1"/>
      <c r="H167" s="1"/>
      <c r="I167" s="1"/>
      <c r="J167" s="1"/>
    </row>
    <row r="168" spans="2:10">
      <c r="B168" s="1"/>
      <c r="C168" s="1"/>
      <c r="D168" s="60"/>
      <c r="E168" s="1"/>
      <c r="F168" s="1"/>
      <c r="G168" s="1"/>
      <c r="H168" s="1"/>
      <c r="I168" s="1"/>
      <c r="J168" s="1"/>
    </row>
    <row r="169" spans="2:10">
      <c r="B169" s="1"/>
      <c r="C169" s="1"/>
      <c r="D169" s="60"/>
      <c r="E169" s="1"/>
      <c r="F169" s="1"/>
      <c r="G169" s="1"/>
      <c r="H169" s="1"/>
      <c r="I169" s="1"/>
      <c r="J169" s="1"/>
    </row>
    <row r="170" spans="2:10">
      <c r="B170" s="1"/>
      <c r="C170" s="1"/>
      <c r="D170" s="60"/>
      <c r="E170" s="1"/>
      <c r="F170" s="1"/>
      <c r="G170" s="1"/>
      <c r="H170" s="1"/>
      <c r="I170" s="1"/>
      <c r="J170" s="1"/>
    </row>
    <row r="171" spans="2:10">
      <c r="B171" s="1"/>
      <c r="C171" s="1"/>
      <c r="D171" s="60"/>
      <c r="E171" s="1"/>
      <c r="F171" s="1"/>
      <c r="G171" s="1"/>
      <c r="H171" s="1"/>
      <c r="I171" s="1"/>
      <c r="J171" s="1"/>
    </row>
    <row r="172" spans="2:10">
      <c r="B172" s="1"/>
      <c r="C172" s="1"/>
      <c r="D172" s="60"/>
      <c r="E172" s="1"/>
      <c r="F172" s="1"/>
      <c r="G172" s="1"/>
      <c r="H172" s="1"/>
      <c r="I172" s="1"/>
      <c r="J172" s="1"/>
    </row>
    <row r="173" spans="2:10">
      <c r="B173" s="1"/>
      <c r="C173" s="1"/>
      <c r="D173" s="60"/>
      <c r="E173" s="1"/>
      <c r="F173" s="1"/>
      <c r="G173" s="1"/>
      <c r="H173" s="1"/>
      <c r="I173" s="1"/>
      <c r="J173" s="1"/>
    </row>
    <row r="174" spans="2:10">
      <c r="B174" s="1"/>
      <c r="C174" s="1"/>
      <c r="D174" s="60"/>
      <c r="E174" s="1"/>
      <c r="F174" s="1"/>
      <c r="G174" s="1"/>
      <c r="H174" s="1"/>
      <c r="I174" s="1"/>
      <c r="J174" s="1"/>
    </row>
    <row r="175" spans="2:10">
      <c r="B175" s="1"/>
      <c r="C175" s="1"/>
      <c r="D175" s="60"/>
      <c r="E175" s="1"/>
      <c r="F175" s="1"/>
      <c r="G175" s="1"/>
      <c r="H175" s="1"/>
      <c r="I175" s="1"/>
      <c r="J175" s="1"/>
    </row>
    <row r="176" spans="2:10">
      <c r="B176" s="1"/>
      <c r="C176" s="1"/>
      <c r="D176" s="60"/>
      <c r="E176" s="1"/>
      <c r="F176" s="1"/>
      <c r="G176" s="1"/>
      <c r="H176" s="1"/>
      <c r="I176" s="1"/>
      <c r="J176" s="1"/>
    </row>
    <row r="177" spans="2:10">
      <c r="B177" s="1"/>
      <c r="C177" s="1"/>
      <c r="D177" s="60"/>
      <c r="E177" s="1"/>
      <c r="F177" s="1"/>
      <c r="G177" s="1"/>
      <c r="H177" s="1"/>
      <c r="I177" s="1"/>
      <c r="J177" s="1"/>
    </row>
    <row r="178" spans="2:10">
      <c r="B178" s="1"/>
      <c r="C178" s="1"/>
      <c r="D178" s="60"/>
      <c r="E178" s="1"/>
      <c r="F178" s="1"/>
      <c r="G178" s="1"/>
      <c r="H178" s="1"/>
      <c r="I178" s="1"/>
      <c r="J178" s="1"/>
    </row>
    <row r="179" spans="2:10">
      <c r="B179" s="1"/>
      <c r="C179" s="1"/>
      <c r="D179" s="60"/>
      <c r="E179" s="1"/>
      <c r="F179" s="1"/>
      <c r="G179" s="1"/>
      <c r="H179" s="1"/>
      <c r="I179" s="1"/>
      <c r="J179" s="1"/>
    </row>
    <row r="180" spans="2:10">
      <c r="B180" s="1"/>
      <c r="C180" s="1"/>
      <c r="D180" s="60"/>
      <c r="E180" s="1"/>
      <c r="F180" s="1"/>
      <c r="G180" s="1"/>
      <c r="H180" s="1"/>
      <c r="I180" s="1"/>
      <c r="J180" s="1"/>
    </row>
    <row r="181" spans="2:10">
      <c r="B181" s="1"/>
      <c r="C181" s="1"/>
      <c r="D181" s="60"/>
      <c r="E181" s="1"/>
      <c r="F181" s="1"/>
      <c r="G181" s="1"/>
      <c r="H181" s="1"/>
      <c r="I181" s="1"/>
      <c r="J181" s="1"/>
    </row>
    <row r="182" spans="2:10">
      <c r="B182" s="1"/>
      <c r="C182" s="1"/>
      <c r="D182" s="60"/>
      <c r="E182" s="1"/>
      <c r="F182" s="1"/>
      <c r="G182" s="1"/>
      <c r="H182" s="1"/>
      <c r="I182" s="1"/>
      <c r="J182" s="1"/>
    </row>
    <row r="183" spans="2:10">
      <c r="B183" s="1"/>
      <c r="C183" s="1"/>
      <c r="D183" s="60"/>
      <c r="E183" s="1"/>
      <c r="F183" s="1"/>
      <c r="G183" s="1"/>
      <c r="H183" s="1"/>
      <c r="I183" s="1"/>
      <c r="J183" s="1"/>
    </row>
    <row r="184" spans="2:10">
      <c r="B184" s="1"/>
      <c r="C184" s="1"/>
      <c r="D184" s="60"/>
      <c r="E184" s="1"/>
      <c r="F184" s="1"/>
      <c r="G184" s="1"/>
      <c r="H184" s="1"/>
      <c r="I184" s="1"/>
      <c r="J184" s="1"/>
    </row>
    <row r="185" spans="2:10">
      <c r="B185" s="1"/>
      <c r="C185" s="1"/>
      <c r="D185" s="60"/>
      <c r="E185" s="1"/>
      <c r="F185" s="1"/>
      <c r="G185" s="1"/>
      <c r="H185" s="1"/>
      <c r="I185" s="1"/>
      <c r="J185" s="1"/>
    </row>
    <row r="186" spans="2:10">
      <c r="B186" s="1"/>
      <c r="C186" s="1"/>
      <c r="D186" s="60"/>
      <c r="E186" s="1"/>
      <c r="F186" s="1"/>
      <c r="G186" s="1"/>
      <c r="H186" s="1"/>
      <c r="I186" s="1"/>
      <c r="J186" s="1"/>
    </row>
    <row r="187" spans="2:10">
      <c r="B187" s="1"/>
      <c r="C187" s="1"/>
      <c r="D187" s="60"/>
      <c r="E187" s="1"/>
      <c r="F187" s="1"/>
      <c r="G187" s="1"/>
      <c r="H187" s="1"/>
      <c r="I187" s="1"/>
      <c r="J187" s="1"/>
    </row>
    <row r="188" spans="2:10">
      <c r="B188" s="1"/>
      <c r="C188" s="1"/>
      <c r="D188" s="60"/>
      <c r="E188" s="1"/>
      <c r="F188" s="1"/>
      <c r="G188" s="1"/>
      <c r="H188" s="1"/>
      <c r="I188" s="1"/>
      <c r="J188" s="1"/>
    </row>
    <row r="189" spans="2:10">
      <c r="B189" s="1"/>
      <c r="C189" s="1"/>
      <c r="D189" s="60"/>
      <c r="E189" s="1"/>
      <c r="F189" s="1"/>
      <c r="G189" s="1"/>
      <c r="H189" s="1"/>
      <c r="I189" s="1"/>
      <c r="J189" s="1"/>
    </row>
    <row r="190" spans="2:10">
      <c r="B190" s="1"/>
      <c r="C190" s="1"/>
      <c r="D190" s="60"/>
      <c r="E190" s="1"/>
      <c r="F190" s="1"/>
      <c r="G190" s="1"/>
      <c r="H190" s="1"/>
      <c r="I190" s="1"/>
      <c r="J190" s="1"/>
    </row>
    <row r="191" spans="2:10">
      <c r="B191" s="1"/>
      <c r="C191" s="1"/>
      <c r="D191" s="60"/>
      <c r="E191" s="1"/>
      <c r="F191" s="1"/>
      <c r="G191" s="1"/>
      <c r="H191" s="1"/>
      <c r="I191" s="1"/>
      <c r="J191" s="1"/>
    </row>
    <row r="192" spans="2:10">
      <c r="B192" s="1"/>
      <c r="C192" s="1"/>
      <c r="D192" s="60"/>
      <c r="E192" s="1"/>
      <c r="F192" s="1"/>
      <c r="G192" s="1"/>
      <c r="H192" s="1"/>
      <c r="I192" s="1"/>
      <c r="J192" s="1"/>
    </row>
    <row r="193" spans="2:10">
      <c r="B193" s="1"/>
      <c r="C193" s="1"/>
      <c r="D193" s="60"/>
      <c r="E193" s="1"/>
      <c r="F193" s="1"/>
      <c r="G193" s="1"/>
      <c r="H193" s="1"/>
      <c r="I193" s="1"/>
      <c r="J193" s="1"/>
    </row>
    <row r="194" spans="2:10">
      <c r="B194" s="1"/>
      <c r="C194" s="1"/>
      <c r="D194" s="60"/>
      <c r="E194" s="1"/>
      <c r="F194" s="1"/>
      <c r="G194" s="1"/>
      <c r="H194" s="1"/>
      <c r="I194" s="1"/>
      <c r="J194" s="1"/>
    </row>
    <row r="195" spans="2:10">
      <c r="B195" s="1"/>
      <c r="C195" s="1"/>
      <c r="D195" s="60"/>
      <c r="E195" s="1"/>
      <c r="F195" s="1"/>
      <c r="G195" s="1"/>
      <c r="H195" s="1"/>
      <c r="I195" s="1"/>
      <c r="J195" s="1"/>
    </row>
    <row r="196" spans="2:10">
      <c r="B196" s="1"/>
      <c r="C196" s="1"/>
      <c r="D196" s="60"/>
      <c r="E196" s="1"/>
      <c r="F196" s="1"/>
      <c r="G196" s="1"/>
      <c r="H196" s="1"/>
      <c r="I196" s="1"/>
      <c r="J196" s="1"/>
    </row>
    <row r="197" spans="2:10">
      <c r="B197" s="1"/>
      <c r="C197" s="1"/>
      <c r="D197" s="60"/>
      <c r="E197" s="1"/>
      <c r="F197" s="1"/>
      <c r="G197" s="1"/>
      <c r="H197" s="1"/>
      <c r="I197" s="1"/>
      <c r="J197" s="1"/>
    </row>
    <row r="198" spans="2:10">
      <c r="B198" s="1"/>
      <c r="C198" s="1"/>
      <c r="D198" s="60"/>
      <c r="E198" s="1"/>
      <c r="F198" s="1"/>
      <c r="G198" s="1"/>
      <c r="H198" s="1"/>
      <c r="I198" s="1"/>
      <c r="J198" s="1"/>
    </row>
    <row r="199" spans="2:10">
      <c r="B199" s="1"/>
      <c r="C199" s="1"/>
      <c r="D199" s="60"/>
      <c r="E199" s="1"/>
      <c r="F199" s="1"/>
      <c r="G199" s="1"/>
      <c r="H199" s="1"/>
      <c r="I199" s="1"/>
      <c r="J199" s="1"/>
    </row>
    <row r="200" spans="2:10">
      <c r="B200" s="1"/>
      <c r="C200" s="1"/>
      <c r="D200" s="60"/>
      <c r="E200" s="1"/>
      <c r="F200" s="1"/>
      <c r="G200" s="1"/>
      <c r="H200" s="1"/>
      <c r="I200" s="1"/>
      <c r="J200" s="1"/>
    </row>
    <row r="201" spans="2:10">
      <c r="B201" s="1"/>
      <c r="C201" s="1"/>
      <c r="D201" s="60"/>
      <c r="E201" s="1"/>
      <c r="F201" s="1"/>
      <c r="G201" s="1"/>
      <c r="H201" s="1"/>
      <c r="I201" s="1"/>
      <c r="J201" s="1"/>
    </row>
    <row r="202" spans="2:10">
      <c r="B202" s="1"/>
      <c r="C202" s="1"/>
      <c r="D202" s="60"/>
      <c r="E202" s="1"/>
      <c r="F202" s="1"/>
      <c r="G202" s="1"/>
      <c r="H202" s="1"/>
      <c r="I202" s="1"/>
      <c r="J202" s="1"/>
    </row>
    <row r="203" spans="2:10">
      <c r="B203" s="1"/>
      <c r="C203" s="1"/>
      <c r="D203" s="60"/>
      <c r="E203" s="1"/>
      <c r="F203" s="1"/>
      <c r="G203" s="1"/>
      <c r="H203" s="1"/>
      <c r="I203" s="1"/>
      <c r="J203" s="1"/>
    </row>
    <row r="204" spans="2:10">
      <c r="B204" s="1"/>
      <c r="C204" s="1"/>
      <c r="D204" s="60"/>
      <c r="E204" s="1"/>
      <c r="F204" s="1"/>
      <c r="G204" s="1"/>
      <c r="H204" s="1"/>
      <c r="I204" s="1"/>
      <c r="J204" s="1"/>
    </row>
    <row r="205" spans="2:10">
      <c r="B205" s="1"/>
      <c r="C205" s="1"/>
      <c r="D205" s="60"/>
      <c r="E205" s="1"/>
      <c r="F205" s="1"/>
      <c r="G205" s="1"/>
      <c r="H205" s="1"/>
      <c r="I205" s="1"/>
      <c r="J205" s="1"/>
    </row>
    <row r="206" spans="2:10">
      <c r="B206" s="1"/>
      <c r="C206" s="1"/>
      <c r="D206" s="60"/>
      <c r="E206" s="1"/>
      <c r="F206" s="1"/>
      <c r="G206" s="1"/>
      <c r="H206" s="1"/>
      <c r="I206" s="1"/>
      <c r="J206" s="1"/>
    </row>
    <row r="207" spans="2:10">
      <c r="B207" s="1"/>
      <c r="C207" s="1"/>
      <c r="D207" s="60"/>
      <c r="E207" s="1"/>
      <c r="F207" s="1"/>
      <c r="G207" s="1"/>
      <c r="H207" s="1"/>
      <c r="I207" s="1"/>
      <c r="J207" s="1"/>
    </row>
    <row r="208" spans="2:10">
      <c r="B208" s="1"/>
      <c r="C208" s="1"/>
      <c r="D208" s="60"/>
      <c r="E208" s="1"/>
      <c r="F208" s="1"/>
      <c r="G208" s="1"/>
      <c r="H208" s="1"/>
      <c r="I208" s="1"/>
      <c r="J208" s="1"/>
    </row>
    <row r="209" spans="2:10">
      <c r="B209" s="1"/>
      <c r="C209" s="1"/>
      <c r="D209" s="60"/>
      <c r="E209" s="1"/>
      <c r="F209" s="1"/>
      <c r="G209" s="1"/>
      <c r="H209" s="1"/>
      <c r="I209" s="1"/>
      <c r="J209" s="1"/>
    </row>
    <row r="210" spans="2:10">
      <c r="B210" s="1"/>
      <c r="C210" s="1"/>
      <c r="D210" s="60"/>
      <c r="E210" s="1"/>
      <c r="F210" s="1"/>
      <c r="G210" s="1"/>
      <c r="H210" s="1"/>
      <c r="I210" s="1"/>
      <c r="J210" s="1"/>
    </row>
    <row r="211" spans="2:10">
      <c r="B211" s="1"/>
      <c r="C211" s="1"/>
      <c r="D211" s="60"/>
      <c r="E211" s="1"/>
      <c r="F211" s="1"/>
      <c r="G211" s="1"/>
      <c r="H211" s="1"/>
      <c r="I211" s="1"/>
      <c r="J211" s="1"/>
    </row>
    <row r="212" spans="2:10">
      <c r="B212" s="1"/>
      <c r="C212" s="1"/>
      <c r="D212" s="60"/>
      <c r="E212" s="1"/>
      <c r="F212" s="1"/>
      <c r="G212" s="1"/>
      <c r="H212" s="1"/>
      <c r="I212" s="1"/>
      <c r="J212" s="1"/>
    </row>
    <row r="213" spans="2:10">
      <c r="B213" s="1"/>
      <c r="C213" s="1"/>
      <c r="D213" s="60"/>
      <c r="E213" s="1"/>
      <c r="F213" s="1"/>
      <c r="G213" s="1"/>
      <c r="H213" s="1"/>
      <c r="I213" s="1"/>
      <c r="J213" s="1"/>
    </row>
    <row r="214" spans="2:10">
      <c r="B214" s="1"/>
      <c r="C214" s="1"/>
      <c r="D214" s="60"/>
      <c r="E214" s="1"/>
      <c r="F214" s="1"/>
      <c r="G214" s="1"/>
      <c r="H214" s="1"/>
      <c r="I214" s="1"/>
      <c r="J214" s="1"/>
    </row>
    <row r="215" spans="2:10">
      <c r="B215" s="1"/>
      <c r="C215" s="1"/>
      <c r="D215" s="60"/>
      <c r="E215" s="1"/>
      <c r="F215" s="1"/>
      <c r="G215" s="1"/>
      <c r="H215" s="1"/>
      <c r="I215" s="1"/>
      <c r="J215" s="1"/>
    </row>
    <row r="216" spans="2:10">
      <c r="B216" s="1"/>
      <c r="C216" s="1"/>
      <c r="D216" s="60"/>
      <c r="E216" s="1"/>
      <c r="F216" s="1"/>
      <c r="G216" s="1"/>
      <c r="H216" s="1"/>
      <c r="I216" s="1"/>
      <c r="J216" s="1"/>
    </row>
    <row r="217" spans="2:10">
      <c r="B217" s="1"/>
      <c r="C217" s="1"/>
      <c r="D217" s="60"/>
      <c r="E217" s="1"/>
      <c r="F217" s="1"/>
      <c r="G217" s="1"/>
      <c r="H217" s="1"/>
      <c r="I217" s="1"/>
      <c r="J217" s="1"/>
    </row>
    <row r="218" spans="2:10">
      <c r="B218" s="1"/>
      <c r="C218" s="1"/>
      <c r="D218" s="60"/>
      <c r="E218" s="1"/>
      <c r="F218" s="1"/>
      <c r="G218" s="1"/>
      <c r="H218" s="1"/>
      <c r="I218" s="1"/>
      <c r="J218" s="1"/>
    </row>
    <row r="219" spans="2:10">
      <c r="B219" s="1"/>
      <c r="C219" s="1"/>
      <c r="D219" s="60"/>
      <c r="E219" s="1"/>
      <c r="F219" s="1"/>
      <c r="G219" s="1"/>
      <c r="H219" s="1"/>
      <c r="I219" s="1"/>
      <c r="J219" s="1"/>
    </row>
    <row r="220" spans="2:10">
      <c r="B220" s="1"/>
      <c r="C220" s="1"/>
      <c r="D220" s="60"/>
      <c r="E220" s="1"/>
      <c r="F220" s="1"/>
      <c r="G220" s="1"/>
      <c r="H220" s="1"/>
      <c r="I220" s="1"/>
      <c r="J220" s="1"/>
    </row>
    <row r="221" spans="2:10">
      <c r="B221" s="1"/>
      <c r="C221" s="1"/>
      <c r="D221" s="60"/>
      <c r="E221" s="1"/>
      <c r="F221" s="1"/>
      <c r="G221" s="1"/>
      <c r="H221" s="1"/>
      <c r="I221" s="1"/>
      <c r="J221" s="1"/>
    </row>
    <row r="222" spans="2:10">
      <c r="B222" s="1"/>
      <c r="C222" s="1"/>
      <c r="D222" s="60"/>
      <c r="E222" s="1"/>
      <c r="F222" s="1"/>
      <c r="G222" s="1"/>
      <c r="H222" s="1"/>
      <c r="I222" s="1"/>
      <c r="J222" s="1"/>
    </row>
    <row r="223" spans="2:10">
      <c r="B223" s="1"/>
      <c r="C223" s="1"/>
      <c r="D223" s="60"/>
      <c r="E223" s="1"/>
      <c r="F223" s="1"/>
      <c r="G223" s="1"/>
      <c r="H223" s="1"/>
      <c r="I223" s="1"/>
      <c r="J223" s="1"/>
    </row>
    <row r="224" spans="2:10">
      <c r="B224" s="1"/>
      <c r="C224" s="1"/>
      <c r="D224" s="60"/>
      <c r="E224" s="1"/>
      <c r="F224" s="1"/>
      <c r="G224" s="1"/>
      <c r="H224" s="1"/>
      <c r="I224" s="1"/>
      <c r="J224" s="1"/>
    </row>
    <row r="225" spans="2:10">
      <c r="B225" s="1"/>
      <c r="C225" s="1"/>
      <c r="D225" s="60"/>
      <c r="E225" s="1"/>
      <c r="F225" s="1"/>
      <c r="G225" s="1"/>
      <c r="H225" s="1"/>
      <c r="I225" s="1"/>
      <c r="J225" s="1"/>
    </row>
    <row r="226" spans="2:10">
      <c r="B226" s="1"/>
      <c r="C226" s="1"/>
      <c r="D226" s="60"/>
      <c r="E226" s="1"/>
      <c r="F226" s="1"/>
      <c r="G226" s="1"/>
      <c r="H226" s="1"/>
      <c r="I226" s="1"/>
      <c r="J226" s="1"/>
    </row>
    <row r="227" spans="2:10">
      <c r="B227" s="1"/>
      <c r="C227" s="1"/>
      <c r="D227" s="60"/>
      <c r="E227" s="1"/>
      <c r="F227" s="1"/>
      <c r="G227" s="1"/>
      <c r="H227" s="1"/>
      <c r="I227" s="1"/>
      <c r="J227" s="1"/>
    </row>
    <row r="228" spans="2:10">
      <c r="B228" s="1"/>
      <c r="C228" s="1"/>
      <c r="D228" s="60"/>
      <c r="E228" s="1"/>
      <c r="F228" s="1"/>
      <c r="G228" s="1"/>
      <c r="H228" s="1"/>
      <c r="I228" s="1"/>
      <c r="J228" s="1"/>
    </row>
    <row r="229" spans="2:10">
      <c r="B229" s="1"/>
      <c r="C229" s="1"/>
      <c r="D229" s="60"/>
      <c r="E229" s="1"/>
      <c r="F229" s="1"/>
      <c r="G229" s="1"/>
      <c r="H229" s="1"/>
      <c r="I229" s="1"/>
      <c r="J229" s="1"/>
    </row>
    <row r="230" spans="2:10">
      <c r="B230" s="1"/>
      <c r="C230" s="1"/>
      <c r="D230" s="60"/>
      <c r="E230" s="1"/>
      <c r="F230" s="1"/>
      <c r="G230" s="1"/>
      <c r="H230" s="1"/>
      <c r="I230" s="1"/>
      <c r="J230" s="1"/>
    </row>
    <row r="231" spans="2:10">
      <c r="B231" s="1"/>
      <c r="C231" s="1"/>
      <c r="D231" s="60"/>
      <c r="E231" s="1"/>
      <c r="F231" s="1"/>
      <c r="G231" s="1"/>
      <c r="H231" s="1"/>
      <c r="I231" s="1"/>
      <c r="J231" s="1"/>
    </row>
    <row r="232" spans="2:10">
      <c r="B232" s="1"/>
      <c r="C232" s="1"/>
      <c r="D232" s="60"/>
      <c r="E232" s="1"/>
      <c r="F232" s="1"/>
      <c r="G232" s="1"/>
      <c r="H232" s="1"/>
      <c r="I232" s="1"/>
      <c r="J232" s="1"/>
    </row>
    <row r="233" spans="2:10">
      <c r="B233" s="1"/>
      <c r="C233" s="1"/>
      <c r="D233" s="60"/>
      <c r="E233" s="1"/>
      <c r="F233" s="1"/>
      <c r="G233" s="1"/>
      <c r="H233" s="1"/>
      <c r="I233" s="1"/>
      <c r="J233" s="1"/>
    </row>
    <row r="234" spans="2:10">
      <c r="B234" s="1"/>
      <c r="C234" s="1"/>
      <c r="D234" s="60"/>
      <c r="E234" s="1"/>
      <c r="F234" s="1"/>
      <c r="G234" s="1"/>
      <c r="H234" s="1"/>
      <c r="I234" s="1"/>
      <c r="J234" s="1"/>
    </row>
    <row r="235" spans="2:10">
      <c r="B235" s="1"/>
      <c r="C235" s="1"/>
      <c r="D235" s="60"/>
      <c r="E235" s="1"/>
      <c r="F235" s="1"/>
      <c r="G235" s="1"/>
      <c r="H235" s="1"/>
      <c r="I235" s="1"/>
      <c r="J235" s="1"/>
    </row>
    <row r="236" spans="2:10">
      <c r="B236" s="1"/>
      <c r="C236" s="1"/>
      <c r="D236" s="60"/>
      <c r="E236" s="1"/>
      <c r="F236" s="1"/>
      <c r="G236" s="1"/>
      <c r="H236" s="1"/>
      <c r="I236" s="1"/>
      <c r="J236" s="1"/>
    </row>
    <row r="237" spans="2:10">
      <c r="B237" s="1"/>
      <c r="C237" s="1"/>
      <c r="D237" s="60"/>
      <c r="E237" s="1"/>
      <c r="F237" s="1"/>
      <c r="G237" s="1"/>
      <c r="H237" s="1"/>
      <c r="I237" s="1"/>
      <c r="J237" s="1"/>
    </row>
    <row r="238" spans="2:10">
      <c r="B238" s="1"/>
      <c r="C238" s="1"/>
      <c r="D238" s="60"/>
      <c r="E238" s="1"/>
      <c r="F238" s="1"/>
      <c r="G238" s="1"/>
      <c r="H238" s="1"/>
      <c r="I238" s="1"/>
      <c r="J238" s="1"/>
    </row>
    <row r="239" spans="2:10">
      <c r="B239" s="1"/>
      <c r="C239" s="1"/>
      <c r="D239" s="60"/>
      <c r="E239" s="1"/>
      <c r="F239" s="1"/>
      <c r="G239" s="1"/>
      <c r="H239" s="1"/>
      <c r="I239" s="1"/>
      <c r="J239" s="1"/>
    </row>
    <row r="240" spans="2:10">
      <c r="B240" s="1"/>
      <c r="C240" s="1"/>
      <c r="D240" s="60"/>
      <c r="E240" s="1"/>
      <c r="F240" s="1"/>
      <c r="G240" s="1"/>
      <c r="H240" s="1"/>
      <c r="I240" s="1"/>
      <c r="J240" s="1"/>
    </row>
    <row r="241" spans="2:10">
      <c r="B241" s="1"/>
      <c r="C241" s="1"/>
      <c r="D241" s="60"/>
      <c r="E241" s="1"/>
      <c r="F241" s="1"/>
      <c r="G241" s="1"/>
      <c r="H241" s="1"/>
      <c r="I241" s="1"/>
      <c r="J241" s="1"/>
    </row>
    <row r="242" spans="2:10">
      <c r="B242" s="1"/>
      <c r="C242" s="1"/>
      <c r="D242" s="60"/>
      <c r="E242" s="1"/>
      <c r="F242" s="1"/>
      <c r="G242" s="1"/>
      <c r="H242" s="1"/>
      <c r="I242" s="1"/>
      <c r="J242" s="1"/>
    </row>
    <row r="243" spans="2:10">
      <c r="B243" s="1"/>
      <c r="C243" s="1"/>
      <c r="D243" s="60"/>
      <c r="E243" s="1"/>
      <c r="F243" s="1"/>
      <c r="G243" s="1"/>
      <c r="H243" s="1"/>
      <c r="I243" s="1"/>
      <c r="J243" s="1"/>
    </row>
    <row r="244" spans="2:10">
      <c r="B244" s="1"/>
      <c r="C244" s="1"/>
      <c r="D244" s="60"/>
      <c r="E244" s="1"/>
      <c r="F244" s="1"/>
      <c r="G244" s="1"/>
      <c r="H244" s="1"/>
      <c r="I244" s="1"/>
      <c r="J244" s="1"/>
    </row>
    <row r="245" spans="2:10">
      <c r="B245" s="1"/>
      <c r="C245" s="1"/>
      <c r="D245" s="60"/>
      <c r="E245" s="1"/>
      <c r="F245" s="1"/>
      <c r="G245" s="1"/>
      <c r="H245" s="1"/>
      <c r="I245" s="1"/>
      <c r="J245" s="1"/>
    </row>
    <row r="246" spans="2:10">
      <c r="B246" s="1"/>
      <c r="C246" s="1"/>
      <c r="D246" s="60"/>
      <c r="E246" s="1"/>
      <c r="F246" s="1"/>
      <c r="G246" s="1"/>
      <c r="H246" s="1"/>
      <c r="I246" s="1"/>
      <c r="J246" s="1"/>
    </row>
    <row r="247" spans="2:10">
      <c r="B247" s="1"/>
      <c r="C247" s="1"/>
      <c r="D247" s="60"/>
      <c r="E247" s="1"/>
      <c r="F247" s="1"/>
      <c r="G247" s="1"/>
      <c r="H247" s="1"/>
      <c r="I247" s="1"/>
      <c r="J247" s="1"/>
    </row>
    <row r="248" spans="2:10">
      <c r="B248" s="1"/>
      <c r="C248" s="1"/>
      <c r="D248" s="60"/>
      <c r="E248" s="1"/>
      <c r="F248" s="1"/>
      <c r="G248" s="1"/>
      <c r="H248" s="1"/>
      <c r="I248" s="1"/>
      <c r="J248" s="1"/>
    </row>
    <row r="249" spans="2:10">
      <c r="B249" s="1"/>
      <c r="C249" s="1"/>
      <c r="D249" s="60"/>
      <c r="E249" s="1"/>
      <c r="F249" s="1"/>
      <c r="G249" s="1"/>
      <c r="H249" s="1"/>
      <c r="I249" s="1"/>
      <c r="J249" s="1"/>
    </row>
    <row r="250" spans="2:10">
      <c r="B250" s="1"/>
      <c r="C250" s="1"/>
      <c r="D250" s="60"/>
      <c r="E250" s="1"/>
      <c r="F250" s="1"/>
      <c r="G250" s="1"/>
      <c r="H250" s="1"/>
      <c r="I250" s="1"/>
      <c r="J250" s="1"/>
    </row>
    <row r="251" spans="2:10">
      <c r="B251" s="1"/>
      <c r="C251" s="1"/>
      <c r="D251" s="60"/>
      <c r="E251" s="1"/>
      <c r="F251" s="1"/>
      <c r="G251" s="1"/>
      <c r="H251" s="1"/>
      <c r="I251" s="1"/>
      <c r="J251" s="1"/>
    </row>
    <row r="252" spans="2:10">
      <c r="B252" s="1"/>
      <c r="C252" s="1"/>
      <c r="D252" s="60"/>
      <c r="E252" s="1"/>
      <c r="F252" s="1"/>
      <c r="G252" s="1"/>
      <c r="H252" s="1"/>
      <c r="I252" s="1"/>
      <c r="J252" s="1"/>
    </row>
    <row r="253" spans="2:10">
      <c r="B253" s="1"/>
      <c r="C253" s="1"/>
      <c r="D253" s="60"/>
      <c r="E253" s="1"/>
      <c r="F253" s="1"/>
      <c r="G253" s="1"/>
      <c r="H253" s="1"/>
      <c r="I253" s="1"/>
      <c r="J253" s="1"/>
    </row>
    <row r="254" spans="2:10">
      <c r="B254" s="1"/>
      <c r="C254" s="1"/>
      <c r="D254" s="60"/>
      <c r="E254" s="1"/>
      <c r="F254" s="1"/>
      <c r="G254" s="1"/>
      <c r="H254" s="1"/>
      <c r="I254" s="1"/>
      <c r="J254" s="1"/>
    </row>
    <row r="255" spans="2:10">
      <c r="B255" s="1"/>
      <c r="C255" s="1"/>
      <c r="D255" s="60"/>
      <c r="E255" s="1"/>
      <c r="F255" s="1"/>
      <c r="G255" s="1"/>
      <c r="H255" s="1"/>
      <c r="I255" s="1"/>
      <c r="J255" s="1"/>
    </row>
    <row r="256" spans="2:10">
      <c r="B256" s="1"/>
      <c r="C256" s="1"/>
      <c r="D256" s="60"/>
      <c r="E256" s="1"/>
      <c r="F256" s="1"/>
      <c r="G256" s="1"/>
      <c r="H256" s="1"/>
      <c r="I256" s="1"/>
      <c r="J256" s="1"/>
    </row>
    <row r="257" spans="2:10">
      <c r="B257" s="1"/>
      <c r="C257" s="1"/>
      <c r="D257" s="60"/>
      <c r="E257" s="1"/>
      <c r="F257" s="1"/>
      <c r="G257" s="1"/>
      <c r="H257" s="1"/>
      <c r="I257" s="1"/>
      <c r="J257" s="1"/>
    </row>
    <row r="258" spans="2:10">
      <c r="B258" s="1"/>
      <c r="C258" s="1"/>
      <c r="D258" s="60"/>
      <c r="E258" s="1"/>
      <c r="F258" s="1"/>
      <c r="G258" s="1"/>
      <c r="H258" s="1"/>
      <c r="I258" s="1"/>
      <c r="J258" s="1"/>
    </row>
    <row r="259" spans="2:10">
      <c r="B259" s="1"/>
      <c r="C259" s="1"/>
      <c r="D259" s="60"/>
      <c r="E259" s="1"/>
      <c r="F259" s="1"/>
      <c r="G259" s="1"/>
      <c r="H259" s="1"/>
      <c r="I259" s="1"/>
      <c r="J259" s="1"/>
    </row>
    <row r="260" spans="2:10">
      <c r="B260" s="1"/>
      <c r="C260" s="1"/>
      <c r="D260" s="60"/>
      <c r="E260" s="1"/>
      <c r="F260" s="1"/>
      <c r="G260" s="1"/>
      <c r="H260" s="1"/>
      <c r="I260" s="1"/>
      <c r="J260" s="1"/>
    </row>
    <row r="261" spans="2:10">
      <c r="B261" s="1"/>
      <c r="C261" s="1"/>
      <c r="D261" s="60"/>
      <c r="E261" s="1"/>
      <c r="F261" s="1"/>
      <c r="G261" s="1"/>
      <c r="H261" s="1"/>
      <c r="I261" s="1"/>
      <c r="J261" s="1"/>
    </row>
    <row r="262" spans="2:10">
      <c r="B262" s="1"/>
      <c r="C262" s="1"/>
      <c r="D262" s="60"/>
      <c r="E262" s="1"/>
      <c r="F262" s="1"/>
      <c r="G262" s="1"/>
      <c r="H262" s="1"/>
      <c r="I262" s="1"/>
      <c r="J262" s="1"/>
    </row>
    <row r="263" spans="2:10">
      <c r="B263" s="1"/>
      <c r="C263" s="1"/>
      <c r="D263" s="60"/>
      <c r="E263" s="1"/>
      <c r="F263" s="1"/>
      <c r="G263" s="1"/>
      <c r="H263" s="1"/>
      <c r="I263" s="1"/>
      <c r="J263" s="1"/>
    </row>
    <row r="264" spans="2:10">
      <c r="B264" s="1"/>
      <c r="C264" s="1"/>
      <c r="D264" s="60"/>
      <c r="E264" s="1"/>
      <c r="F264" s="1"/>
      <c r="G264" s="1"/>
      <c r="H264" s="1"/>
      <c r="I264" s="1"/>
      <c r="J264" s="1"/>
    </row>
    <row r="265" spans="2:10">
      <c r="B265" s="1"/>
      <c r="C265" s="1"/>
      <c r="D265" s="60"/>
      <c r="E265" s="1"/>
      <c r="F265" s="1"/>
      <c r="G265" s="1"/>
      <c r="H265" s="1"/>
      <c r="I265" s="1"/>
      <c r="J265" s="1"/>
    </row>
    <row r="266" spans="2:10">
      <c r="B266" s="1"/>
      <c r="C266" s="1"/>
      <c r="D266" s="60"/>
      <c r="E266" s="1"/>
      <c r="F266" s="1"/>
      <c r="G266" s="1"/>
      <c r="H266" s="1"/>
      <c r="I266" s="1"/>
      <c r="J266" s="1"/>
    </row>
    <row r="267" spans="2:10">
      <c r="B267" s="1"/>
      <c r="C267" s="1"/>
      <c r="D267" s="60"/>
      <c r="E267" s="1"/>
      <c r="F267" s="1"/>
      <c r="G267" s="1"/>
      <c r="H267" s="1"/>
      <c r="I267" s="1"/>
      <c r="J267" s="1"/>
    </row>
    <row r="268" spans="2:10">
      <c r="B268" s="1"/>
      <c r="C268" s="1"/>
      <c r="D268" s="60"/>
      <c r="E268" s="1"/>
      <c r="F268" s="1"/>
      <c r="G268" s="1"/>
      <c r="H268" s="1"/>
      <c r="I268" s="1"/>
      <c r="J268" s="1"/>
    </row>
    <row r="269" spans="2:10">
      <c r="B269" s="1"/>
      <c r="C269" s="1"/>
      <c r="D269" s="60"/>
      <c r="E269" s="1"/>
      <c r="F269" s="1"/>
      <c r="G269" s="1"/>
      <c r="H269" s="1"/>
      <c r="I269" s="1"/>
      <c r="J269" s="1"/>
    </row>
    <row r="270" spans="2:10">
      <c r="B270" s="1"/>
      <c r="C270" s="1"/>
      <c r="D270" s="60"/>
      <c r="E270" s="1"/>
      <c r="F270" s="1"/>
      <c r="G270" s="1"/>
      <c r="H270" s="1"/>
      <c r="I270" s="1"/>
      <c r="J270" s="1"/>
    </row>
    <row r="271" spans="2:10">
      <c r="B271" s="1"/>
      <c r="C271" s="1"/>
      <c r="D271" s="60"/>
      <c r="E271" s="1"/>
      <c r="F271" s="1"/>
      <c r="G271" s="1"/>
      <c r="H271" s="1"/>
      <c r="I271" s="1"/>
      <c r="J271" s="1"/>
    </row>
    <row r="272" spans="2:10">
      <c r="B272" s="1"/>
      <c r="C272" s="1"/>
      <c r="D272" s="60"/>
      <c r="E272" s="1"/>
      <c r="F272" s="1"/>
      <c r="G272" s="1"/>
      <c r="H272" s="1"/>
      <c r="I272" s="1"/>
      <c r="J272" s="1"/>
    </row>
    <row r="273" spans="2:10">
      <c r="B273" s="1"/>
      <c r="C273" s="1"/>
      <c r="D273" s="60"/>
      <c r="E273" s="1"/>
      <c r="F273" s="1"/>
      <c r="G273" s="1"/>
      <c r="H273" s="1"/>
      <c r="I273" s="1"/>
      <c r="J273" s="1"/>
    </row>
    <row r="274" spans="2:10">
      <c r="B274" s="1"/>
      <c r="C274" s="1"/>
      <c r="D274" s="60"/>
      <c r="E274" s="1"/>
      <c r="F274" s="1"/>
      <c r="G274" s="1"/>
      <c r="H274" s="1"/>
      <c r="I274" s="1"/>
      <c r="J274" s="1"/>
    </row>
    <row r="275" spans="2:10">
      <c r="B275" s="1"/>
      <c r="C275" s="1"/>
      <c r="D275" s="60"/>
      <c r="E275" s="1"/>
      <c r="F275" s="1"/>
      <c r="G275" s="1"/>
      <c r="H275" s="1"/>
      <c r="I275" s="1"/>
      <c r="J275" s="1"/>
    </row>
    <row r="276" spans="2:10">
      <c r="B276" s="1"/>
      <c r="C276" s="1"/>
      <c r="D276" s="60"/>
      <c r="E276" s="1"/>
      <c r="F276" s="1"/>
      <c r="G276" s="1"/>
      <c r="H276" s="1"/>
      <c r="I276" s="1"/>
      <c r="J276" s="1"/>
    </row>
    <row r="277" spans="2:10">
      <c r="B277" s="1"/>
      <c r="C277" s="1"/>
      <c r="D277" s="60"/>
      <c r="E277" s="1"/>
      <c r="F277" s="1"/>
      <c r="G277" s="1"/>
      <c r="H277" s="1"/>
      <c r="I277" s="1"/>
      <c r="J277" s="1"/>
    </row>
    <row r="278" spans="2:10">
      <c r="B278" s="1"/>
      <c r="C278" s="1"/>
      <c r="D278" s="60"/>
      <c r="E278" s="1"/>
      <c r="F278" s="1"/>
      <c r="G278" s="1"/>
      <c r="H278" s="1"/>
      <c r="I278" s="1"/>
      <c r="J278" s="1"/>
    </row>
    <row r="279" spans="2:10">
      <c r="B279" s="1"/>
      <c r="C279" s="1"/>
      <c r="D279" s="60"/>
      <c r="E279" s="1"/>
      <c r="F279" s="1"/>
      <c r="G279" s="1"/>
      <c r="H279" s="1"/>
      <c r="I279" s="1"/>
      <c r="J279" s="1"/>
    </row>
    <row r="280" spans="2:10">
      <c r="B280" s="1"/>
      <c r="C280" s="1"/>
      <c r="D280" s="60"/>
      <c r="E280" s="1"/>
      <c r="F280" s="1"/>
      <c r="G280" s="1"/>
      <c r="H280" s="1"/>
      <c r="I280" s="1"/>
      <c r="J280" s="1"/>
    </row>
    <row r="281" spans="2:10">
      <c r="B281" s="1"/>
      <c r="C281" s="1"/>
      <c r="D281" s="60"/>
      <c r="E281" s="1"/>
      <c r="F281" s="1"/>
      <c r="G281" s="1"/>
      <c r="H281" s="1"/>
      <c r="I281" s="1"/>
      <c r="J281" s="1"/>
    </row>
    <row r="282" spans="2:10">
      <c r="B282" s="1"/>
      <c r="C282" s="1"/>
      <c r="D282" s="60"/>
      <c r="E282" s="1"/>
      <c r="F282" s="1"/>
      <c r="G282" s="1"/>
      <c r="H282" s="1"/>
      <c r="I282" s="1"/>
      <c r="J282" s="1"/>
    </row>
    <row r="283" spans="2:10">
      <c r="B283" s="1"/>
      <c r="C283" s="1"/>
      <c r="D283" s="60"/>
      <c r="E283" s="1"/>
      <c r="F283" s="1"/>
      <c r="G283" s="1"/>
      <c r="H283" s="1"/>
      <c r="I283" s="1"/>
      <c r="J283" s="1"/>
    </row>
    <row r="284" spans="2:10">
      <c r="B284" s="1"/>
      <c r="C284" s="1"/>
      <c r="D284" s="60"/>
      <c r="E284" s="1"/>
      <c r="F284" s="1"/>
      <c r="G284" s="1"/>
      <c r="H284" s="1"/>
      <c r="I284" s="1"/>
      <c r="J284" s="1"/>
    </row>
    <row r="285" spans="2:10">
      <c r="B285" s="1"/>
      <c r="C285" s="1"/>
      <c r="D285" s="60"/>
      <c r="E285" s="1"/>
      <c r="F285" s="1"/>
      <c r="G285" s="1"/>
      <c r="H285" s="1"/>
      <c r="I285" s="1"/>
      <c r="J285" s="1"/>
    </row>
    <row r="286" spans="2:10">
      <c r="B286" s="1"/>
      <c r="C286" s="1"/>
      <c r="D286" s="60"/>
      <c r="E286" s="1"/>
      <c r="F286" s="1"/>
      <c r="G286" s="1"/>
      <c r="H286" s="1"/>
      <c r="I286" s="1"/>
      <c r="J286" s="1"/>
    </row>
    <row r="287" spans="2:10">
      <c r="B287" s="1"/>
      <c r="C287" s="1"/>
      <c r="D287" s="60"/>
      <c r="E287" s="1"/>
      <c r="F287" s="1"/>
      <c r="G287" s="1"/>
      <c r="H287" s="1"/>
      <c r="I287" s="1"/>
      <c r="J287" s="1"/>
    </row>
    <row r="288" spans="2:10">
      <c r="B288" s="1"/>
      <c r="C288" s="1"/>
      <c r="D288" s="60"/>
      <c r="E288" s="1"/>
      <c r="F288" s="1"/>
      <c r="G288" s="1"/>
      <c r="H288" s="1"/>
      <c r="I288" s="1"/>
      <c r="J288" s="1"/>
    </row>
    <row r="289" spans="2:10">
      <c r="B289" s="1"/>
      <c r="C289" s="1"/>
      <c r="D289" s="60"/>
      <c r="E289" s="1"/>
      <c r="F289" s="1"/>
      <c r="G289" s="1"/>
      <c r="H289" s="1"/>
      <c r="I289" s="1"/>
      <c r="J289" s="1"/>
    </row>
    <row r="290" spans="2:10">
      <c r="B290" s="1"/>
      <c r="C290" s="1"/>
      <c r="D290" s="60"/>
      <c r="E290" s="1"/>
      <c r="F290" s="1"/>
      <c r="G290" s="1"/>
      <c r="H290" s="1"/>
      <c r="I290" s="1"/>
      <c r="J290" s="1"/>
    </row>
    <row r="291" spans="2:10">
      <c r="B291" s="1"/>
      <c r="C291" s="1"/>
      <c r="D291" s="60"/>
      <c r="E291" s="1"/>
      <c r="F291" s="1"/>
      <c r="G291" s="1"/>
      <c r="H291" s="1"/>
      <c r="I291" s="1"/>
      <c r="J291" s="1"/>
    </row>
    <row r="292" spans="2:10">
      <c r="B292" s="1"/>
      <c r="C292" s="1"/>
      <c r="D292" s="60"/>
      <c r="E292" s="1"/>
      <c r="F292" s="1"/>
      <c r="G292" s="1"/>
      <c r="H292" s="1"/>
      <c r="I292" s="1"/>
      <c r="J292" s="1"/>
    </row>
    <row r="293" spans="2:10">
      <c r="B293" s="1"/>
      <c r="C293" s="1"/>
      <c r="D293" s="60"/>
      <c r="E293" s="1"/>
      <c r="F293" s="1"/>
      <c r="G293" s="1"/>
      <c r="H293" s="1"/>
      <c r="I293" s="1"/>
      <c r="J293" s="1"/>
    </row>
    <row r="294" spans="2:10">
      <c r="B294" s="1"/>
      <c r="C294" s="1"/>
      <c r="D294" s="60"/>
      <c r="E294" s="1"/>
      <c r="F294" s="1"/>
      <c r="G294" s="1"/>
      <c r="H294" s="1"/>
      <c r="I294" s="1"/>
      <c r="J294" s="1"/>
    </row>
    <row r="295" spans="2:10">
      <c r="B295" s="1"/>
      <c r="C295" s="1"/>
      <c r="D295" s="60"/>
      <c r="E295" s="1"/>
      <c r="F295" s="1"/>
      <c r="G295" s="1"/>
      <c r="H295" s="1"/>
      <c r="I295" s="1"/>
      <c r="J295" s="1"/>
    </row>
    <row r="296" spans="2:10">
      <c r="B296" s="1"/>
      <c r="C296" s="1"/>
      <c r="D296" s="60"/>
      <c r="E296" s="1"/>
      <c r="F296" s="1"/>
      <c r="G296" s="1"/>
      <c r="H296" s="1"/>
      <c r="I296" s="1"/>
      <c r="J296" s="1"/>
    </row>
    <row r="297" spans="2:10">
      <c r="B297" s="1"/>
      <c r="C297" s="1"/>
      <c r="D297" s="60"/>
      <c r="E297" s="1"/>
      <c r="F297" s="1"/>
      <c r="G297" s="1"/>
      <c r="H297" s="1"/>
      <c r="I297" s="1"/>
      <c r="J297" s="1"/>
    </row>
    <row r="298" spans="2:10">
      <c r="B298" s="1"/>
      <c r="C298" s="1"/>
      <c r="D298" s="60"/>
      <c r="E298" s="1"/>
      <c r="F298" s="1"/>
      <c r="G298" s="1"/>
      <c r="H298" s="1"/>
      <c r="I298" s="1"/>
      <c r="J298" s="1"/>
    </row>
    <row r="299" spans="2:10">
      <c r="B299" s="1"/>
      <c r="C299" s="1"/>
      <c r="D299" s="60"/>
      <c r="E299" s="1"/>
      <c r="F299" s="1"/>
      <c r="G299" s="1"/>
      <c r="H299" s="1"/>
      <c r="I299" s="1"/>
      <c r="J299" s="1"/>
    </row>
    <row r="300" spans="2:10">
      <c r="B300" s="1"/>
      <c r="C300" s="1"/>
      <c r="D300" s="60"/>
      <c r="E300" s="1"/>
      <c r="F300" s="1"/>
      <c r="G300" s="1"/>
      <c r="H300" s="1"/>
      <c r="I300" s="1"/>
      <c r="J300" s="1"/>
    </row>
    <row r="301" spans="2:10">
      <c r="B301" s="1"/>
      <c r="C301" s="1"/>
      <c r="D301" s="60"/>
      <c r="E301" s="1"/>
      <c r="F301" s="1"/>
      <c r="G301" s="1"/>
      <c r="H301" s="1"/>
      <c r="I301" s="1"/>
      <c r="J301" s="1"/>
    </row>
    <row r="302" spans="2:10">
      <c r="B302" s="1"/>
      <c r="C302" s="1"/>
      <c r="D302" s="60"/>
      <c r="E302" s="1"/>
      <c r="F302" s="1"/>
      <c r="G302" s="1"/>
      <c r="H302" s="1"/>
      <c r="I302" s="1"/>
      <c r="J302" s="1"/>
    </row>
    <row r="303" spans="2:10">
      <c r="B303" s="1"/>
      <c r="C303" s="1"/>
      <c r="D303" s="60"/>
      <c r="E303" s="1"/>
      <c r="F303" s="1"/>
      <c r="G303" s="1"/>
      <c r="H303" s="1"/>
      <c r="I303" s="1"/>
      <c r="J303" s="1"/>
    </row>
    <row r="304" spans="2:10">
      <c r="B304" s="1"/>
      <c r="C304" s="1"/>
      <c r="D304" s="60"/>
      <c r="E304" s="1"/>
      <c r="F304" s="1"/>
      <c r="G304" s="1"/>
      <c r="H304" s="1"/>
      <c r="I304" s="1"/>
      <c r="J304" s="1"/>
    </row>
    <row r="305" spans="2:10">
      <c r="B305" s="1"/>
      <c r="C305" s="1"/>
      <c r="D305" s="60"/>
      <c r="E305" s="1"/>
      <c r="F305" s="1"/>
      <c r="G305" s="1"/>
      <c r="H305" s="1"/>
      <c r="I305" s="1"/>
      <c r="J305" s="1"/>
    </row>
    <row r="306" spans="2:10">
      <c r="B306" s="1"/>
      <c r="C306" s="1"/>
      <c r="D306" s="60"/>
      <c r="E306" s="1"/>
      <c r="F306" s="1"/>
      <c r="G306" s="1"/>
      <c r="H306" s="1"/>
      <c r="I306" s="1"/>
      <c r="J306" s="1"/>
    </row>
    <row r="307" spans="2:10">
      <c r="B307" s="1"/>
      <c r="C307" s="1"/>
      <c r="D307" s="60"/>
      <c r="E307" s="1"/>
      <c r="F307" s="1"/>
      <c r="G307" s="1"/>
      <c r="H307" s="1"/>
      <c r="I307" s="1"/>
      <c r="J307" s="1"/>
    </row>
    <row r="308" spans="2:10">
      <c r="B308" s="1"/>
      <c r="C308" s="1"/>
      <c r="D308" s="60"/>
      <c r="E308" s="1"/>
      <c r="F308" s="1"/>
      <c r="G308" s="1"/>
      <c r="H308" s="1"/>
      <c r="I308" s="1"/>
      <c r="J308" s="1"/>
    </row>
    <row r="309" spans="2:10">
      <c r="B309" s="1"/>
      <c r="C309" s="1"/>
      <c r="D309" s="60"/>
      <c r="E309" s="1"/>
      <c r="F309" s="1"/>
      <c r="G309" s="1"/>
      <c r="H309" s="1"/>
      <c r="I309" s="1"/>
      <c r="J309" s="1"/>
    </row>
    <row r="310" spans="2:10">
      <c r="B310" s="1"/>
      <c r="C310" s="1"/>
      <c r="D310" s="60"/>
      <c r="E310" s="1"/>
      <c r="F310" s="1"/>
      <c r="G310" s="1"/>
      <c r="H310" s="1"/>
      <c r="I310" s="1"/>
      <c r="J310" s="1"/>
    </row>
    <row r="311" spans="2:10">
      <c r="B311" s="1"/>
      <c r="C311" s="1"/>
      <c r="D311" s="60"/>
      <c r="E311" s="1"/>
      <c r="F311" s="1"/>
      <c r="G311" s="1"/>
      <c r="H311" s="1"/>
      <c r="I311" s="1"/>
      <c r="J311" s="1"/>
    </row>
    <row r="312" spans="2:10">
      <c r="B312" s="1"/>
      <c r="C312" s="1"/>
      <c r="D312" s="60"/>
      <c r="E312" s="1"/>
      <c r="F312" s="1"/>
      <c r="G312" s="1"/>
      <c r="H312" s="1"/>
      <c r="I312" s="1"/>
      <c r="J312" s="1"/>
    </row>
    <row r="313" spans="2:10">
      <c r="B313" s="1"/>
      <c r="C313" s="1"/>
      <c r="D313" s="60"/>
      <c r="E313" s="1"/>
      <c r="F313" s="1"/>
      <c r="G313" s="1"/>
      <c r="H313" s="1"/>
      <c r="I313" s="1"/>
      <c r="J313" s="1"/>
    </row>
    <row r="314" spans="2:10">
      <c r="B314" s="1"/>
      <c r="C314" s="1"/>
      <c r="D314" s="60"/>
      <c r="E314" s="1"/>
      <c r="F314" s="1"/>
      <c r="G314" s="1"/>
      <c r="H314" s="1"/>
      <c r="I314" s="1"/>
      <c r="J314" s="1"/>
    </row>
    <row r="315" spans="2:10">
      <c r="B315" s="1"/>
      <c r="C315" s="1"/>
      <c r="D315" s="60"/>
      <c r="E315" s="1"/>
      <c r="F315" s="1"/>
      <c r="G315" s="1"/>
      <c r="H315" s="1"/>
      <c r="I315" s="1"/>
      <c r="J315" s="1"/>
    </row>
    <row r="316" spans="2:10">
      <c r="B316" s="1"/>
      <c r="C316" s="1"/>
      <c r="D316" s="60"/>
      <c r="E316" s="1"/>
      <c r="F316" s="1"/>
      <c r="G316" s="1"/>
      <c r="H316" s="1"/>
      <c r="I316" s="1"/>
      <c r="J316" s="1"/>
    </row>
    <row r="317" spans="2:10">
      <c r="B317" s="1"/>
      <c r="C317" s="1"/>
      <c r="D317" s="60"/>
      <c r="E317" s="1"/>
      <c r="F317" s="1"/>
      <c r="G317" s="1"/>
      <c r="H317" s="1"/>
      <c r="I317" s="1"/>
      <c r="J317" s="1"/>
    </row>
    <row r="318" spans="2:10">
      <c r="B318" s="1"/>
      <c r="C318" s="1"/>
      <c r="D318" s="60"/>
      <c r="E318" s="1"/>
      <c r="F318" s="1"/>
      <c r="G318" s="1"/>
      <c r="H318" s="1"/>
      <c r="I318" s="1"/>
      <c r="J318" s="1"/>
    </row>
    <row r="319" spans="2:10">
      <c r="B319" s="1"/>
      <c r="C319" s="1"/>
      <c r="D319" s="60"/>
      <c r="E319" s="1"/>
      <c r="F319" s="1"/>
      <c r="G319" s="1"/>
      <c r="H319" s="1"/>
      <c r="I319" s="1"/>
      <c r="J319" s="1"/>
    </row>
    <row r="320" spans="2:10">
      <c r="B320" s="1"/>
      <c r="C320" s="1"/>
      <c r="D320" s="60"/>
      <c r="E320" s="1"/>
      <c r="F320" s="1"/>
      <c r="G320" s="1"/>
      <c r="H320" s="1"/>
      <c r="I320" s="1"/>
      <c r="J320" s="1"/>
    </row>
    <row r="321" spans="2:10">
      <c r="B321" s="1"/>
      <c r="C321" s="1"/>
      <c r="D321" s="60"/>
      <c r="E321" s="1"/>
      <c r="F321" s="1"/>
      <c r="G321" s="1"/>
      <c r="H321" s="1"/>
      <c r="I321" s="1"/>
      <c r="J321" s="1"/>
    </row>
    <row r="322" spans="2:10">
      <c r="B322" s="1"/>
      <c r="C322" s="1"/>
      <c r="D322" s="60"/>
      <c r="E322" s="1"/>
      <c r="F322" s="1"/>
      <c r="G322" s="1"/>
      <c r="H322" s="1"/>
      <c r="I322" s="1"/>
      <c r="J322" s="1"/>
    </row>
    <row r="323" spans="2:10">
      <c r="B323" s="1"/>
      <c r="C323" s="1"/>
      <c r="D323" s="60"/>
      <c r="E323" s="1"/>
      <c r="F323" s="1"/>
      <c r="G323" s="1"/>
      <c r="H323" s="1"/>
      <c r="I323" s="1"/>
      <c r="J323" s="1"/>
    </row>
    <row r="324" spans="2:10">
      <c r="B324" s="1"/>
      <c r="C324" s="1"/>
      <c r="D324" s="60"/>
      <c r="E324" s="1"/>
      <c r="F324" s="1"/>
      <c r="G324" s="1"/>
      <c r="H324" s="1"/>
      <c r="I324" s="1"/>
      <c r="J324" s="1"/>
    </row>
    <row r="325" spans="2:10">
      <c r="B325" s="1"/>
      <c r="C325" s="1"/>
      <c r="D325" s="60"/>
      <c r="E325" s="1"/>
      <c r="F325" s="1"/>
      <c r="G325" s="1"/>
      <c r="H325" s="1"/>
      <c r="I325" s="1"/>
      <c r="J325" s="1"/>
    </row>
    <row r="326" spans="2:10">
      <c r="B326" s="1"/>
      <c r="C326" s="1"/>
      <c r="D326" s="60"/>
      <c r="E326" s="1"/>
      <c r="F326" s="1"/>
      <c r="G326" s="1"/>
      <c r="H326" s="1"/>
      <c r="I326" s="1"/>
      <c r="J326" s="1"/>
    </row>
    <row r="327" spans="2:10">
      <c r="B327" s="1"/>
      <c r="C327" s="1"/>
      <c r="D327" s="60"/>
      <c r="E327" s="1"/>
      <c r="F327" s="1"/>
      <c r="G327" s="1"/>
      <c r="H327" s="1"/>
      <c r="I327" s="1"/>
      <c r="J327" s="1"/>
    </row>
    <row r="328" spans="2:10">
      <c r="B328" s="1"/>
      <c r="C328" s="1"/>
      <c r="D328" s="60"/>
      <c r="E328" s="1"/>
      <c r="F328" s="1"/>
      <c r="G328" s="1"/>
      <c r="H328" s="1"/>
      <c r="I328" s="1"/>
      <c r="J328" s="1"/>
    </row>
    <row r="329" spans="2:10">
      <c r="B329" s="1"/>
      <c r="C329" s="1"/>
      <c r="D329" s="60"/>
      <c r="E329" s="1"/>
      <c r="F329" s="1"/>
      <c r="G329" s="1"/>
      <c r="H329" s="1"/>
      <c r="I329" s="1"/>
      <c r="J329" s="1"/>
    </row>
    <row r="330" spans="2:10">
      <c r="B330" s="1"/>
      <c r="C330" s="1"/>
      <c r="D330" s="60"/>
      <c r="E330" s="1"/>
      <c r="F330" s="1"/>
      <c r="G330" s="1"/>
      <c r="H330" s="1"/>
      <c r="I330" s="1"/>
      <c r="J330" s="1"/>
    </row>
    <row r="331" spans="2:10">
      <c r="B331" s="1"/>
      <c r="C331" s="1"/>
      <c r="D331" s="60"/>
      <c r="E331" s="1"/>
      <c r="F331" s="1"/>
      <c r="G331" s="1"/>
      <c r="H331" s="1"/>
      <c r="I331" s="1"/>
      <c r="J331" s="1"/>
    </row>
    <row r="332" spans="2:10">
      <c r="B332" s="1"/>
      <c r="C332" s="1"/>
      <c r="D332" s="60"/>
      <c r="E332" s="1"/>
      <c r="F332" s="1"/>
      <c r="G332" s="1"/>
      <c r="H332" s="1"/>
      <c r="I332" s="1"/>
      <c r="J332" s="1"/>
    </row>
    <row r="333" spans="2:10">
      <c r="B333" s="1"/>
      <c r="C333" s="1"/>
      <c r="D333" s="60"/>
      <c r="E333" s="1"/>
      <c r="F333" s="1"/>
      <c r="G333" s="1"/>
      <c r="H333" s="1"/>
      <c r="I333" s="1"/>
      <c r="J333" s="1"/>
    </row>
    <row r="334" spans="2:10">
      <c r="B334" s="1"/>
      <c r="C334" s="1"/>
      <c r="D334" s="60"/>
      <c r="E334" s="1"/>
      <c r="F334" s="1"/>
      <c r="G334" s="1"/>
      <c r="H334" s="1"/>
      <c r="I334" s="1"/>
      <c r="J334" s="1"/>
    </row>
    <row r="335" spans="2:10">
      <c r="B335" s="1"/>
      <c r="C335" s="1"/>
      <c r="D335" s="60"/>
      <c r="E335" s="1"/>
      <c r="F335" s="1"/>
      <c r="G335" s="1"/>
      <c r="H335" s="1"/>
      <c r="I335" s="1"/>
      <c r="J335" s="1"/>
    </row>
    <row r="336" spans="2:10">
      <c r="B336" s="1"/>
      <c r="C336" s="1"/>
      <c r="D336" s="60"/>
      <c r="E336" s="1"/>
      <c r="F336" s="1"/>
      <c r="G336" s="1"/>
      <c r="H336" s="1"/>
      <c r="I336" s="1"/>
      <c r="J336" s="1"/>
    </row>
    <row r="337" spans="2:10">
      <c r="B337" s="1"/>
      <c r="C337" s="1"/>
      <c r="D337" s="60"/>
      <c r="E337" s="1"/>
      <c r="F337" s="1"/>
      <c r="G337" s="1"/>
      <c r="H337" s="1"/>
      <c r="I337" s="1"/>
      <c r="J337" s="1"/>
    </row>
    <row r="338" spans="2:10">
      <c r="B338" s="1"/>
      <c r="C338" s="1"/>
      <c r="D338" s="60"/>
      <c r="E338" s="1"/>
      <c r="F338" s="1"/>
      <c r="G338" s="1"/>
      <c r="H338" s="1"/>
      <c r="I338" s="1"/>
      <c r="J338" s="1"/>
    </row>
    <row r="339" spans="2:10">
      <c r="B339" s="1"/>
      <c r="C339" s="1"/>
      <c r="D339" s="60"/>
      <c r="E339" s="1"/>
      <c r="F339" s="1"/>
      <c r="G339" s="1"/>
      <c r="H339" s="1"/>
      <c r="I339" s="1"/>
      <c r="J339" s="1"/>
    </row>
    <row r="340" spans="2:10">
      <c r="B340" s="1"/>
      <c r="C340" s="1"/>
      <c r="D340" s="60"/>
      <c r="E340" s="1"/>
      <c r="F340" s="1"/>
      <c r="G340" s="1"/>
      <c r="H340" s="1"/>
      <c r="I340" s="1"/>
      <c r="J340" s="1"/>
    </row>
    <row r="341" spans="2:10">
      <c r="B341" s="1"/>
      <c r="C341" s="1"/>
      <c r="D341" s="60"/>
      <c r="E341" s="1"/>
      <c r="F341" s="1"/>
      <c r="G341" s="1"/>
      <c r="H341" s="1"/>
      <c r="I341" s="1"/>
      <c r="J341" s="1"/>
    </row>
    <row r="342" spans="2:10">
      <c r="B342" s="1"/>
      <c r="C342" s="1"/>
      <c r="D342" s="60"/>
      <c r="E342" s="1"/>
      <c r="F342" s="1"/>
      <c r="G342" s="1"/>
      <c r="H342" s="1"/>
      <c r="I342" s="1"/>
      <c r="J342" s="1"/>
    </row>
    <row r="343" spans="2:10">
      <c r="B343" s="1"/>
      <c r="C343" s="1"/>
      <c r="D343" s="60"/>
      <c r="E343" s="1"/>
      <c r="F343" s="1"/>
      <c r="G343" s="1"/>
      <c r="H343" s="1"/>
      <c r="I343" s="1"/>
      <c r="J343" s="1"/>
    </row>
    <row r="344" spans="2:10">
      <c r="B344" s="1"/>
      <c r="C344" s="1"/>
      <c r="D344" s="60"/>
      <c r="E344" s="1"/>
      <c r="F344" s="1"/>
      <c r="G344" s="1"/>
      <c r="H344" s="1"/>
      <c r="I344" s="1"/>
      <c r="J344" s="1"/>
    </row>
    <row r="345" spans="2:10">
      <c r="B345" s="1"/>
      <c r="C345" s="1"/>
      <c r="D345" s="60"/>
      <c r="E345" s="1"/>
      <c r="F345" s="1"/>
      <c r="G345" s="1"/>
      <c r="H345" s="1"/>
      <c r="I345" s="1"/>
      <c r="J345" s="1"/>
    </row>
    <row r="346" spans="2:10">
      <c r="B346" s="1"/>
      <c r="C346" s="1"/>
      <c r="D346" s="60"/>
      <c r="E346" s="1"/>
      <c r="F346" s="1"/>
      <c r="G346" s="1"/>
      <c r="H346" s="1"/>
      <c r="I346" s="1"/>
      <c r="J346" s="1"/>
    </row>
    <row r="347" spans="2:10">
      <c r="B347" s="1"/>
      <c r="C347" s="1"/>
      <c r="D347" s="60"/>
      <c r="E347" s="1"/>
      <c r="F347" s="1"/>
      <c r="G347" s="1"/>
      <c r="H347" s="1"/>
      <c r="I347" s="1"/>
      <c r="J347" s="1"/>
    </row>
  </sheetData>
  <autoFilter ref="B7:M48" xr:uid="{00000000-0009-0000-0000-000005000000}"/>
  <mergeCells count="1">
    <mergeCell ref="F4:H4"/>
  </mergeCells>
  <phoneticPr fontId="0" type="noConversion"/>
  <pageMargins left="0.75" right="0.75" top="1" bottom="1" header="0" footer="0"/>
  <pageSetup scale="7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6"/>
  <dimension ref="A1:P193"/>
  <sheetViews>
    <sheetView workbookViewId="0">
      <pane ySplit="5" topLeftCell="A147" activePane="bottomLeft" state="frozen"/>
      <selection pane="bottomLeft" activeCell="G158" sqref="G158"/>
    </sheetView>
  </sheetViews>
  <sheetFormatPr baseColWidth="10" defaultRowHeight="12.5"/>
  <cols>
    <col min="1" max="1" width="17.90625" bestFit="1" customWidth="1"/>
    <col min="4" max="4" width="13.08984375" style="250" customWidth="1"/>
    <col min="5" max="5" width="12.90625" bestFit="1" customWidth="1"/>
  </cols>
  <sheetData>
    <row r="1" spans="1:11">
      <c r="G1" s="182" t="s">
        <v>65</v>
      </c>
    </row>
    <row r="2" spans="1:11">
      <c r="F2" s="182" t="s">
        <v>651</v>
      </c>
      <c r="G2" s="48">
        <v>-0.05</v>
      </c>
    </row>
    <row r="5" spans="1:11" ht="13">
      <c r="B5" t="s">
        <v>329</v>
      </c>
      <c r="C5" t="s">
        <v>330</v>
      </c>
      <c r="D5" s="622" t="s">
        <v>182</v>
      </c>
      <c r="E5" s="363" t="s">
        <v>118</v>
      </c>
      <c r="F5" s="363" t="s">
        <v>118</v>
      </c>
      <c r="G5" t="s">
        <v>326</v>
      </c>
      <c r="H5" s="51" t="s">
        <v>327</v>
      </c>
      <c r="I5" s="51" t="s">
        <v>327</v>
      </c>
      <c r="K5" s="182" t="s">
        <v>607</v>
      </c>
    </row>
    <row r="6" spans="1:11">
      <c r="A6" s="619" t="s">
        <v>172</v>
      </c>
      <c r="B6" cm="1">
        <f t="array" ref="B6">_xll.RDP.Data(A6,"CF_BID")</f>
        <v>894.04</v>
      </c>
      <c r="C6" cm="1">
        <f t="array" ref="C6">_xll.RDP.Data(A6,"CF_ASK")</f>
        <v>894.87</v>
      </c>
      <c r="D6" s="623">
        <f t="shared" ref="D6:D68" si="0">(B6+C6)/2</f>
        <v>894.45499999999993</v>
      </c>
      <c r="E6" s="356">
        <v>-1.4999999999999999E-2</v>
      </c>
      <c r="F6" s="356">
        <v>-1.4999999999999999E-2</v>
      </c>
      <c r="G6" s="356">
        <f>IF('ppal B'!$I$11=0,0,IF('ppal B'!$I$11&gt;0,E6*'ppal B'!$I$11*100,F6*'ppal B'!$I$11*100))</f>
        <v>0</v>
      </c>
      <c r="H6" s="364">
        <v>898.375</v>
      </c>
      <c r="I6" s="364">
        <f>E6*(1+H6)</f>
        <v>-13.490625</v>
      </c>
      <c r="K6" t="str">
        <f>_xll.RDP.Data(A6,"TR.WACCBeta")</f>
        <v>Unable to resolve all requested identifiers.</v>
      </c>
    </row>
    <row r="7" spans="1:11">
      <c r="A7" s="619" t="s">
        <v>173</v>
      </c>
      <c r="B7" cm="1">
        <f t="array" ref="B7">_xll.RDP.Data(A7,"CF_BID")</f>
        <v>4.9873000000000003</v>
      </c>
      <c r="C7" cm="1">
        <f t="array" ref="C7">_xll.RDP.Data(A7,"CF_ASK")</f>
        <v>4.9882</v>
      </c>
      <c r="D7" s="623">
        <f t="shared" si="0"/>
        <v>4.9877500000000001</v>
      </c>
      <c r="E7" s="356">
        <v>-2.5000000000000001E-2</v>
      </c>
      <c r="F7" s="356">
        <v>-2.5000000000000001E-2</v>
      </c>
      <c r="G7" s="356">
        <f>IF('ppal B'!$I$11=0,0,IF('ppal B'!$I$11&gt;0,E7*'ppal B'!$I$11*100,F7*'ppal B'!$I$11*100))</f>
        <v>0</v>
      </c>
      <c r="H7" s="364">
        <v>5.0294999999999996</v>
      </c>
      <c r="I7" s="364">
        <f t="shared" ref="I7:I70" si="1">E7*(1+H7)</f>
        <v>-0.1507375</v>
      </c>
      <c r="K7" t="str">
        <f>_xll.RDP.Data(A7,"TR.WACCBeta")</f>
        <v>Unable to resolve all requested identifiers.</v>
      </c>
    </row>
    <row r="8" spans="1:11">
      <c r="A8" t="s">
        <v>174</v>
      </c>
      <c r="B8" cm="1">
        <f t="array" ref="B8">_xll.RDP.Data(A8,"CF_BID")</f>
        <v>1.1736</v>
      </c>
      <c r="C8" cm="1">
        <f t="array" ref="C8">_xll.RDP.Data(A8,"CF_ASK")</f>
        <v>1.1737</v>
      </c>
      <c r="D8" s="623">
        <f t="shared" si="0"/>
        <v>1.1736499999999999</v>
      </c>
      <c r="E8" s="356">
        <v>1.6E-2</v>
      </c>
      <c r="F8" s="356">
        <v>1.6E-2</v>
      </c>
      <c r="G8" s="356">
        <f>IF('ppal B'!$I$11=0,0,IF('ppal B'!$I$11&gt;0,E8*'ppal B'!$I$11*100,F8*'ppal B'!$I$11*100))</f>
        <v>0</v>
      </c>
      <c r="H8" s="364">
        <v>1.1716</v>
      </c>
      <c r="I8" s="364">
        <f t="shared" si="1"/>
        <v>3.4745599999999995E-2</v>
      </c>
      <c r="K8" t="str">
        <f>_xll.RDP.Data(A8,"TR.WACCBeta")</f>
        <v>Unable to resolve all requested identifiers.</v>
      </c>
    </row>
    <row r="9" spans="1:11">
      <c r="A9" s="182" t="s">
        <v>292</v>
      </c>
      <c r="B9" cm="1">
        <f t="array" ref="B9">_xll.RDP.Data(A9,"CF_BID")</f>
        <v>39.39</v>
      </c>
      <c r="C9" cm="1">
        <f t="array" ref="C9">_xll.RDP.Data(A9,"CF_ASK")</f>
        <v>39.46</v>
      </c>
      <c r="D9" s="623">
        <f t="shared" si="0"/>
        <v>39.424999999999997</v>
      </c>
      <c r="E9" s="356">
        <v>0</v>
      </c>
      <c r="F9" s="356">
        <v>0</v>
      </c>
      <c r="G9" s="356">
        <f>IF('ppal B'!$I$11=0,0,IF('ppal B'!$I$11&gt;0,E9*'ppal B'!$I$11*100,F9*'ppal B'!$I$11*100))</f>
        <v>0</v>
      </c>
      <c r="H9" s="364">
        <v>39.049999999999997</v>
      </c>
      <c r="I9" s="364">
        <f t="shared" si="1"/>
        <v>0</v>
      </c>
      <c r="K9" t="str">
        <f>_xll.RDP.Data(A9,"TR.WACCBeta")</f>
        <v>NULL</v>
      </c>
    </row>
    <row r="10" spans="1:11">
      <c r="A10" t="s">
        <v>175</v>
      </c>
      <c r="B10" cm="1">
        <f t="array" ref="B10">_xll.RDP.Data(A10,"CF_BID")</f>
        <v>0.70879999999999999</v>
      </c>
      <c r="C10" cm="1">
        <f t="array" ref="C10">_xll.RDP.Data(A10,"CF_ASK")</f>
        <v>0.70909999999999995</v>
      </c>
      <c r="D10" s="623">
        <f t="shared" si="0"/>
        <v>0.70894999999999997</v>
      </c>
      <c r="E10" s="356">
        <v>0.01</v>
      </c>
      <c r="F10" s="356">
        <v>0.01</v>
      </c>
      <c r="G10" s="356">
        <f>IF('ppal B'!$I$11=0,0,IF('ppal B'!$I$11&gt;0,E10*'ppal B'!$I$11*100,F10*'ppal B'!$I$11*100))</f>
        <v>0</v>
      </c>
      <c r="H10" s="364">
        <v>0.70669999999999999</v>
      </c>
      <c r="I10" s="364">
        <f t="shared" si="1"/>
        <v>1.7067000000000002E-2</v>
      </c>
      <c r="K10" t="str">
        <f>_xll.RDP.Data(A10,"TR.WACCBeta")</f>
        <v>NULL</v>
      </c>
    </row>
    <row r="11" spans="1:11">
      <c r="A11" t="s">
        <v>176</v>
      </c>
      <c r="B11" cm="1">
        <f t="array" ref="B11">_xll.RDP.Data(A11,"CF_BID")</f>
        <v>4745.46</v>
      </c>
      <c r="C11" cm="1">
        <f t="array" ref="C11">_xll.RDP.Data(A11,"CF_ASK")</f>
        <v>4746.2</v>
      </c>
      <c r="D11" s="623">
        <f t="shared" si="0"/>
        <v>4745.83</v>
      </c>
      <c r="E11" s="356">
        <v>0.02</v>
      </c>
      <c r="F11" s="585">
        <v>0.01</v>
      </c>
      <c r="G11" s="356">
        <f>IF('ppal B'!$I$11=0,0,IF('ppal B'!$I$11&gt;0,E11*'ppal B'!$I$11*100,F11*'ppal B'!$I$11*100))</f>
        <v>0</v>
      </c>
      <c r="H11" s="364">
        <v>4720.375</v>
      </c>
      <c r="I11" s="364">
        <f t="shared" si="1"/>
        <v>94.427499999999995</v>
      </c>
      <c r="K11" t="str">
        <f>_xll.RDP.Data(A11,"TR.WACCBeta")</f>
        <v>Unable to resolve all requested identifiers.</v>
      </c>
    </row>
    <row r="12" spans="1:11">
      <c r="A12" t="s">
        <v>65</v>
      </c>
      <c r="B12" cm="1">
        <f t="array" ref="B12">_xll.RDP.Data(A12,"CF_BID")</f>
        <v>682.17</v>
      </c>
      <c r="C12" cm="1">
        <f t="array" ref="C12">_xll.RDP.Data(A12,"CF_ASK")</f>
        <v>682.18</v>
      </c>
      <c r="D12" s="623">
        <f t="shared" si="0"/>
        <v>682.17499999999995</v>
      </c>
      <c r="E12" s="356">
        <v>0.01</v>
      </c>
      <c r="F12" s="356">
        <v>0.01</v>
      </c>
      <c r="G12" s="356">
        <f>IF('ppal B'!$I$11=0,0,IF('ppal B'!$I$11&gt;0,E12*'ppal B'!$I$11*100,F12*'ppal B'!$I$11*100))</f>
        <v>0</v>
      </c>
      <c r="H12" s="364">
        <v>679.25</v>
      </c>
      <c r="I12" s="364">
        <f t="shared" si="1"/>
        <v>6.8025000000000002</v>
      </c>
      <c r="K12" t="str">
        <f>_xll.RDP.Data(A12,"TR.WACCBeta")</f>
        <v>NULL</v>
      </c>
    </row>
    <row r="13" spans="1:11">
      <c r="A13" s="619" t="s">
        <v>177</v>
      </c>
      <c r="B13" cm="1">
        <f t="array" ref="B13">_xll.RDP.Data(A13,"CF_BID")</f>
        <v>257.83</v>
      </c>
      <c r="C13" cm="1">
        <f t="array" ref="C13">_xll.RDP.Data(A13,"CF_ASK")</f>
        <v>257.85000000000002</v>
      </c>
      <c r="D13" s="623">
        <f t="shared" si="0"/>
        <v>257.84000000000003</v>
      </c>
      <c r="E13" s="356">
        <v>0.02</v>
      </c>
      <c r="F13" s="356">
        <v>0.03</v>
      </c>
      <c r="G13" s="356">
        <f>IF('ppal B'!$I$11=0,0,IF('ppal B'!$I$11&gt;0,E13*'ppal B'!$I$11*100,F13*'ppal B'!$I$11*100))</f>
        <v>0</v>
      </c>
      <c r="H13" s="364">
        <v>257.39999999999998</v>
      </c>
      <c r="I13" s="364">
        <f t="shared" si="1"/>
        <v>5.1679999999999993</v>
      </c>
      <c r="K13">
        <f>_xll.RDP.Data(A13,"TR.WACCBeta")</f>
        <v>1.0952454392450199</v>
      </c>
    </row>
    <row r="14" spans="1:11">
      <c r="A14" s="182" t="s">
        <v>178</v>
      </c>
      <c r="B14" cm="1">
        <f t="array" ref="B14">_xll.RDP.Data(A14,"CF_BID")</f>
        <v>17.292899999999999</v>
      </c>
      <c r="C14" cm="1">
        <f t="array" ref="C14">_xll.RDP.Data(A14,"CF_ASK")</f>
        <v>17.3034</v>
      </c>
      <c r="D14" s="623">
        <f t="shared" si="0"/>
        <v>17.29815</v>
      </c>
      <c r="E14" s="585">
        <v>-0.01</v>
      </c>
      <c r="F14" s="356">
        <v>-0.03</v>
      </c>
      <c r="G14" s="356">
        <f>IF('ppal B'!$I$11=0,0,IF('ppal B'!$I$11&gt;0,E14*'ppal B'!$I$11*100,F14*'ppal B'!$I$11*100))</f>
        <v>0</v>
      </c>
      <c r="H14" s="364">
        <v>17.343150000000001</v>
      </c>
      <c r="I14" s="364">
        <f t="shared" si="1"/>
        <v>-0.18343150000000003</v>
      </c>
      <c r="K14" t="str">
        <f>_xll.RDP.Data(A14,"TR.WACCBeta")</f>
        <v>Unable to resolve all requested identifiers.</v>
      </c>
    </row>
    <row r="15" spans="1:11">
      <c r="A15" s="182" t="s">
        <v>179</v>
      </c>
      <c r="B15" cm="1">
        <f t="array" ref="B15">_xll.RDP.Data(A15,"CF_BID")</f>
        <v>16.404599999999999</v>
      </c>
      <c r="C15" cm="1">
        <f t="array" ref="C15">_xll.RDP.Data(A15,"CF_ASK")</f>
        <v>16.407699999999998</v>
      </c>
      <c r="D15" s="623">
        <f t="shared" si="0"/>
        <v>16.406149999999997</v>
      </c>
      <c r="E15" s="356">
        <v>-2.5000000000000001E-2</v>
      </c>
      <c r="F15" s="356">
        <v>-2.5000000000000001E-2</v>
      </c>
      <c r="G15" s="356">
        <f>IF('ppal B'!$I$11=0,0,IF('ppal B'!$I$11&gt;0,E15*'ppal B'!$I$11*100,F15*'ppal B'!$I$11*100))</f>
        <v>0</v>
      </c>
      <c r="H15" s="364">
        <v>16.485399999999998</v>
      </c>
      <c r="I15" s="364">
        <f t="shared" si="1"/>
        <v>-0.437135</v>
      </c>
      <c r="K15" t="str">
        <f>_xll.RDP.Data(A15,"TR.WACCBeta")</f>
        <v>Unable to resolve all requested identifiers.</v>
      </c>
    </row>
    <row r="16" spans="1:11">
      <c r="A16" s="182" t="s">
        <v>180</v>
      </c>
      <c r="B16" cm="1">
        <f t="array" ref="B16">_xll.RDP.Data(A16,"CF_BID")</f>
        <v>159.38999999999999</v>
      </c>
      <c r="C16" cm="1">
        <f t="array" ref="C16">_xll.RDP.Data(A16,"CF_ASK")</f>
        <v>159.4</v>
      </c>
      <c r="D16" s="623">
        <f t="shared" si="0"/>
        <v>159.39499999999998</v>
      </c>
      <c r="E16" s="356">
        <v>0</v>
      </c>
      <c r="F16" s="356">
        <v>0</v>
      </c>
      <c r="G16" s="356">
        <f>IF('ppal B'!$I$11=0,0,IF('ppal B'!$I$11&gt;0,E16*'ppal B'!$I$11*100,F16*'ppal B'!$I$11*100))</f>
        <v>0</v>
      </c>
      <c r="H16" s="364">
        <v>159.565</v>
      </c>
      <c r="I16" s="364">
        <f t="shared" si="1"/>
        <v>0</v>
      </c>
      <c r="K16" t="str">
        <f>_xll.RDP.Data(A16,"TR.WACCBeta")</f>
        <v>NULL</v>
      </c>
    </row>
    <row r="17" spans="1:16">
      <c r="A17" s="182" t="s">
        <v>291</v>
      </c>
      <c r="B17" cm="1">
        <f t="array" ref="B17">_xll.RDP.Data(A17,"CF_BID")</f>
        <v>121.21</v>
      </c>
      <c r="C17" cm="1">
        <f t="array" ref="C17">_xll.RDP.Data(A17,"CF_ASK")</f>
        <v>121.31</v>
      </c>
      <c r="D17" s="623">
        <f t="shared" si="0"/>
        <v>121.25999999999999</v>
      </c>
      <c r="E17" s="356">
        <v>0</v>
      </c>
      <c r="F17" s="356">
        <v>0</v>
      </c>
      <c r="G17" s="356">
        <f>IF('ppal B'!$I$11=0,0,IF('ppal B'!$I$11&gt;0,E17*'ppal B'!$I$11*100,F17*'ppal B'!$I$11*100))</f>
        <v>0</v>
      </c>
      <c r="H17" s="364">
        <v>120.07</v>
      </c>
      <c r="I17" s="364">
        <f t="shared" si="1"/>
        <v>0</v>
      </c>
      <c r="K17" t="str">
        <f>_xll.RDP.Data(A17,"TR.WACCBeta")</f>
        <v>NULL</v>
      </c>
    </row>
    <row r="18" spans="1:16">
      <c r="A18" s="182" t="s">
        <v>28</v>
      </c>
      <c r="B18" cm="1">
        <f t="array" ref="B18">_xll.RDP.Data(A18,"CF_BID")</f>
        <v>36.299999999999997</v>
      </c>
      <c r="C18" cm="1">
        <f t="array" ref="C18">_xll.RDP.Data(A18,"CF_ASK")</f>
        <v>36.31</v>
      </c>
      <c r="D18" s="623">
        <f t="shared" si="0"/>
        <v>36.305</v>
      </c>
      <c r="E18" s="356">
        <v>2.7E-2</v>
      </c>
      <c r="F18" s="356">
        <v>2.7E-2</v>
      </c>
      <c r="G18" s="356">
        <f>IF('ppal B'!$I$11=0,0,IF('ppal B'!$I$11&gt;0,E18*'ppal B'!$I$11*100,F18*'ppal B'!$I$11*100))</f>
        <v>0</v>
      </c>
      <c r="H18" s="364">
        <v>36.085000000000001</v>
      </c>
      <c r="I18" s="364">
        <f t="shared" si="1"/>
        <v>1.001295</v>
      </c>
      <c r="K18" t="str">
        <f>_xll.RDP.Data(A18,"TR.WACCBeta")</f>
        <v>NULL</v>
      </c>
    </row>
    <row r="19" spans="1:16">
      <c r="A19" s="182" t="s">
        <v>30</v>
      </c>
      <c r="B19" cm="1">
        <f t="array" ref="B19">_xll.RDP.Data(A19,"CF_BID")</f>
        <v>130.44999999999999</v>
      </c>
      <c r="C19" cm="1">
        <f t="array" ref="C19">_xll.RDP.Data(A19,"CF_ASK")</f>
        <v>130.49</v>
      </c>
      <c r="D19" s="623">
        <f t="shared" si="0"/>
        <v>130.47</v>
      </c>
      <c r="E19" s="356">
        <v>0.02</v>
      </c>
      <c r="F19" s="356">
        <v>0.02</v>
      </c>
      <c r="G19" s="356">
        <f>IF('ppal B'!$I$11=0,0,IF('ppal B'!$I$11&gt;0,E19*'ppal B'!$I$11*100,F19*'ppal B'!$I$11*100))</f>
        <v>0</v>
      </c>
      <c r="H19" s="364">
        <v>131.47500000000002</v>
      </c>
      <c r="I19" s="364">
        <f t="shared" si="1"/>
        <v>2.6495000000000006</v>
      </c>
      <c r="K19" t="str">
        <f>_xll.RDP.Data(A19,"TR.WACCBeta")</f>
        <v>NULL</v>
      </c>
      <c r="M19" s="593"/>
      <c r="O19" s="593"/>
      <c r="P19" s="593"/>
    </row>
    <row r="20" spans="1:16">
      <c r="A20" s="182" t="s">
        <v>31</v>
      </c>
      <c r="B20" cm="1">
        <f t="array" ref="B20">_xll.RDP.Data(A20,"CF_BID")</f>
        <v>41.39</v>
      </c>
      <c r="C20" cm="1">
        <f t="array" ref="C20">_xll.RDP.Data(A20,"CF_ASK")</f>
        <v>41.4</v>
      </c>
      <c r="D20" s="623">
        <f t="shared" si="0"/>
        <v>41.394999999999996</v>
      </c>
      <c r="E20" s="356">
        <v>0.01</v>
      </c>
      <c r="F20" s="356">
        <v>0.01</v>
      </c>
      <c r="G20" s="356">
        <f>IF('ppal B'!$I$11=0,0,IF('ppal B'!$I$11&gt;0,E20*'ppal B'!$I$11*100,F20*'ppal B'!$I$11*100))</f>
        <v>0</v>
      </c>
      <c r="H20" s="364">
        <v>40.984999999999999</v>
      </c>
      <c r="I20" s="364">
        <f t="shared" si="1"/>
        <v>0.41985</v>
      </c>
      <c r="K20" t="str">
        <f>_xll.RDP.Data(A20,"TR.WACCBeta")</f>
        <v>NULL</v>
      </c>
    </row>
    <row r="21" spans="1:16">
      <c r="A21" s="182" t="s">
        <v>49</v>
      </c>
      <c r="B21" cm="1">
        <f t="array" ref="B21">_xll.RDP.Data(A21,"CF_BID")</f>
        <v>60.78</v>
      </c>
      <c r="C21" cm="1">
        <f t="array" ref="C21">_xll.RDP.Data(A21,"CF_ASK")</f>
        <v>60.79</v>
      </c>
      <c r="D21" s="623">
        <f t="shared" si="0"/>
        <v>60.784999999999997</v>
      </c>
      <c r="E21" s="356">
        <v>4.7999999999999996E-3</v>
      </c>
      <c r="F21" s="356">
        <v>4.7999999999999996E-3</v>
      </c>
      <c r="G21" s="356">
        <f>IF('ppal B'!$I$11=0,0,IF('ppal B'!$I$11&gt;0,E21*'ppal B'!$I$11*100,F21*'ppal B'!$I$11*100))</f>
        <v>0</v>
      </c>
      <c r="H21" s="364">
        <v>60.245000000000005</v>
      </c>
      <c r="I21" s="364">
        <f t="shared" si="1"/>
        <v>0.29397600000000002</v>
      </c>
      <c r="K21" t="str">
        <f>_xll.RDP.Data(A21,"TR.WACCBeta")</f>
        <v>NULL</v>
      </c>
    </row>
    <row r="22" spans="1:16">
      <c r="A22" s="182" t="s">
        <v>293</v>
      </c>
      <c r="B22" cm="1">
        <f t="array" ref="B22">_xll.RDP.Data(A22,"CF_BID")</f>
        <v>126.33</v>
      </c>
      <c r="C22" cm="1">
        <f t="array" ref="C22">_xll.RDP.Data(A22,"CF_ASK")</f>
        <v>126.87</v>
      </c>
      <c r="D22" s="623">
        <f t="shared" si="0"/>
        <v>126.6</v>
      </c>
      <c r="E22" s="356">
        <v>0</v>
      </c>
      <c r="F22" s="356">
        <v>0</v>
      </c>
      <c r="G22" s="356">
        <f>IF('ppal B'!$I$11=0,0,IF('ppal B'!$I$11&gt;0,E22*'ppal B'!$I$11*100,F22*'ppal B'!$I$11*100))</f>
        <v>0</v>
      </c>
      <c r="H22" s="364">
        <v>125.41500000000001</v>
      </c>
      <c r="I22" s="364">
        <f t="shared" si="1"/>
        <v>0</v>
      </c>
      <c r="K22" t="str">
        <f>_xll.RDP.Data(A22,"TR.WACCBeta")</f>
        <v>NULL</v>
      </c>
    </row>
    <row r="23" spans="1:16">
      <c r="A23" s="182" t="s">
        <v>181</v>
      </c>
      <c r="B23" cm="1">
        <f t="array" ref="B23">_xll.RDP.Data(A23,"CF_BID")</f>
        <v>317.49</v>
      </c>
      <c r="C23" cm="1">
        <f t="array" ref="C23">_xll.RDP.Data(A23,"CF_ASK")</f>
        <v>317.54000000000002</v>
      </c>
      <c r="D23" s="623">
        <f t="shared" si="0"/>
        <v>317.51499999999999</v>
      </c>
      <c r="E23" s="356">
        <v>1.21E-2</v>
      </c>
      <c r="F23" s="356">
        <v>1.21E-2</v>
      </c>
      <c r="G23" s="356">
        <f>IF('ppal B'!$I$11=0,0,IF('ppal B'!$I$11&gt;0,E23*'ppal B'!$I$11*100,F23*'ppal B'!$I$11*100))</f>
        <v>0</v>
      </c>
      <c r="H23" s="364">
        <v>316.15999999999997</v>
      </c>
      <c r="I23" s="364">
        <f t="shared" si="1"/>
        <v>3.8376359999999994</v>
      </c>
      <c r="K23">
        <f>_xll.RDP.Data(A23,"TR.WACCBeta")</f>
        <v>1.11443331380271</v>
      </c>
    </row>
    <row r="24" spans="1:16">
      <c r="A24" s="182" t="s">
        <v>80</v>
      </c>
      <c r="B24" cm="1">
        <f t="array" ref="B24">_xll.RDP.Data(A24,"CF_BID")</f>
        <v>27.05</v>
      </c>
      <c r="C24" cm="1">
        <f t="array" ref="C24">_xll.RDP.Data(A24,"CF_ASK")</f>
        <v>27.06</v>
      </c>
      <c r="D24" s="623">
        <f t="shared" si="0"/>
        <v>27.055</v>
      </c>
      <c r="E24" s="356">
        <v>0</v>
      </c>
      <c r="F24" s="356">
        <v>0</v>
      </c>
      <c r="G24" s="356">
        <f>IF('ppal B'!$I$11=0,0,IF('ppal B'!$I$11&gt;0,E24*'ppal B'!$I$11*100,F24*'ppal B'!$I$11*100))</f>
        <v>0</v>
      </c>
      <c r="H24" s="364">
        <v>27.015000000000001</v>
      </c>
      <c r="I24" s="364">
        <f t="shared" si="1"/>
        <v>0</v>
      </c>
      <c r="K24" t="str">
        <f>_xll.RDP.Data(A24,"TR.WACCBeta")</f>
        <v>NULL</v>
      </c>
    </row>
    <row r="25" spans="1:16">
      <c r="A25" s="182" t="s">
        <v>89</v>
      </c>
      <c r="B25" cm="1">
        <f t="array" ref="B25">_xll.RDP.Data(A25,"CF_BID")</f>
        <v>43.03</v>
      </c>
      <c r="C25" cm="1">
        <f t="array" ref="C25">_xll.RDP.Data(A25,"CF_ASK")</f>
        <v>43.06</v>
      </c>
      <c r="D25" s="623">
        <f t="shared" si="0"/>
        <v>43.045000000000002</v>
      </c>
      <c r="E25" s="356">
        <v>5.4000000000000003E-3</v>
      </c>
      <c r="F25" s="356">
        <v>5.4000000000000003E-3</v>
      </c>
      <c r="G25" s="356">
        <f>IF('ppal B'!$I$11=0,0,IF('ppal B'!$I$11&gt;0,E25*'ppal B'!$I$11*100,F25*'ppal B'!$I$11*100))</f>
        <v>0</v>
      </c>
      <c r="H25" s="364">
        <v>42.41</v>
      </c>
      <c r="I25" s="364">
        <f t="shared" si="1"/>
        <v>0.23441399999999998</v>
      </c>
      <c r="K25" t="str">
        <f>_xll.RDP.Data(A25,"TR.WACCBeta")</f>
        <v>NULL</v>
      </c>
    </row>
    <row r="26" spans="1:16">
      <c r="A26" s="182" t="s">
        <v>149</v>
      </c>
      <c r="B26" cm="1">
        <f t="array" ref="B26">_xll.RDP.Data(A26,"CF_BID")</f>
        <v>87.51</v>
      </c>
      <c r="C26" cm="1">
        <f t="array" ref="C26">_xll.RDP.Data(A26,"CF_ASK")</f>
        <v>87.7</v>
      </c>
      <c r="D26" s="623">
        <f t="shared" si="0"/>
        <v>87.605000000000004</v>
      </c>
      <c r="E26" s="356">
        <v>0</v>
      </c>
      <c r="F26" s="356">
        <v>0</v>
      </c>
      <c r="G26" s="356">
        <f>IF('ppal B'!$I$11=0,0,IF('ppal B'!$I$11&gt;0,E26*'ppal B'!$I$11*100,F26*'ppal B'!$I$11*100))</f>
        <v>0</v>
      </c>
      <c r="H26" s="364">
        <v>86.55</v>
      </c>
      <c r="I26" s="364">
        <f t="shared" si="1"/>
        <v>0</v>
      </c>
      <c r="K26" t="str">
        <f>_xll.RDP.Data(A26,"TR.WACCBeta")</f>
        <v>NULL</v>
      </c>
    </row>
    <row r="27" spans="1:16">
      <c r="A27" s="182" t="s">
        <v>40</v>
      </c>
      <c r="B27" cm="1">
        <f t="array" ref="B27">_xll.RDP.Data(A27,"CF_BID")</f>
        <v>79.099999999999994</v>
      </c>
      <c r="C27" cm="1">
        <f t="array" ref="C27">_xll.RDP.Data(A27,"CF_ASK")</f>
        <v>79.14</v>
      </c>
      <c r="D27" s="623">
        <f t="shared" si="0"/>
        <v>79.12</v>
      </c>
      <c r="E27" s="356">
        <v>0</v>
      </c>
      <c r="F27" s="356">
        <v>0</v>
      </c>
      <c r="G27" s="356">
        <f>IF('ppal B'!$I$11=0,0,IF('ppal B'!$I$11&gt;0,E27*'ppal B'!$I$11*100,F27*'ppal B'!$I$11*100))</f>
        <v>0</v>
      </c>
      <c r="H27" s="364">
        <v>79.14</v>
      </c>
      <c r="I27" s="364">
        <f t="shared" si="1"/>
        <v>0</v>
      </c>
      <c r="K27" t="str">
        <f>_xll.RDP.Data(A27,"TR.WACCBeta")</f>
        <v>NULL</v>
      </c>
    </row>
    <row r="28" spans="1:16">
      <c r="A28" s="182" t="s">
        <v>496</v>
      </c>
      <c r="B28" cm="1">
        <f t="array" ref="B28">_xll.RDP.Data(A28,"CF_BID")</f>
        <v>629.86</v>
      </c>
      <c r="C28" cm="1">
        <f t="array" ref="C28">_xll.RDP.Data(A28,"CF_ASK")</f>
        <v>629.96</v>
      </c>
      <c r="D28" s="623">
        <f t="shared" si="0"/>
        <v>629.91000000000008</v>
      </c>
      <c r="E28" s="356">
        <v>9.7999999999999997E-3</v>
      </c>
      <c r="F28" s="356">
        <v>9.7999999999999997E-3</v>
      </c>
      <c r="G28" s="356">
        <f>IF('ppal B'!$I$11=0,0,IF('ppal B'!$I$11&gt;0,E28*'ppal B'!$I$11*100,F28*'ppal B'!$I$11*100))</f>
        <v>0</v>
      </c>
      <c r="H28" s="364">
        <v>627.48</v>
      </c>
      <c r="I28" s="364">
        <f t="shared" si="1"/>
        <v>6.1591040000000001</v>
      </c>
      <c r="K28">
        <f>_xll.RDP.Data(A28,"TR.WACCBeta")</f>
        <v>1.30987611918772</v>
      </c>
    </row>
    <row r="29" spans="1:16">
      <c r="A29" t="s">
        <v>186</v>
      </c>
      <c r="B29" cm="1">
        <f t="array" ref="B29">_xll.RDP.Data(A29,"CF_BID")</f>
        <v>109.52</v>
      </c>
      <c r="C29" cm="1">
        <f t="array" ref="C29">_xll.RDP.Data(A29,"CF_ASK")</f>
        <v>109.62</v>
      </c>
      <c r="D29" s="623">
        <f t="shared" si="0"/>
        <v>109.57</v>
      </c>
      <c r="E29" s="356">
        <v>0</v>
      </c>
      <c r="F29" s="356">
        <v>0</v>
      </c>
      <c r="G29" s="356">
        <f>IF('ppal B'!$I$11=0,0,IF('ppal B'!$I$11&gt;0,E29*'ppal B'!$I$11*100,F29*'ppal B'!$I$11*100))</f>
        <v>0</v>
      </c>
      <c r="H29" s="364">
        <v>108.36500000000001</v>
      </c>
      <c r="I29" s="364">
        <f t="shared" si="1"/>
        <v>0</v>
      </c>
      <c r="K29">
        <f>_xll.RDP.Data(A29,"TR.WACCBeta")</f>
        <v>1.34587465597789</v>
      </c>
    </row>
    <row r="30" spans="1:16">
      <c r="A30" s="182" t="s">
        <v>188</v>
      </c>
      <c r="B30" cm="1">
        <f t="array" ref="B30">_xll.RDP.Data(A30,"CF_BID")</f>
        <v>238.22</v>
      </c>
      <c r="C30" cm="1">
        <f t="array" ref="C30">_xll.RDP.Data(A30,"CF_ASK")</f>
        <v>238.24</v>
      </c>
      <c r="D30" s="623">
        <f t="shared" si="0"/>
        <v>238.23000000000002</v>
      </c>
      <c r="E30" s="356">
        <v>1.1900000000000001E-2</v>
      </c>
      <c r="F30" s="356">
        <v>1.1900000000000001E-2</v>
      </c>
      <c r="G30" s="356">
        <f>IF('ppal B'!$I$11=0,0,IF('ppal B'!$I$11&gt;0,E30*'ppal B'!$I$11*100,F30*'ppal B'!$I$11*100))</f>
        <v>0</v>
      </c>
      <c r="H30" s="364">
        <v>236.98500000000001</v>
      </c>
      <c r="I30" s="364">
        <f t="shared" si="1"/>
        <v>2.8320215000000002</v>
      </c>
      <c r="K30">
        <f>_xll.RDP.Data(A30,"TR.WACCBeta")</f>
        <v>1.3905068073315701</v>
      </c>
    </row>
    <row r="31" spans="1:16">
      <c r="A31" t="s">
        <v>190</v>
      </c>
      <c r="B31" cm="1">
        <f t="array" ref="B31">_xll.RDP.Data(A31,"CF_BID")</f>
        <v>127.1</v>
      </c>
      <c r="C31" cm="1">
        <f t="array" ref="C31">_xll.RDP.Data(A31,"CF_ASK")</f>
        <v>127.19</v>
      </c>
      <c r="D31" s="623">
        <f t="shared" si="0"/>
        <v>127.145</v>
      </c>
      <c r="E31" s="356">
        <v>1.03E-2</v>
      </c>
      <c r="F31" s="356">
        <v>1.03E-2</v>
      </c>
      <c r="G31" s="356">
        <f>IF('ppal B'!$I$11=0,0,IF('ppal B'!$I$11&gt;0,E31*'ppal B'!$I$11*100,F31*'ppal B'!$I$11*100))</f>
        <v>0</v>
      </c>
      <c r="H31" s="364">
        <v>125.72</v>
      </c>
      <c r="I31" s="364">
        <f t="shared" si="1"/>
        <v>1.3052159999999999</v>
      </c>
      <c r="K31">
        <f>_xll.RDP.Data(A31,"TR.WACCBeta")</f>
        <v>0.49396670320594999</v>
      </c>
    </row>
    <row r="32" spans="1:16">
      <c r="A32" t="s">
        <v>1</v>
      </c>
      <c r="B32" cm="1">
        <f t="array" ref="B32">_xll.RDP.Data(A32,"CF_BID")</f>
        <v>32.54</v>
      </c>
      <c r="C32" cm="1">
        <f t="array" ref="C32">_xll.RDP.Data(A32,"CF_ASK")</f>
        <v>32.549999999999997</v>
      </c>
      <c r="D32" s="623">
        <f t="shared" si="0"/>
        <v>32.545000000000002</v>
      </c>
      <c r="E32" s="356">
        <v>1.5299999999999999E-2</v>
      </c>
      <c r="F32" s="356">
        <v>1.5299999999999999E-2</v>
      </c>
      <c r="G32" s="356">
        <f>IF('ppal B'!$I$11=0,0,IF('ppal B'!$I$11&gt;0,E32*'ppal B'!$I$11*100,F32*'ppal B'!$I$11*100))</f>
        <v>0</v>
      </c>
      <c r="H32" s="364">
        <v>32.144999999999996</v>
      </c>
      <c r="I32" s="364">
        <f t="shared" si="1"/>
        <v>0.50711849999999992</v>
      </c>
      <c r="K32">
        <f>_xll.RDP.Data(A32,"TR.WACCBeta")</f>
        <v>1.2432988002888199</v>
      </c>
    </row>
    <row r="33" spans="1:11">
      <c r="A33" s="182" t="s">
        <v>194</v>
      </c>
      <c r="B33" cm="1">
        <f t="array" ref="B33">_xll.RDP.Data(A33,"CF_BID")</f>
        <v>79.81</v>
      </c>
      <c r="C33" cm="1">
        <f t="array" ref="C33">_xll.RDP.Data(A33,"CF_ASK")</f>
        <v>79.94</v>
      </c>
      <c r="D33" s="623">
        <f t="shared" si="0"/>
        <v>79.875</v>
      </c>
      <c r="E33" s="356">
        <v>1.21E-2</v>
      </c>
      <c r="F33" s="356">
        <v>1.21E-2</v>
      </c>
      <c r="G33" s="356">
        <f>IF('ppal B'!$I$11=0,0,IF('ppal B'!$I$11&gt;0,E33*'ppal B'!$I$11*100,F33*'ppal B'!$I$11*100))</f>
        <v>0</v>
      </c>
      <c r="H33" s="364">
        <v>78.91</v>
      </c>
      <c r="I33" s="364">
        <f t="shared" si="1"/>
        <v>0.96691099999999996</v>
      </c>
      <c r="K33" t="str">
        <f>_xll.RDP.Data(A33,"TR.WACCBeta")</f>
        <v>NULL</v>
      </c>
    </row>
    <row r="34" spans="1:11">
      <c r="A34" s="182" t="s">
        <v>587</v>
      </c>
      <c r="B34" cm="1">
        <f t="array" ref="B34">_xll.RDP.Data(A34,"CF_BID")</f>
        <v>9.5299999999999994</v>
      </c>
      <c r="C34" cm="1">
        <f t="array" ref="C34">_xll.RDP.Data(A34,"CF_ASK")</f>
        <v>9.5500000000000007</v>
      </c>
      <c r="D34" s="623">
        <f>(B34+C34)/2</f>
        <v>9.5399999999999991</v>
      </c>
      <c r="E34" s="356">
        <v>1.21E-2</v>
      </c>
      <c r="F34" s="356">
        <v>1.21E-2</v>
      </c>
      <c r="G34" s="356">
        <f>IF('ppal B'!$I$11=0,0,IF('ppal B'!$I$11&gt;0,E34*'ppal B'!$I$11*100,F34*'ppal B'!$I$11*100))</f>
        <v>0</v>
      </c>
      <c r="H34" s="364">
        <v>9.4</v>
      </c>
      <c r="I34" s="364">
        <f t="shared" si="1"/>
        <v>0.12584000000000001</v>
      </c>
      <c r="K34">
        <f>_xll.RDP.Data(A34,"TR.WACCBeta")</f>
        <v>0.73865122200813105</v>
      </c>
    </row>
    <row r="35" spans="1:11">
      <c r="A35" s="182" t="s">
        <v>198</v>
      </c>
      <c r="B35" cm="1">
        <f t="array" ref="B35">_xll.RDP.Data(A35,"CF_BID")</f>
        <v>381.15</v>
      </c>
      <c r="C35" cm="1">
        <f t="array" ref="C35">_xll.RDP.Data(A35,"CF_ASK")</f>
        <v>381.17</v>
      </c>
      <c r="D35" s="623">
        <f t="shared" si="0"/>
        <v>381.15999999999997</v>
      </c>
      <c r="E35" s="356">
        <v>1.09E-2</v>
      </c>
      <c r="F35" s="356">
        <v>1.09E-2</v>
      </c>
      <c r="G35" s="356">
        <f>IF('ppal B'!$I$11=0,0,IF('ppal B'!$I$11&gt;0,E35*'ppal B'!$I$11*100,F35*'ppal B'!$I$11*100))</f>
        <v>0</v>
      </c>
      <c r="H35" s="364">
        <v>376.91999999999996</v>
      </c>
      <c r="I35" s="364">
        <f t="shared" si="1"/>
        <v>4.1193279999999994</v>
      </c>
      <c r="K35">
        <f>_xll.RDP.Data(A35,"TR.WACCBeta")</f>
        <v>1.0887099072809301</v>
      </c>
    </row>
    <row r="36" spans="1:11">
      <c r="A36" s="182" t="s">
        <v>199</v>
      </c>
      <c r="B36" cm="1">
        <f t="array" ref="B36">_xll.RDP.Data(A36,"CF_BID")</f>
        <v>51.29</v>
      </c>
      <c r="C36" cm="1">
        <f t="array" ref="C36">_xll.RDP.Data(A36,"CF_ASK")</f>
        <v>51.3</v>
      </c>
      <c r="D36" s="623">
        <f t="shared" si="0"/>
        <v>51.295000000000002</v>
      </c>
      <c r="E36" s="356">
        <v>1.21E-2</v>
      </c>
      <c r="F36" s="356">
        <v>1.21E-2</v>
      </c>
      <c r="G36" s="356">
        <f>IF('ppal B'!$I$11=0,0,IF('ppal B'!$I$11&gt;0,E36*'ppal B'!$I$11*100,F36*'ppal B'!$I$11*100))</f>
        <v>0</v>
      </c>
      <c r="H36" s="364">
        <v>50.835000000000001</v>
      </c>
      <c r="I36" s="364">
        <f t="shared" si="1"/>
        <v>0.62720350000000002</v>
      </c>
      <c r="K36" t="str">
        <f>_xll.RDP.Data(A36,"TR.WACCBeta")</f>
        <v>NULL</v>
      </c>
    </row>
    <row r="37" spans="1:11">
      <c r="A37" s="182" t="s">
        <v>205</v>
      </c>
      <c r="B37" cm="1">
        <f t="array" ref="B37">_xll.RDP.Data(A37,"CF_BID")</f>
        <v>0.64480000000000004</v>
      </c>
      <c r="C37" cm="1">
        <f t="array" ref="C37">_xll.RDP.Data(A37,"CF_ASK")</f>
        <v>0.64490000000000003</v>
      </c>
      <c r="D37" s="623">
        <f t="shared" si="0"/>
        <v>0.64485000000000003</v>
      </c>
      <c r="E37" s="356">
        <v>0</v>
      </c>
      <c r="F37" s="356">
        <v>0</v>
      </c>
      <c r="G37" s="356">
        <f>IF('ppal B'!$I$11=0,0,IF('ppal B'!$I$11&gt;0,E37*'ppal B'!$I$11*100,F37*'ppal B'!$I$11*100))</f>
        <v>0</v>
      </c>
      <c r="H37" s="364">
        <v>0.6472</v>
      </c>
      <c r="I37" s="364">
        <f t="shared" si="1"/>
        <v>0</v>
      </c>
      <c r="K37">
        <f>_xll.RDP.Data(A37,"TR.WACCBeta")</f>
        <v>2.6372875218064502</v>
      </c>
    </row>
    <row r="38" spans="1:11">
      <c r="A38" s="182" t="s">
        <v>52</v>
      </c>
      <c r="B38" cm="1">
        <f t="array" ref="B38">_xll.RDP.Data(A38,"CF_BID")</f>
        <v>434.08</v>
      </c>
      <c r="C38" cm="1">
        <f t="array" ref="C38">_xll.RDP.Data(A38,"CF_ASK")</f>
        <v>434.16</v>
      </c>
      <c r="D38" s="623">
        <f t="shared" si="0"/>
        <v>434.12</v>
      </c>
      <c r="E38" s="356">
        <v>0.02</v>
      </c>
      <c r="F38" s="356">
        <v>0.01</v>
      </c>
      <c r="G38" s="356">
        <f>IF('ppal B'!$I$11=0,0,IF('ppal B'!$I$11&gt;0,E38*'ppal B'!$I$11*100,F38*'ppal B'!$I$11*100))</f>
        <v>0</v>
      </c>
      <c r="H38" s="364">
        <v>432.9</v>
      </c>
      <c r="I38" s="364">
        <f t="shared" si="1"/>
        <v>8.677999999999999</v>
      </c>
      <c r="K38" t="str">
        <f>_xll.RDP.Data(A38,"TR.WACCBeta")</f>
        <v>NULL</v>
      </c>
    </row>
    <row r="39" spans="1:11">
      <c r="A39" s="182" t="s">
        <v>566</v>
      </c>
      <c r="B39" cm="1">
        <f t="array" ref="B39">_xll.RDP.Data(A39,"CF_BID")</f>
        <v>95.85</v>
      </c>
      <c r="C39" cm="1">
        <f t="array" ref="C39">_xll.RDP.Data(A39,"CF_ASK")</f>
        <v>96.14</v>
      </c>
      <c r="D39" s="623">
        <f t="shared" si="0"/>
        <v>95.995000000000005</v>
      </c>
      <c r="E39" s="356">
        <v>0</v>
      </c>
      <c r="F39" s="356">
        <v>0</v>
      </c>
      <c r="G39" s="356">
        <f>IF('ppal B'!$I$11=0,0,IF('ppal B'!$I$11&gt;0,E39*'ppal B'!$I$11*100,F39*'ppal B'!$I$11*100))</f>
        <v>0</v>
      </c>
      <c r="H39" s="364">
        <v>94.53</v>
      </c>
      <c r="I39" s="364">
        <f t="shared" si="1"/>
        <v>0</v>
      </c>
      <c r="K39">
        <f>_xll.RDP.Data(A39,"TR.WACCBeta")</f>
        <v>3.21088614777043</v>
      </c>
    </row>
    <row r="40" spans="1:11">
      <c r="A40" s="182" t="s">
        <v>596</v>
      </c>
      <c r="B40" cm="1">
        <f t="array" ref="B40">_xll.RDP.Data(A40,"CF_BID")</f>
        <v>68.36</v>
      </c>
      <c r="C40" cm="1">
        <f t="array" ref="C40">_xll.RDP.Data(A40,"CF_ASK")</f>
        <v>68.37</v>
      </c>
      <c r="D40" s="623">
        <f>(B40+C40)/2</f>
        <v>68.365000000000009</v>
      </c>
      <c r="E40" s="356">
        <v>0</v>
      </c>
      <c r="F40" s="356">
        <v>0</v>
      </c>
      <c r="G40" s="356">
        <f>IF('ppal B'!$I$11=0,0,IF('ppal B'!$I$11&gt;0,E40*'ppal B'!$I$11*100,F40*'ppal B'!$I$11*100))</f>
        <v>0</v>
      </c>
      <c r="H40" s="364">
        <v>67.545000000000002</v>
      </c>
      <c r="I40" s="364">
        <f t="shared" si="1"/>
        <v>0</v>
      </c>
      <c r="K40">
        <f>_xll.RDP.Data(A40,"TR.WACCBeta")</f>
        <v>1.4747894806119399</v>
      </c>
    </row>
    <row r="41" spans="1:11">
      <c r="A41" s="182" t="s">
        <v>206</v>
      </c>
      <c r="B41" cm="1">
        <f t="array" ref="B41">_xll.RDP.Data(A41,"CF_BID")</f>
        <v>455.06</v>
      </c>
      <c r="C41" cm="1">
        <f t="array" ref="C41">_xll.RDP.Data(A41,"CF_ASK")</f>
        <v>455.62</v>
      </c>
      <c r="D41" s="623">
        <f t="shared" si="0"/>
        <v>455.34000000000003</v>
      </c>
      <c r="E41" s="356">
        <v>0</v>
      </c>
      <c r="F41" s="356">
        <v>0</v>
      </c>
      <c r="G41" s="356">
        <f>IF('ppal B'!$I$11=0,0,IF('ppal B'!$I$11&gt;0,E41*'ppal B'!$I$11*100,F41*'ppal B'!$I$11*100))</f>
        <v>0</v>
      </c>
      <c r="H41" s="364">
        <v>451.97500000000002</v>
      </c>
      <c r="I41" s="364">
        <f t="shared" si="1"/>
        <v>0</v>
      </c>
      <c r="K41">
        <f>_xll.RDP.Data(A41,"TR.WACCBeta")</f>
        <v>1.6177780074483701</v>
      </c>
    </row>
    <row r="42" spans="1:11">
      <c r="A42" s="182" t="s">
        <v>207</v>
      </c>
      <c r="B42" cm="1">
        <f t="array" ref="B42">_xll.RDP.Data(A42,"CF_BID")</f>
        <v>124.47</v>
      </c>
      <c r="C42" cm="1">
        <f t="array" ref="C42">_xll.RDP.Data(A42,"CF_ASK")</f>
        <v>124.68</v>
      </c>
      <c r="D42" s="623">
        <f t="shared" si="0"/>
        <v>124.575</v>
      </c>
      <c r="E42" s="356">
        <v>0</v>
      </c>
      <c r="F42" s="356">
        <v>0</v>
      </c>
      <c r="G42" s="356">
        <f>IF('ppal B'!$I$11=0,0,IF('ppal B'!$I$11&gt;0,E42*'ppal B'!$I$11*100,F42*'ppal B'!$I$11*100))</f>
        <v>0</v>
      </c>
      <c r="H42" s="364">
        <v>123.57</v>
      </c>
      <c r="I42" s="364">
        <f t="shared" si="1"/>
        <v>0</v>
      </c>
      <c r="K42">
        <f>_xll.RDP.Data(A42,"TR.WACCBeta")</f>
        <v>1.4923435733787001</v>
      </c>
    </row>
    <row r="43" spans="1:11">
      <c r="A43" s="182" t="s">
        <v>208</v>
      </c>
      <c r="B43" cm="1">
        <f t="array" ref="B43">_xll.RDP.Data(A43,"CF_BID")</f>
        <v>72.39</v>
      </c>
      <c r="C43" cm="1">
        <f t="array" ref="C43">_xll.RDP.Data(A43,"CF_ASK")</f>
        <v>72.41</v>
      </c>
      <c r="D43" s="623">
        <f t="shared" si="0"/>
        <v>72.400000000000006</v>
      </c>
      <c r="E43" s="356">
        <v>1.47E-2</v>
      </c>
      <c r="F43" s="356">
        <v>1.47E-2</v>
      </c>
      <c r="G43" s="356">
        <f>IF('ppal B'!$I$11=0,0,IF('ppal B'!$I$11&gt;0,E43*'ppal B'!$I$11*100,F43*'ppal B'!$I$11*100))</f>
        <v>0</v>
      </c>
      <c r="H43" s="364">
        <v>71.430000000000007</v>
      </c>
      <c r="I43" s="364">
        <f t="shared" si="1"/>
        <v>1.064721</v>
      </c>
      <c r="K43">
        <f>_xll.RDP.Data(A43,"TR.WACCBeta")</f>
        <v>1.2043026538369199</v>
      </c>
    </row>
    <row r="44" spans="1:11">
      <c r="A44" s="182" t="s">
        <v>558</v>
      </c>
      <c r="B44" cm="1">
        <f t="array" ref="B44">_xll.RDP.Data(A44,"CF_BID")</f>
        <v>114.79</v>
      </c>
      <c r="C44" cm="1">
        <f t="array" ref="C44">_xll.RDP.Data(A44,"CF_ASK")</f>
        <v>114.87</v>
      </c>
      <c r="D44" s="623">
        <f t="shared" si="0"/>
        <v>114.83000000000001</v>
      </c>
      <c r="E44" s="356">
        <v>0</v>
      </c>
      <c r="F44" s="356">
        <v>0</v>
      </c>
      <c r="G44" s="356">
        <f>IF('ppal B'!$I$11=0,0,IF('ppal B'!$I$11&gt;0,E44*'ppal B'!$I$11*100,F44*'ppal B'!$I$11*100))</f>
        <v>0</v>
      </c>
      <c r="H44" s="364">
        <v>115.155</v>
      </c>
      <c r="I44" s="364">
        <f t="shared" si="1"/>
        <v>0</v>
      </c>
      <c r="K44">
        <f>_xll.RDP.Data(A44,"TR.WACCBeta")</f>
        <v>2.7934144375136398</v>
      </c>
    </row>
    <row r="45" spans="1:11">
      <c r="A45" s="182" t="s">
        <v>209</v>
      </c>
      <c r="B45" cm="1">
        <f t="array" ref="B45">_xll.RDP.Data(A45,"CF_BID")</f>
        <v>497.71</v>
      </c>
      <c r="C45" cm="1">
        <f t="array" ref="C45">_xll.RDP.Data(A45,"CF_ASK")</f>
        <v>498.11</v>
      </c>
      <c r="D45" s="623">
        <f t="shared" si="0"/>
        <v>497.90999999999997</v>
      </c>
      <c r="E45" s="356">
        <v>0</v>
      </c>
      <c r="F45" s="356">
        <v>0</v>
      </c>
      <c r="G45" s="356">
        <f>IF('ppal B'!$I$11=0,0,IF('ppal B'!$I$11&gt;0,E45*'ppal B'!$I$11*100,F45*'ppal B'!$I$11*100))</f>
        <v>0</v>
      </c>
      <c r="H45" s="364">
        <v>491.065</v>
      </c>
      <c r="I45" s="364">
        <f t="shared" si="1"/>
        <v>0</v>
      </c>
      <c r="K45">
        <f>_xll.RDP.Data(A45,"TR.WACCBeta")</f>
        <v>1.7284421298944601</v>
      </c>
    </row>
    <row r="46" spans="1:11">
      <c r="A46" s="182" t="s">
        <v>565</v>
      </c>
      <c r="B46" cm="1">
        <f t="array" ref="B46">_xll.RDP.Data(A46,"CF_BID")</f>
        <v>38.590000000000003</v>
      </c>
      <c r="C46" cm="1">
        <f t="array" ref="C46">_xll.RDP.Data(A46,"CF_ASK")</f>
        <v>38.64</v>
      </c>
      <c r="D46" s="623">
        <f t="shared" si="0"/>
        <v>38.615000000000002</v>
      </c>
      <c r="E46" s="356">
        <v>0</v>
      </c>
      <c r="F46" s="356">
        <v>0</v>
      </c>
      <c r="G46" s="356">
        <f>IF('ppal B'!$I$11=0,0,IF('ppal B'!$I$11&gt;0,E46*'ppal B'!$I$11*100,F46*'ppal B'!$I$11*100))</f>
        <v>0</v>
      </c>
      <c r="H46" s="364">
        <v>38.29</v>
      </c>
      <c r="I46" s="364">
        <f t="shared" si="1"/>
        <v>0</v>
      </c>
      <c r="K46">
        <f>_xll.RDP.Data(A46,"TR.WACCBeta")</f>
        <v>0.70481072525291699</v>
      </c>
    </row>
    <row r="47" spans="1:11">
      <c r="A47" s="182" t="s">
        <v>210</v>
      </c>
      <c r="B47" cm="1">
        <f t="array" ref="B47">_xll.RDP.Data(A47,"CF_BID")</f>
        <v>88.79</v>
      </c>
      <c r="C47" cm="1">
        <f t="array" ref="C47">_xll.RDP.Data(A47,"CF_ASK")</f>
        <v>88.81</v>
      </c>
      <c r="D47" s="623">
        <f t="shared" si="0"/>
        <v>88.800000000000011</v>
      </c>
      <c r="E47" s="356">
        <v>0</v>
      </c>
      <c r="F47" s="356">
        <v>0</v>
      </c>
      <c r="G47" s="356">
        <f>IF('ppal B'!$I$11=0,0,IF('ppal B'!$I$11&gt;0,E47*'ppal B'!$I$11*100,F47*'ppal B'!$I$11*100))</f>
        <v>0</v>
      </c>
      <c r="H47" s="364">
        <v>87.625</v>
      </c>
      <c r="I47" s="364">
        <f t="shared" si="1"/>
        <v>0</v>
      </c>
      <c r="K47">
        <f>_xll.RDP.Data(A47,"TR.WACCBeta")</f>
        <v>0.94013813680106995</v>
      </c>
    </row>
    <row r="48" spans="1:11">
      <c r="A48" s="182" t="s">
        <v>211</v>
      </c>
      <c r="B48" cm="1">
        <f t="array" ref="B48">_xll.RDP.Data(A48,"CF_BID")</f>
        <v>64.930000000000007</v>
      </c>
      <c r="C48" cm="1">
        <f t="array" ref="C48">_xll.RDP.Data(A48,"CF_ASK")</f>
        <v>65.010000000000005</v>
      </c>
      <c r="D48" s="623">
        <f t="shared" si="0"/>
        <v>64.97</v>
      </c>
      <c r="E48" s="356">
        <v>0</v>
      </c>
      <c r="F48" s="356">
        <v>0</v>
      </c>
      <c r="G48" s="356">
        <f>IF('ppal B'!$I$11=0,0,IF('ppal B'!$I$11&gt;0,E48*'ppal B'!$I$11*100,F48*'ppal B'!$I$11*100))</f>
        <v>0</v>
      </c>
      <c r="H48" s="364">
        <v>64.66</v>
      </c>
      <c r="I48" s="364">
        <f t="shared" si="1"/>
        <v>0</v>
      </c>
      <c r="K48">
        <f>_xll.RDP.Data(A48,"TR.WACCBeta")</f>
        <v>0.61827855938583598</v>
      </c>
    </row>
    <row r="49" spans="1:11">
      <c r="A49" s="182" t="s">
        <v>212</v>
      </c>
      <c r="B49" cm="1">
        <f t="array" ref="B49">_xll.RDP.Data(A49,"CF_BID")</f>
        <v>62.79</v>
      </c>
      <c r="C49" cm="1">
        <f t="array" ref="C49">_xll.RDP.Data(A49,"CF_ASK")</f>
        <v>62.84</v>
      </c>
      <c r="D49" s="623">
        <f t="shared" si="0"/>
        <v>62.814999999999998</v>
      </c>
      <c r="E49" s="356">
        <v>0</v>
      </c>
      <c r="F49" s="356">
        <v>0</v>
      </c>
      <c r="G49" s="356">
        <f>IF('ppal B'!$I$11=0,0,IF('ppal B'!$I$11&gt;0,E49*'ppal B'!$I$11*100,F49*'ppal B'!$I$11*100))</f>
        <v>0</v>
      </c>
      <c r="H49" s="364">
        <v>63.524999999999999</v>
      </c>
      <c r="I49" s="364">
        <f t="shared" si="1"/>
        <v>0</v>
      </c>
      <c r="K49">
        <f>_xll.RDP.Data(A49,"TR.WACCBeta")</f>
        <v>1.5432560643736699</v>
      </c>
    </row>
    <row r="50" spans="1:11">
      <c r="A50" s="182" t="s">
        <v>213</v>
      </c>
      <c r="B50" cm="1">
        <f t="array" ref="B50">_xll.RDP.Data(A50,"CF_BID")</f>
        <v>158.19</v>
      </c>
      <c r="C50" cm="1">
        <f t="array" ref="C50">_xll.RDP.Data(A50,"CF_ASK")</f>
        <v>158.36000000000001</v>
      </c>
      <c r="D50" s="623">
        <f t="shared" si="0"/>
        <v>158.27500000000001</v>
      </c>
      <c r="E50" s="356">
        <v>0</v>
      </c>
      <c r="F50" s="356">
        <v>0</v>
      </c>
      <c r="G50" s="356">
        <f>IF('ppal B'!$I$11=0,0,IF('ppal B'!$I$11&gt;0,E50*'ppal B'!$I$11*100,F50*'ppal B'!$I$11*100))</f>
        <v>0</v>
      </c>
      <c r="H50" s="364">
        <v>154.83999999999997</v>
      </c>
      <c r="I50" s="364">
        <f t="shared" si="1"/>
        <v>0</v>
      </c>
      <c r="K50">
        <f>_xll.RDP.Data(A50,"TR.WACCBeta")</f>
        <v>1.0334030536587699</v>
      </c>
    </row>
    <row r="51" spans="1:11">
      <c r="A51" s="182" t="s">
        <v>214</v>
      </c>
      <c r="B51" cm="1">
        <f t="array" ref="B51">_xll.RDP.Data(A51,"CF_BID")</f>
        <v>120.7</v>
      </c>
      <c r="C51" cm="1">
        <f t="array" ref="C51">_xll.RDP.Data(A51,"CF_ASK")</f>
        <v>120.82</v>
      </c>
      <c r="D51" s="623">
        <f t="shared" si="0"/>
        <v>120.75999999999999</v>
      </c>
      <c r="E51" s="356">
        <v>0</v>
      </c>
      <c r="F51" s="356">
        <v>0</v>
      </c>
      <c r="G51" s="356">
        <f>IF('ppal B'!$I$11=0,0,IF('ppal B'!$I$11&gt;0,E51*'ppal B'!$I$11*100,F51*'ppal B'!$I$11*100))</f>
        <v>0</v>
      </c>
      <c r="H51" s="364">
        <v>119.02500000000001</v>
      </c>
      <c r="I51" s="364">
        <f t="shared" si="1"/>
        <v>0</v>
      </c>
      <c r="K51">
        <f>_xll.RDP.Data(A51,"TR.WACCBeta")</f>
        <v>1.1085100369782599</v>
      </c>
    </row>
    <row r="52" spans="1:11">
      <c r="A52" s="182" t="s">
        <v>215</v>
      </c>
      <c r="B52" cm="1">
        <f t="array" ref="B52">_xll.RDP.Data(A52,"CF_BID")</f>
        <v>122.66</v>
      </c>
      <c r="C52" cm="1">
        <f t="array" ref="C52">_xll.RDP.Data(A52,"CF_ASK")</f>
        <v>122.81</v>
      </c>
      <c r="D52" s="623">
        <f t="shared" si="0"/>
        <v>122.735</v>
      </c>
      <c r="E52" s="356">
        <v>0</v>
      </c>
      <c r="F52" s="356">
        <v>0</v>
      </c>
      <c r="G52" s="356">
        <f>IF('ppal B'!$I$11=0,0,IF('ppal B'!$I$11&gt;0,E52*'ppal B'!$I$11*100,F52*'ppal B'!$I$11*100))</f>
        <v>0</v>
      </c>
      <c r="H52" s="364">
        <v>120.33500000000001</v>
      </c>
      <c r="I52" s="364">
        <f t="shared" si="1"/>
        <v>0</v>
      </c>
      <c r="K52">
        <f>_xll.RDP.Data(A52,"TR.WACCBeta")</f>
        <v>1.2390929718244701</v>
      </c>
    </row>
    <row r="53" spans="1:11">
      <c r="A53" s="182" t="s">
        <v>216</v>
      </c>
      <c r="B53" cm="1">
        <f t="array" ref="B53">_xll.RDP.Data(A53,"CF_BID")</f>
        <v>21.12</v>
      </c>
      <c r="C53" cm="1">
        <f t="array" ref="C53">_xll.RDP.Data(A53,"CF_ASK")</f>
        <v>21.13</v>
      </c>
      <c r="D53" s="623">
        <f t="shared" si="0"/>
        <v>21.125</v>
      </c>
      <c r="E53" s="356">
        <v>0</v>
      </c>
      <c r="F53" s="356">
        <v>0</v>
      </c>
      <c r="G53" s="356">
        <f>IF('ppal B'!$I$11=0,0,IF('ppal B'!$I$11&gt;0,E53*'ppal B'!$I$11*100,F53*'ppal B'!$I$11*100))</f>
        <v>0</v>
      </c>
      <c r="H53" s="364">
        <v>20.655000000000001</v>
      </c>
      <c r="I53" s="364">
        <f t="shared" si="1"/>
        <v>0</v>
      </c>
      <c r="K53">
        <f>_xll.RDP.Data(A53,"TR.WACCBeta")</f>
        <v>1.1002342347907901</v>
      </c>
    </row>
    <row r="54" spans="1:11">
      <c r="A54" s="182" t="s">
        <v>619</v>
      </c>
      <c r="B54" cm="1">
        <f t="array" ref="B54">_xll.RDP.Data(A54,"CF_BID")</f>
        <v>22.25</v>
      </c>
      <c r="C54" cm="1">
        <f t="array" ref="C54">_xll.RDP.Data(A54,"CF_ASK")</f>
        <v>22.36</v>
      </c>
      <c r="D54" s="623">
        <f t="shared" si="0"/>
        <v>22.305</v>
      </c>
      <c r="E54" s="356">
        <v>0</v>
      </c>
      <c r="F54" s="356">
        <v>0</v>
      </c>
      <c r="G54" s="356">
        <f>IF('ppal B'!$I$11=0,0,IF('ppal B'!$I$11&gt;0,E54*'ppal B'!$I$11*100,F54*'ppal B'!$I$11*100))</f>
        <v>0</v>
      </c>
      <c r="H54" s="364">
        <v>21.975000000000001</v>
      </c>
      <c r="I54" s="364">
        <f t="shared" si="1"/>
        <v>0</v>
      </c>
      <c r="K54">
        <f>_xll.RDP.Data(A54,"TR.WACCBeta")</f>
        <v>0.62853975915218996</v>
      </c>
    </row>
    <row r="55" spans="1:11">
      <c r="A55" s="182" t="s">
        <v>217</v>
      </c>
      <c r="B55" cm="1">
        <f t="array" ref="B55">_xll.RDP.Data(A55,"CF_BID")</f>
        <v>1800.95</v>
      </c>
      <c r="C55" cm="1">
        <f t="array" ref="C55">_xll.RDP.Data(A55,"CF_ASK")</f>
        <v>1802.17</v>
      </c>
      <c r="D55" s="623">
        <f t="shared" si="0"/>
        <v>1801.56</v>
      </c>
      <c r="E55" s="356">
        <v>0</v>
      </c>
      <c r="F55" s="356">
        <v>0</v>
      </c>
      <c r="G55" s="356">
        <f>IF('ppal B'!$I$11=0,0,IF('ppal B'!$I$11&gt;0,E55*'ppal B'!$I$11*100,F55*'ppal B'!$I$11*100))</f>
        <v>0</v>
      </c>
      <c r="H55" s="364">
        <v>1793.58</v>
      </c>
      <c r="I55" s="364">
        <f t="shared" si="1"/>
        <v>0</v>
      </c>
      <c r="K55">
        <f>_xll.RDP.Data(A55,"TR.WACCBeta")</f>
        <v>1.4838900671744599</v>
      </c>
    </row>
    <row r="56" spans="1:11">
      <c r="A56" s="182" t="s">
        <v>218</v>
      </c>
      <c r="B56" cm="1">
        <f t="array" ref="B56">_xll.RDP.Data(A56,"CF_BID")</f>
        <v>102.86</v>
      </c>
      <c r="C56" cm="1">
        <f t="array" ref="C56">_xll.RDP.Data(A56,"CF_ASK")</f>
        <v>103</v>
      </c>
      <c r="D56" s="623">
        <f t="shared" si="0"/>
        <v>102.93</v>
      </c>
      <c r="E56" s="356">
        <v>0</v>
      </c>
      <c r="F56" s="356">
        <v>0</v>
      </c>
      <c r="G56" s="356">
        <f>IF('ppal B'!$I$11=0,0,IF('ppal B'!$I$11&gt;0,E56*'ppal B'!$I$11*100,F56*'ppal B'!$I$11*100))</f>
        <v>0</v>
      </c>
      <c r="H56" s="364">
        <v>102.245</v>
      </c>
      <c r="I56" s="364">
        <f t="shared" si="1"/>
        <v>0</v>
      </c>
      <c r="K56">
        <f>_xll.RDP.Data(A56,"TR.WACCBeta")</f>
        <v>2.01241963375604</v>
      </c>
    </row>
    <row r="57" spans="1:11">
      <c r="A57" s="182" t="s">
        <v>631</v>
      </c>
      <c r="B57" cm="1">
        <f t="array" ref="B57">_xll.RDP.Data(A57,"CF_BID")</f>
        <v>19.739999999999998</v>
      </c>
      <c r="C57" cm="1">
        <f t="array" ref="C57">_xll.RDP.Data(A57,"CF_ASK")</f>
        <v>19.82</v>
      </c>
      <c r="D57" s="623">
        <f t="shared" si="0"/>
        <v>19.78</v>
      </c>
      <c r="E57" s="356">
        <v>0</v>
      </c>
      <c r="F57" s="356">
        <v>0</v>
      </c>
      <c r="G57" s="356">
        <f>IF('ppal B'!$I$11=0,0,IF('ppal B'!$I$11&gt;0,E57*'ppal B'!$I$11*100,F57*'ppal B'!$I$11*100))</f>
        <v>0</v>
      </c>
      <c r="H57" s="364">
        <v>19.574999999999999</v>
      </c>
      <c r="I57" s="364">
        <f t="shared" si="1"/>
        <v>0</v>
      </c>
      <c r="K57">
        <f>_xll.RDP.Data(A57,"TR.WACCBeta")</f>
        <v>1.01211573081134</v>
      </c>
    </row>
    <row r="58" spans="1:11">
      <c r="A58" s="182" t="s">
        <v>219</v>
      </c>
      <c r="B58" cm="1">
        <f t="array" ref="B58">_xll.RDP.Data(A58,"CF_BID")</f>
        <v>80.290000000000006</v>
      </c>
      <c r="C58" cm="1">
        <f t="array" ref="C58">_xll.RDP.Data(A58,"CF_ASK")</f>
        <v>80.5</v>
      </c>
      <c r="D58" s="623">
        <f t="shared" si="0"/>
        <v>80.39500000000001</v>
      </c>
      <c r="E58" s="356">
        <v>8.0000000000000002E-3</v>
      </c>
      <c r="F58" s="356">
        <v>8.0000000000000002E-3</v>
      </c>
      <c r="G58" s="356">
        <f>IF('ppal B'!$I$11=0,0,IF('ppal B'!$I$11&gt;0,E58*'ppal B'!$I$11*100,F58*'ppal B'!$I$11*100))</f>
        <v>0</v>
      </c>
      <c r="H58" s="364">
        <v>79.344999999999999</v>
      </c>
      <c r="I58" s="364">
        <f t="shared" si="1"/>
        <v>0.64276</v>
      </c>
      <c r="K58">
        <f>_xll.RDP.Data(A58,"TR.WACCBeta")</f>
        <v>1.59880025223892</v>
      </c>
    </row>
    <row r="59" spans="1:11">
      <c r="A59" s="182" t="s">
        <v>220</v>
      </c>
      <c r="B59" cm="1">
        <f t="array" ref="B59">_xll.RDP.Data(A59,"CF_BID")</f>
        <v>5.08</v>
      </c>
      <c r="C59" cm="1">
        <f t="array" ref="C59">_xll.RDP.Data(A59,"CF_ASK")</f>
        <v>5.09</v>
      </c>
      <c r="D59" s="623">
        <f t="shared" si="0"/>
        <v>5.085</v>
      </c>
      <c r="E59" s="356">
        <v>1.18E-2</v>
      </c>
      <c r="F59" s="356">
        <v>1.18E-2</v>
      </c>
      <c r="G59" s="356">
        <f>IF('ppal B'!$I$11=0,0,IF('ppal B'!$I$11&gt;0,E59*'ppal B'!$I$11*100,F59*'ppal B'!$I$11*100))</f>
        <v>0</v>
      </c>
      <c r="H59" s="364">
        <v>4.9450000000000003</v>
      </c>
      <c r="I59" s="364">
        <f t="shared" si="1"/>
        <v>7.0151000000000005E-2</v>
      </c>
      <c r="K59">
        <f>_xll.RDP.Data(A59,"TR.WACCBeta")</f>
        <v>0.86273935948116498</v>
      </c>
    </row>
    <row r="60" spans="1:11">
      <c r="A60" s="182" t="s">
        <v>221</v>
      </c>
      <c r="B60" cm="1">
        <f t="array" ref="B60">_xll.RDP.Data(A60,"CF_BID")</f>
        <v>40.57</v>
      </c>
      <c r="C60" cm="1">
        <f t="array" ref="C60">_xll.RDP.Data(A60,"CF_ASK")</f>
        <v>40.61</v>
      </c>
      <c r="D60" s="623">
        <f t="shared" si="0"/>
        <v>40.590000000000003</v>
      </c>
      <c r="E60" s="356">
        <v>1.7999999999999999E-2</v>
      </c>
      <c r="F60" s="356">
        <v>1.7999999999999999E-2</v>
      </c>
      <c r="G60" s="356">
        <f>IF('ppal B'!$I$11=0,0,IF('ppal B'!$I$11&gt;0,E60*'ppal B'!$I$11*100,F60*'ppal B'!$I$11*100))</f>
        <v>0</v>
      </c>
      <c r="H60" s="364">
        <v>39.92</v>
      </c>
      <c r="I60" s="364">
        <f t="shared" si="1"/>
        <v>0.73655999999999999</v>
      </c>
      <c r="K60">
        <f>_xll.RDP.Data(A60,"TR.WACCBeta")</f>
        <v>2.1362184865532901</v>
      </c>
    </row>
    <row r="61" spans="1:11">
      <c r="A61" s="182" t="s">
        <v>279</v>
      </c>
      <c r="B61" cm="1">
        <f t="array" ref="B61">_xll.RDP.Data(A61,"CF_BID")</f>
        <v>235.97</v>
      </c>
      <c r="C61" cm="1">
        <f t="array" ref="C61">_xll.RDP.Data(A61,"CF_ASK")</f>
        <v>236.25</v>
      </c>
      <c r="D61" s="623">
        <f t="shared" si="0"/>
        <v>236.11</v>
      </c>
      <c r="E61" s="356">
        <v>8.0999999999999996E-3</v>
      </c>
      <c r="F61" s="356">
        <v>8.0999999999999996E-3</v>
      </c>
      <c r="G61" s="356">
        <f>IF('ppal B'!$I$11=0,0,IF('ppal B'!$I$11&gt;0,E61*'ppal B'!$I$11*100,F61*'ppal B'!$I$11*100))</f>
        <v>0</v>
      </c>
      <c r="H61" s="364">
        <v>231.70999999999998</v>
      </c>
      <c r="I61" s="364">
        <f t="shared" si="1"/>
        <v>1.8849509999999998</v>
      </c>
      <c r="K61">
        <f>_xll.RDP.Data(A61,"TR.WACCBeta")</f>
        <v>1.5490691079457799</v>
      </c>
    </row>
    <row r="62" spans="1:11">
      <c r="A62" s="182" t="s">
        <v>222</v>
      </c>
      <c r="B62" cm="1">
        <f t="array" ref="B62">_xll.RDP.Data(A62,"CF_BID")</f>
        <v>25.58</v>
      </c>
      <c r="C62" cm="1">
        <f t="array" ref="C62">_xll.RDP.Data(A62,"CF_ASK")</f>
        <v>25.59</v>
      </c>
      <c r="D62" s="623">
        <f t="shared" si="0"/>
        <v>25.585000000000001</v>
      </c>
      <c r="E62" s="356">
        <v>7.1999999999999998E-3</v>
      </c>
      <c r="F62" s="356">
        <v>7.1999999999999998E-3</v>
      </c>
      <c r="G62" s="356">
        <f>IF('ppal B'!$I$11=0,0,IF('ppal B'!$I$11&gt;0,E62*'ppal B'!$I$11*100,F62*'ppal B'!$I$11*100))</f>
        <v>0</v>
      </c>
      <c r="H62" s="364">
        <v>25.130000000000003</v>
      </c>
      <c r="I62" s="364">
        <f t="shared" si="1"/>
        <v>0.18813600000000003</v>
      </c>
      <c r="K62">
        <f>_xll.RDP.Data(A62,"TR.WACCBeta")</f>
        <v>1.62106918710776</v>
      </c>
    </row>
    <row r="63" spans="1:11">
      <c r="A63" s="182" t="s">
        <v>632</v>
      </c>
      <c r="B63" cm="1">
        <f t="array" ref="B63">_xll.RDP.Data(A63,"CF_BID")</f>
        <v>13.96</v>
      </c>
      <c r="C63" cm="1">
        <f t="array" ref="C63">_xll.RDP.Data(A63,"CF_ASK")</f>
        <v>13.97</v>
      </c>
      <c r="D63" s="623">
        <f t="shared" si="0"/>
        <v>13.965</v>
      </c>
      <c r="E63" s="356">
        <v>1.7899999999999999E-2</v>
      </c>
      <c r="F63" s="356">
        <v>1.7899999999999999E-2</v>
      </c>
      <c r="G63" s="356">
        <f>IF('ppal B'!$I$11=0,0,IF('ppal B'!$I$11&gt;0,E63*'ppal B'!$I$11*100,F63*'ppal B'!$I$11*100))</f>
        <v>0</v>
      </c>
      <c r="H63" s="364">
        <v>13.934999999999999</v>
      </c>
      <c r="I63" s="364">
        <f t="shared" si="1"/>
        <v>0.26733649999999998</v>
      </c>
      <c r="K63">
        <f>_xll.RDP.Data(A63,"TR.WACCBeta")</f>
        <v>0.786629531602134</v>
      </c>
    </row>
    <row r="64" spans="1:11">
      <c r="A64" s="182" t="s">
        <v>223</v>
      </c>
      <c r="B64" cm="1">
        <f t="array" ref="B64">_xll.RDP.Data(A64,"CF_BID")</f>
        <v>60.87</v>
      </c>
      <c r="C64" cm="1">
        <f t="array" ref="C64">_xll.RDP.Data(A64,"CF_ASK")</f>
        <v>60.91</v>
      </c>
      <c r="D64" s="623">
        <f t="shared" si="0"/>
        <v>60.89</v>
      </c>
      <c r="E64" s="356">
        <v>0</v>
      </c>
      <c r="F64" s="356">
        <v>0</v>
      </c>
      <c r="G64" s="356">
        <f>IF('ppal B'!$I$11=0,0,IF('ppal B'!$I$11&gt;0,E64*'ppal B'!$I$11*100,F64*'ppal B'!$I$11*100))</f>
        <v>0</v>
      </c>
      <c r="H64" s="364">
        <v>60.195</v>
      </c>
      <c r="I64" s="364">
        <f t="shared" si="1"/>
        <v>0</v>
      </c>
      <c r="K64">
        <f>_xll.RDP.Data(A64,"TR.WACCBeta")</f>
        <v>0.90111028991701003</v>
      </c>
    </row>
    <row r="65" spans="1:11">
      <c r="A65" s="182" t="s">
        <v>224</v>
      </c>
      <c r="B65" cm="1">
        <f t="array" ref="B65">_xll.RDP.Data(A65,"CF_BID")</f>
        <v>81.61</v>
      </c>
      <c r="C65" cm="1">
        <f t="array" ref="C65">_xll.RDP.Data(A65,"CF_ASK")</f>
        <v>81.680000000000007</v>
      </c>
      <c r="D65" s="623">
        <f t="shared" si="0"/>
        <v>81.64500000000001</v>
      </c>
      <c r="E65" s="356">
        <v>0</v>
      </c>
      <c r="F65" s="356">
        <v>0</v>
      </c>
      <c r="G65" s="356">
        <f>IF('ppal B'!$I$11=0,0,IF('ppal B'!$I$11&gt;0,E65*'ppal B'!$I$11*100,F65*'ppal B'!$I$11*100))</f>
        <v>0</v>
      </c>
      <c r="H65" s="364">
        <v>79.765000000000001</v>
      </c>
      <c r="I65" s="364">
        <f t="shared" si="1"/>
        <v>0</v>
      </c>
      <c r="K65">
        <f>_xll.RDP.Data(A65,"TR.WACCBeta")</f>
        <v>0.88487391411733796</v>
      </c>
    </row>
    <row r="66" spans="1:11">
      <c r="A66" s="182" t="s">
        <v>225</v>
      </c>
      <c r="B66" cm="1">
        <f t="array" ref="B66">_xll.RDP.Data(A66,"CF_BID")</f>
        <v>72.03</v>
      </c>
      <c r="C66" cm="1">
        <f t="array" ref="C66">_xll.RDP.Data(A66,"CF_ASK")</f>
        <v>72.14</v>
      </c>
      <c r="D66" s="623">
        <f t="shared" si="0"/>
        <v>72.085000000000008</v>
      </c>
      <c r="E66" s="356">
        <v>0</v>
      </c>
      <c r="F66" s="356">
        <v>0</v>
      </c>
      <c r="G66" s="356">
        <f>IF('ppal B'!$I$11=0,0,IF('ppal B'!$I$11&gt;0,E66*'ppal B'!$I$11*100,F66*'ppal B'!$I$11*100))</f>
        <v>0</v>
      </c>
      <c r="H66" s="364">
        <v>70.765000000000001</v>
      </c>
      <c r="I66" s="364">
        <f t="shared" si="1"/>
        <v>0</v>
      </c>
      <c r="K66">
        <f>_xll.RDP.Data(A66,"TR.WACCBeta")</f>
        <v>3.33115006890726</v>
      </c>
    </row>
    <row r="67" spans="1:11">
      <c r="A67" s="182" t="s">
        <v>226</v>
      </c>
      <c r="B67" cm="1">
        <f t="array" ref="B67">_xll.RDP.Data(A67,"CF_BID")</f>
        <v>348.2</v>
      </c>
      <c r="C67" cm="1">
        <f t="array" ref="C67">_xll.RDP.Data(A67,"CF_ASK")</f>
        <v>348.72</v>
      </c>
      <c r="D67" s="623">
        <f t="shared" si="0"/>
        <v>348.46000000000004</v>
      </c>
      <c r="E67" s="356">
        <v>0</v>
      </c>
      <c r="F67" s="356">
        <v>0</v>
      </c>
      <c r="G67" s="356">
        <f>IF('ppal B'!$I$11=0,0,IF('ppal B'!$I$11&gt;0,E67*'ppal B'!$I$11*100,F67*'ppal B'!$I$11*100))</f>
        <v>0</v>
      </c>
      <c r="H67" s="364">
        <v>338.59000000000003</v>
      </c>
      <c r="I67" s="364">
        <f t="shared" si="1"/>
        <v>0</v>
      </c>
      <c r="K67">
        <f>_xll.RDP.Data(A67,"TR.WACCBeta")</f>
        <v>3.6237047288564899</v>
      </c>
    </row>
    <row r="68" spans="1:11">
      <c r="A68" s="182" t="s">
        <v>633</v>
      </c>
      <c r="B68" cm="1">
        <f t="array" ref="B68">_xll.RDP.Data(A68,"CF_BID")</f>
        <v>118.4</v>
      </c>
      <c r="C68" cm="1">
        <f t="array" ref="C68">_xll.RDP.Data(A68,"CF_ASK")</f>
        <v>118.51</v>
      </c>
      <c r="D68" s="623">
        <f t="shared" si="0"/>
        <v>118.45500000000001</v>
      </c>
      <c r="E68" s="356">
        <v>0</v>
      </c>
      <c r="F68" s="356">
        <v>0</v>
      </c>
      <c r="G68" s="356">
        <f>IF('ppal B'!$I$11=0,0,IF('ppal B'!$I$11&gt;0,E68*'ppal B'!$I$11*100,F68*'ppal B'!$I$11*100))</f>
        <v>0</v>
      </c>
      <c r="H68" s="364">
        <v>117.33</v>
      </c>
      <c r="I68" s="364">
        <f t="shared" si="1"/>
        <v>0</v>
      </c>
      <c r="K68" t="str">
        <f>_xll.RDP.Data(A68,"TR.WACCBeta")</f>
        <v>NULL</v>
      </c>
    </row>
    <row r="69" spans="1:11">
      <c r="A69" s="182" t="s">
        <v>634</v>
      </c>
      <c r="B69" cm="1">
        <f t="array" ref="B69">_xll.RDP.Data(A69,"CF_BID")</f>
        <v>9.4700000000000006</v>
      </c>
      <c r="C69" cm="1">
        <f t="array" ref="C69">_xll.RDP.Data(A69,"CF_ASK")</f>
        <v>9.48</v>
      </c>
      <c r="D69" s="623">
        <f t="shared" ref="D69:D132" si="2">(B69+C69)/2</f>
        <v>9.4750000000000014</v>
      </c>
      <c r="E69" s="356">
        <v>0</v>
      </c>
      <c r="F69" s="356">
        <v>0</v>
      </c>
      <c r="G69" s="356">
        <f>IF('ppal B'!$I$11=0,0,IF('ppal B'!$I$11&gt;0,E69*'ppal B'!$I$11*100,F69*'ppal B'!$I$11*100))</f>
        <v>0</v>
      </c>
      <c r="H69" s="364">
        <v>9.3249999999999993</v>
      </c>
      <c r="I69" s="364">
        <f t="shared" si="1"/>
        <v>0</v>
      </c>
      <c r="K69">
        <f>_xll.RDP.Data(A69,"TR.WACCBeta")</f>
        <v>1.6089798956771899</v>
      </c>
    </row>
    <row r="70" spans="1:11">
      <c r="A70" s="182" t="s">
        <v>227</v>
      </c>
      <c r="B70" cm="1">
        <f t="array" ref="B70">_xll.RDP.Data(A70,"CF_BID")</f>
        <v>326.36</v>
      </c>
      <c r="C70" cm="1">
        <f t="array" ref="C70">_xll.RDP.Data(A70,"CF_ASK")</f>
        <v>326.93</v>
      </c>
      <c r="D70" s="623">
        <f t="shared" si="2"/>
        <v>326.64499999999998</v>
      </c>
      <c r="E70" s="356">
        <v>6.8999999999999999E-3</v>
      </c>
      <c r="F70" s="356">
        <v>6.8999999999999999E-3</v>
      </c>
      <c r="G70" s="356">
        <f>IF('ppal B'!$I$11=0,0,IF('ppal B'!$I$11&gt;0,E70*'ppal B'!$I$11*100,F70*'ppal B'!$I$11*100))</f>
        <v>0</v>
      </c>
      <c r="H70" s="364">
        <v>325.995</v>
      </c>
      <c r="I70" s="364">
        <f t="shared" si="1"/>
        <v>2.2562655</v>
      </c>
      <c r="K70">
        <f>_xll.RDP.Data(A70,"TR.WACCBeta")</f>
        <v>0.37949280802493901</v>
      </c>
    </row>
    <row r="71" spans="1:11">
      <c r="A71" s="182" t="s">
        <v>228</v>
      </c>
      <c r="B71" cm="1">
        <f t="array" ref="B71">_xll.RDP.Data(A71,"CF_BID")</f>
        <v>51.37</v>
      </c>
      <c r="C71" cm="1">
        <f t="array" ref="C71">_xll.RDP.Data(A71,"CF_ASK")</f>
        <v>51.39</v>
      </c>
      <c r="D71" s="623">
        <f t="shared" si="2"/>
        <v>51.379999999999995</v>
      </c>
      <c r="E71" s="356">
        <v>0</v>
      </c>
      <c r="F71" s="356">
        <v>0</v>
      </c>
      <c r="G71" s="356">
        <f>IF('ppal B'!$I$11=0,0,IF('ppal B'!$I$11&gt;0,E71*'ppal B'!$I$11*100,F71*'ppal B'!$I$11*100))</f>
        <v>0</v>
      </c>
      <c r="H71" s="364">
        <v>52.335000000000001</v>
      </c>
      <c r="I71" s="364">
        <f t="shared" ref="I71:I134" si="3">E71*(1+H71)</f>
        <v>0</v>
      </c>
      <c r="K71">
        <f>_xll.RDP.Data(A71,"TR.WACCBeta")</f>
        <v>1.2050527857444899</v>
      </c>
    </row>
    <row r="72" spans="1:11">
      <c r="A72" s="182" t="s">
        <v>635</v>
      </c>
      <c r="B72" cm="1">
        <f t="array" ref="B72">_xll.RDP.Data(A72,"CF_BID")</f>
        <v>64.180000000000007</v>
      </c>
      <c r="C72" cm="1">
        <f t="array" ref="C72">_xll.RDP.Data(A72,"CF_ASK")</f>
        <v>64.23</v>
      </c>
      <c r="D72" s="623">
        <f>+C72</f>
        <v>64.23</v>
      </c>
      <c r="E72" s="356">
        <v>0</v>
      </c>
      <c r="F72" s="356">
        <v>0</v>
      </c>
      <c r="G72" s="356">
        <f>IF('ppal B'!$I$11=0,0,IF('ppal B'!$I$11&gt;0,E72*'ppal B'!$I$11*100,F72*'ppal B'!$I$11*100))</f>
        <v>0</v>
      </c>
      <c r="H72" s="364">
        <v>63.12</v>
      </c>
      <c r="I72" s="364">
        <f t="shared" si="3"/>
        <v>0</v>
      </c>
      <c r="K72">
        <f>_xll.RDP.Data(A72,"TR.WACCBeta")</f>
        <v>1.35256318228772</v>
      </c>
    </row>
    <row r="73" spans="1:11">
      <c r="A73" s="182" t="s">
        <v>230</v>
      </c>
      <c r="B73" cm="1">
        <f t="array" ref="B73">_xll.RDP.Data(A73,"CF_BID")</f>
        <v>53.87</v>
      </c>
      <c r="C73" cm="1">
        <f t="array" ref="C73">_xll.RDP.Data(A73,"CF_ASK")</f>
        <v>53.93</v>
      </c>
      <c r="D73" s="623">
        <f t="shared" si="2"/>
        <v>53.9</v>
      </c>
      <c r="E73" s="356">
        <v>0</v>
      </c>
      <c r="F73" s="356">
        <v>0</v>
      </c>
      <c r="G73" s="356">
        <f>IF('ppal B'!$I$11=0,0,IF('ppal B'!$I$11&gt;0,E73*'ppal B'!$I$11*100,F73*'ppal B'!$I$11*100))</f>
        <v>0</v>
      </c>
      <c r="H73" s="364">
        <v>52.75</v>
      </c>
      <c r="I73" s="364">
        <f t="shared" si="3"/>
        <v>0</v>
      </c>
      <c r="K73">
        <f>_xll.RDP.Data(A73,"TR.WACCBeta")</f>
        <v>1.7981444603001799</v>
      </c>
    </row>
    <row r="74" spans="1:11">
      <c r="A74" s="182" t="s">
        <v>231</v>
      </c>
      <c r="B74" cm="1">
        <f t="array" ref="B74">_xll.RDP.Data(A74,"CF_BID")</f>
        <v>47.24</v>
      </c>
      <c r="C74" cm="1">
        <f t="array" ref="C74">_xll.RDP.Data(A74,"CF_ASK")</f>
        <v>47.25</v>
      </c>
      <c r="D74" s="623">
        <f t="shared" si="2"/>
        <v>47.245000000000005</v>
      </c>
      <c r="E74" s="356">
        <v>0</v>
      </c>
      <c r="F74" s="356">
        <v>0</v>
      </c>
      <c r="G74" s="356">
        <f>IF('ppal B'!$I$11=0,0,IF('ppal B'!$I$11&gt;0,E74*'ppal B'!$I$11*100,F74*'ppal B'!$I$11*100))</f>
        <v>0</v>
      </c>
      <c r="H74" s="364">
        <v>46.195</v>
      </c>
      <c r="I74" s="364">
        <f t="shared" si="3"/>
        <v>0</v>
      </c>
      <c r="K74">
        <f>_xll.RDP.Data(A74,"TR.WACCBeta")</f>
        <v>1.3875519989009999</v>
      </c>
    </row>
    <row r="75" spans="1:11">
      <c r="A75" s="182" t="s">
        <v>232</v>
      </c>
      <c r="B75" cm="1">
        <f t="array" ref="B75">_xll.RDP.Data(A75,"CF_BID")</f>
        <v>353.09</v>
      </c>
      <c r="C75" cm="1">
        <f t="array" ref="C75">_xll.RDP.Data(A75,"CF_ASK")</f>
        <v>353.13</v>
      </c>
      <c r="D75" s="623">
        <f t="shared" si="2"/>
        <v>353.11</v>
      </c>
      <c r="E75" s="356">
        <v>0</v>
      </c>
      <c r="F75" s="356">
        <v>0</v>
      </c>
      <c r="G75" s="356">
        <f>IF('ppal B'!$I$11=0,0,IF('ppal B'!$I$11&gt;0,E75*'ppal B'!$I$11*100,F75*'ppal B'!$I$11*100))</f>
        <v>0</v>
      </c>
      <c r="H75" s="364">
        <v>351.48500000000001</v>
      </c>
      <c r="I75" s="364">
        <f t="shared" si="3"/>
        <v>0</v>
      </c>
      <c r="K75">
        <f>_xll.RDP.Data(A75,"TR.WACCBeta")</f>
        <v>1.8855773209389499</v>
      </c>
    </row>
    <row r="76" spans="1:11">
      <c r="A76" s="182" t="s">
        <v>309</v>
      </c>
      <c r="B76" cm="1">
        <f t="array" ref="B76">_xll.RDP.Data(A76,"CF_BID")</f>
        <v>68.08</v>
      </c>
      <c r="C76" cm="1">
        <f t="array" ref="C76">_xll.RDP.Data(A76,"CF_ASK")</f>
        <v>68.09</v>
      </c>
      <c r="D76" s="623">
        <f t="shared" si="2"/>
        <v>68.085000000000008</v>
      </c>
      <c r="E76" s="356">
        <v>0</v>
      </c>
      <c r="F76" s="356">
        <v>0</v>
      </c>
      <c r="G76" s="356">
        <f>IF('ppal B'!$I$11=0,0,IF('ppal B'!$I$11&gt;0,E76*'ppal B'!$I$11*100,F76*'ppal B'!$I$11*100))</f>
        <v>0</v>
      </c>
      <c r="H76" s="364">
        <v>66.954999999999998</v>
      </c>
      <c r="I76" s="364">
        <f t="shared" si="3"/>
        <v>0</v>
      </c>
      <c r="K76" t="str">
        <f>_xll.RDP.Data(A76,"TR.WACCBeta")</f>
        <v>NULL</v>
      </c>
    </row>
    <row r="77" spans="1:11">
      <c r="A77" s="182" t="s">
        <v>499</v>
      </c>
      <c r="B77" cm="1">
        <f t="array" ref="B77">_xll.RDP.Data(A77,"CF_BID")</f>
        <v>84.47</v>
      </c>
      <c r="C77" cm="1">
        <f t="array" ref="C77">_xll.RDP.Data(A77,"CF_ASK")</f>
        <v>84.52</v>
      </c>
      <c r="D77" s="623">
        <f t="shared" si="2"/>
        <v>84.495000000000005</v>
      </c>
      <c r="E77" s="356">
        <v>0</v>
      </c>
      <c r="F77" s="356">
        <v>0</v>
      </c>
      <c r="G77" s="356">
        <f>IF('ppal B'!$I$11=0,0,IF('ppal B'!$I$11&gt;0,E77*'ppal B'!$I$11*100,F77*'ppal B'!$I$11*100))</f>
        <v>0</v>
      </c>
      <c r="H77" s="364">
        <v>83.12</v>
      </c>
      <c r="I77" s="364">
        <f t="shared" si="3"/>
        <v>0</v>
      </c>
      <c r="K77" t="str">
        <f>_xll.RDP.Data(A77,"TR.WACCBeta")</f>
        <v>NULL</v>
      </c>
    </row>
    <row r="78" spans="1:11">
      <c r="A78" s="182" t="s">
        <v>233</v>
      </c>
      <c r="B78" cm="1">
        <f t="array" ref="B78">_xll.RDP.Data(A78,"CF_BID")</f>
        <v>5.18</v>
      </c>
      <c r="C78" cm="1">
        <f t="array" ref="C78">_xll.RDP.Data(A78,"CF_ASK")</f>
        <v>5.24</v>
      </c>
      <c r="D78" s="623">
        <f t="shared" si="2"/>
        <v>5.21</v>
      </c>
      <c r="E78" s="356">
        <v>0</v>
      </c>
      <c r="F78" s="356">
        <v>0</v>
      </c>
      <c r="G78" s="356">
        <f>IF('ppal B'!$I$11=0,0,IF('ppal B'!$I$11&gt;0,E78*'ppal B'!$I$11*100,F78*'ppal B'!$I$11*100))</f>
        <v>0</v>
      </c>
      <c r="H78" s="364">
        <v>5.0449999999999999</v>
      </c>
      <c r="I78" s="364">
        <f t="shared" si="3"/>
        <v>0</v>
      </c>
      <c r="K78" t="str">
        <f>_xll.RDP.Data(A78,"TR.WACCBeta")</f>
        <v>NULL</v>
      </c>
    </row>
    <row r="79" spans="1:11">
      <c r="A79" s="182" t="s">
        <v>234</v>
      </c>
      <c r="B79" cm="1">
        <f t="array" ref="B79">_xll.RDP.Data(A79,"CF_BID")</f>
        <v>191.5</v>
      </c>
      <c r="C79" cm="1">
        <f t="array" ref="C79">_xll.RDP.Data(A79,"CF_ASK")</f>
        <v>191.98</v>
      </c>
      <c r="D79" s="623">
        <f t="shared" si="2"/>
        <v>191.74</v>
      </c>
      <c r="E79" s="356">
        <v>0</v>
      </c>
      <c r="F79" s="356">
        <v>0</v>
      </c>
      <c r="G79" s="356">
        <f>IF('ppal B'!$I$11=0,0,IF('ppal B'!$I$11&gt;0,E79*'ppal B'!$I$11*100,F79*'ppal B'!$I$11*100))</f>
        <v>0</v>
      </c>
      <c r="H79" s="364">
        <v>187.05500000000001</v>
      </c>
      <c r="I79" s="364">
        <f t="shared" si="3"/>
        <v>0</v>
      </c>
      <c r="K79">
        <f>_xll.RDP.Data(A79,"TR.WACCBeta")</f>
        <v>1.3983783049704199</v>
      </c>
    </row>
    <row r="80" spans="1:11">
      <c r="A80" t="s">
        <v>680</v>
      </c>
      <c r="B80" cm="1">
        <f t="array" ref="B80">_xll.RDP.Data(A80,"CF_BID")</f>
        <v>75.52</v>
      </c>
      <c r="C80" cm="1">
        <f t="array" ref="C80">_xll.RDP.Data(A80,"CF_ASK")</f>
        <v>75.599999999999994</v>
      </c>
      <c r="D80" s="623">
        <f t="shared" si="2"/>
        <v>75.56</v>
      </c>
      <c r="E80" s="356">
        <v>0</v>
      </c>
      <c r="F80" s="356">
        <v>0</v>
      </c>
      <c r="G80" s="356">
        <f>IF('ppal B'!$I$11=0,0,IF('ppal B'!$I$11&gt;0,E80*'ppal B'!$I$11*100,F80*'ppal B'!$I$11*100))</f>
        <v>0</v>
      </c>
      <c r="H80" s="364">
        <v>74.171500000000009</v>
      </c>
      <c r="I80" s="364">
        <f t="shared" si="3"/>
        <v>0</v>
      </c>
      <c r="K80" t="str">
        <f>_xll.RDP.Data(A80,"TR.WACCBeta")</f>
        <v>Unable to resolve all requested identifiers.</v>
      </c>
    </row>
    <row r="81" spans="1:11">
      <c r="A81" s="182" t="s">
        <v>235</v>
      </c>
      <c r="B81" cm="1">
        <f t="array" ref="B81">_xll.RDP.Data(A81,"CF_BID")</f>
        <v>28.67</v>
      </c>
      <c r="C81" cm="1">
        <f t="array" ref="C81">_xll.RDP.Data(A81,"CF_ASK")</f>
        <v>28.68</v>
      </c>
      <c r="D81" s="623">
        <f t="shared" si="2"/>
        <v>28.675000000000001</v>
      </c>
      <c r="E81" s="356">
        <v>0</v>
      </c>
      <c r="F81" s="356">
        <v>0</v>
      </c>
      <c r="G81" s="356">
        <f>IF('ppal B'!$I$11=0,0,IF('ppal B'!$I$11&gt;0,E81*'ppal B'!$I$11*100,F81*'ppal B'!$I$11*100))</f>
        <v>0</v>
      </c>
      <c r="H81" s="364">
        <v>28.515000000000001</v>
      </c>
      <c r="I81" s="364">
        <f t="shared" si="3"/>
        <v>0</v>
      </c>
      <c r="K81">
        <f>_xll.RDP.Data(A81,"TR.WACCBeta")</f>
        <v>1.5628515972942201</v>
      </c>
    </row>
    <row r="82" spans="1:11">
      <c r="A82" s="182" t="s">
        <v>311</v>
      </c>
      <c r="B82" cm="1">
        <f t="array" ref="B82">_xll.RDP.Data(A82,"CF_BID")</f>
        <v>36.71</v>
      </c>
      <c r="C82" cm="1">
        <f t="array" ref="C82">_xll.RDP.Data(A82,"CF_ASK")</f>
        <v>36.729999999999997</v>
      </c>
      <c r="D82" s="623">
        <f t="shared" si="2"/>
        <v>36.72</v>
      </c>
      <c r="E82" s="356">
        <v>0</v>
      </c>
      <c r="F82" s="356">
        <v>0</v>
      </c>
      <c r="G82" s="356">
        <f>IF('ppal B'!$I$11=0,0,IF('ppal B'!$I$11&gt;0,E82*'ppal B'!$I$11*100,F82*'ppal B'!$I$11*100))</f>
        <v>0</v>
      </c>
      <c r="H82" s="364">
        <v>36.335000000000001</v>
      </c>
      <c r="I82" s="364">
        <f t="shared" si="3"/>
        <v>0</v>
      </c>
      <c r="K82" t="str">
        <f>_xll.RDP.Data(A82,"TR.WACCBeta")</f>
        <v>NULL</v>
      </c>
    </row>
    <row r="83" spans="1:11">
      <c r="A83" s="182" t="s">
        <v>236</v>
      </c>
      <c r="B83" cm="1">
        <f t="array" ref="B83">_xll.RDP.Data(A83,"CF_BID")</f>
        <v>8.4499999999999993</v>
      </c>
      <c r="C83" cm="1">
        <f t="array" ref="C83">_xll.RDP.Data(A83,"CF_ASK")</f>
        <v>8.4700000000000006</v>
      </c>
      <c r="D83" s="623">
        <f t="shared" si="2"/>
        <v>8.4600000000000009</v>
      </c>
      <c r="E83" s="356">
        <v>0</v>
      </c>
      <c r="F83" s="356">
        <v>0</v>
      </c>
      <c r="G83" s="356">
        <f>IF('ppal B'!$I$11=0,0,IF('ppal B'!$I$11&gt;0,E83*'ppal B'!$I$11*100,F83*'ppal B'!$I$11*100))</f>
        <v>0</v>
      </c>
      <c r="H83" s="364">
        <v>8.4699999999999989</v>
      </c>
      <c r="I83" s="364">
        <f t="shared" si="3"/>
        <v>0</v>
      </c>
      <c r="K83">
        <f>_xll.RDP.Data(A83,"TR.WACCBeta")</f>
        <v>2.5186186473349599</v>
      </c>
    </row>
    <row r="84" spans="1:11">
      <c r="A84" s="182" t="s">
        <v>237</v>
      </c>
      <c r="B84" cm="1">
        <f t="array" ref="B84">_xll.RDP.Data(A84,"CF_BID")</f>
        <v>2.71</v>
      </c>
      <c r="C84" cm="1">
        <f t="array" ref="C84">_xll.RDP.Data(A84,"CF_ASK")</f>
        <v>2.72</v>
      </c>
      <c r="D84" s="623">
        <f t="shared" si="2"/>
        <v>2.7149999999999999</v>
      </c>
      <c r="E84" s="356">
        <v>0</v>
      </c>
      <c r="F84" s="356">
        <v>0</v>
      </c>
      <c r="G84" s="356">
        <f>IF('ppal B'!$I$11=0,0,IF('ppal B'!$I$11&gt;0,E84*'ppal B'!$I$11*100,F84*'ppal B'!$I$11*100))</f>
        <v>0</v>
      </c>
      <c r="H84" s="364">
        <v>2.6150000000000002</v>
      </c>
      <c r="I84" s="364">
        <f t="shared" si="3"/>
        <v>0</v>
      </c>
      <c r="K84">
        <f>_xll.RDP.Data(A84,"TR.WACCBeta")</f>
        <v>2.8519402313711399</v>
      </c>
    </row>
    <row r="85" spans="1:11">
      <c r="A85" s="182" t="s">
        <v>238</v>
      </c>
      <c r="B85" cm="1">
        <f t="array" ref="B85">_xll.RDP.Data(A85,"CF_BID")</f>
        <v>49.2</v>
      </c>
      <c r="C85" cm="1">
        <f t="array" ref="C85">_xll.RDP.Data(A85,"CF_ASK")</f>
        <v>49.48</v>
      </c>
      <c r="D85" s="623">
        <f t="shared" si="2"/>
        <v>49.34</v>
      </c>
      <c r="E85" s="356">
        <v>0</v>
      </c>
      <c r="F85" s="356">
        <v>0</v>
      </c>
      <c r="G85" s="356">
        <f>IF('ppal B'!$I$11=0,0,IF('ppal B'!$I$11&gt;0,E85*'ppal B'!$I$11*100,F85*'ppal B'!$I$11*100))</f>
        <v>0</v>
      </c>
      <c r="H85" s="364">
        <v>49.18</v>
      </c>
      <c r="I85" s="364">
        <f t="shared" si="3"/>
        <v>0</v>
      </c>
      <c r="K85">
        <f>_xll.RDP.Data(A85,"TR.WACCBeta")</f>
        <v>2.1911747327783999</v>
      </c>
    </row>
    <row r="86" spans="1:11">
      <c r="A86" s="182" t="s">
        <v>239</v>
      </c>
      <c r="B86" cm="1">
        <f t="array" ref="B86">_xll.RDP.Data(A86,"CF_BID")</f>
        <v>42.82</v>
      </c>
      <c r="C86" cm="1">
        <f t="array" ref="C86">_xll.RDP.Data(A86,"CF_ASK")</f>
        <v>43</v>
      </c>
      <c r="D86" s="623">
        <f t="shared" si="2"/>
        <v>42.91</v>
      </c>
      <c r="E86" s="356">
        <v>0</v>
      </c>
      <c r="F86" s="356">
        <v>0</v>
      </c>
      <c r="G86" s="356">
        <f>IF('ppal B'!$I$11=0,0,IF('ppal B'!$I$11&gt;0,E86*'ppal B'!$I$11*100,F86*'ppal B'!$I$11*100))</f>
        <v>0</v>
      </c>
      <c r="H86" s="364">
        <v>41.73</v>
      </c>
      <c r="I86" s="364">
        <f t="shared" si="3"/>
        <v>0</v>
      </c>
      <c r="K86">
        <f>_xll.RDP.Data(A86,"TR.WACCBeta")</f>
        <v>2.15776410220899</v>
      </c>
    </row>
    <row r="87" spans="1:11">
      <c r="A87" s="182" t="s">
        <v>243</v>
      </c>
      <c r="B87" cm="1">
        <f t="array" ref="B87">_xll.RDP.Data(A87,"CF_BID")</f>
        <v>18.03</v>
      </c>
      <c r="C87" cm="1">
        <f t="array" ref="C87">_xll.RDP.Data(A87,"CF_ASK")</f>
        <v>18.04</v>
      </c>
      <c r="D87" s="623">
        <f t="shared" si="2"/>
        <v>18.035</v>
      </c>
      <c r="E87" s="356">
        <v>0</v>
      </c>
      <c r="F87" s="356">
        <v>0</v>
      </c>
      <c r="G87" s="356">
        <f>IF('ppal B'!$I$11=0,0,IF('ppal B'!$I$11&gt;0,E87*'ppal B'!$I$11*100,F87*'ppal B'!$I$11*100))</f>
        <v>0</v>
      </c>
      <c r="H87" s="364">
        <v>17.744999999999997</v>
      </c>
      <c r="I87" s="364">
        <f t="shared" si="3"/>
        <v>0</v>
      </c>
      <c r="K87">
        <f>_xll.RDP.Data(A87,"TR.WACCBeta")</f>
        <v>0.90575576319642903</v>
      </c>
    </row>
    <row r="88" spans="1:11">
      <c r="A88" s="182"/>
      <c r="B88" t="str" cm="1">
        <f t="array" ref="B88">_xll.RDP.Data(A88,"CF_BID")</f>
        <v>No universe defined.</v>
      </c>
      <c r="C88" t="str" cm="1">
        <f t="array" ref="C88">_xll.RDP.Data(A88,"CF_ASK")</f>
        <v>No universe defined.</v>
      </c>
      <c r="D88" s="623" t="e">
        <f t="shared" si="2"/>
        <v>#VALUE!</v>
      </c>
      <c r="E88" s="356">
        <v>0</v>
      </c>
      <c r="F88" s="356">
        <v>0</v>
      </c>
      <c r="G88" s="356">
        <f>IF('ppal B'!$I$11=0,0,IF('ppal B'!$I$11&gt;0,E88*'ppal B'!$I$11*100,F88*'ppal B'!$I$11*100))</f>
        <v>0</v>
      </c>
      <c r="H88" s="364" t="e">
        <v>#VALUE!</v>
      </c>
      <c r="I88" s="364" t="e">
        <f t="shared" si="3"/>
        <v>#VALUE!</v>
      </c>
      <c r="K88" t="str">
        <f>_xll.RDP.Data(A88,"TR.WACCBeta")</f>
        <v>No universe defined.</v>
      </c>
    </row>
    <row r="89" spans="1:11">
      <c r="A89" s="182" t="s">
        <v>244</v>
      </c>
      <c r="B89" cm="1">
        <f t="array" ref="B89">_xll.RDP.Data(A89,"CF_BID")</f>
        <v>10.38</v>
      </c>
      <c r="C89" cm="1">
        <f t="array" ref="C89">_xll.RDP.Data(A89,"CF_ASK")</f>
        <v>10.4</v>
      </c>
      <c r="D89" s="623">
        <f t="shared" si="2"/>
        <v>10.39</v>
      </c>
      <c r="E89" s="356">
        <v>0</v>
      </c>
      <c r="F89" s="356">
        <v>0</v>
      </c>
      <c r="G89" s="356">
        <f>IF('ppal B'!$I$11=0,0,IF('ppal B'!$I$11&gt;0,E89*'ppal B'!$I$11*100,F89*'ppal B'!$I$11*100))</f>
        <v>0</v>
      </c>
      <c r="H89" s="364">
        <v>10.065000000000001</v>
      </c>
      <c r="I89" s="364">
        <f t="shared" si="3"/>
        <v>0</v>
      </c>
      <c r="K89">
        <f>_xll.RDP.Data(A89,"TR.WACCBeta")</f>
        <v>1.38358444823994</v>
      </c>
    </row>
    <row r="90" spans="1:11">
      <c r="A90" s="182" t="s">
        <v>240</v>
      </c>
      <c r="B90" cm="1">
        <f t="array" ref="B90">_xll.RDP.Data(A90,"CF_BID")</f>
        <v>43.82</v>
      </c>
      <c r="C90" cm="1">
        <f t="array" ref="C90">_xll.RDP.Data(A90,"CF_ASK")</f>
        <v>43.9</v>
      </c>
      <c r="D90" s="623">
        <f t="shared" si="2"/>
        <v>43.86</v>
      </c>
      <c r="E90" s="356">
        <v>0</v>
      </c>
      <c r="F90" s="356">
        <v>0</v>
      </c>
      <c r="G90" s="356">
        <f>IF('ppal B'!$I$11=0,0,IF('ppal B'!$I$11&gt;0,E90*'ppal B'!$I$11*100,F90*'ppal B'!$I$11*100))</f>
        <v>0</v>
      </c>
      <c r="H90" s="364">
        <v>43.355000000000004</v>
      </c>
      <c r="I90" s="364">
        <f t="shared" si="3"/>
        <v>0</v>
      </c>
      <c r="K90">
        <f>_xll.RDP.Data(A90,"TR.WACCBeta")</f>
        <v>1.3290472683246799</v>
      </c>
    </row>
    <row r="91" spans="1:11">
      <c r="A91" s="182" t="s">
        <v>241</v>
      </c>
      <c r="B91" t="str" cm="1">
        <f t="array" ref="B91">_xll.RDP.Data(A91,"CF_BID")</f>
        <v>The record could not be found (Error code: 0)</v>
      </c>
      <c r="C91" t="str" cm="1">
        <f t="array" ref="C91">_xll.RDP.Data(A91,"CF_ASK")</f>
        <v>The record could not be found (Error code: 0)</v>
      </c>
      <c r="D91" s="623" t="e">
        <f t="shared" si="2"/>
        <v>#VALUE!</v>
      </c>
      <c r="E91" s="356">
        <v>0</v>
      </c>
      <c r="F91" s="356">
        <v>0</v>
      </c>
      <c r="G91" s="356">
        <f>IF('ppal B'!$I$11=0,0,IF('ppal B'!$I$11&gt;0,E91*'ppal B'!$I$11*100,F91*'ppal B'!$I$11*100))</f>
        <v>0</v>
      </c>
      <c r="H91" s="364" t="e">
        <v>#VALUE!</v>
      </c>
      <c r="I91" s="364" t="e">
        <f t="shared" si="3"/>
        <v>#VALUE!</v>
      </c>
      <c r="K91" t="str">
        <f>_xll.RDP.Data(A91,"TR.WACCBeta")</f>
        <v>NULL</v>
      </c>
    </row>
    <row r="92" spans="1:11">
      <c r="A92" s="182"/>
      <c r="B92" t="str" cm="1">
        <f t="array" ref="B92">_xll.RDP.Data(A92,"CF_BID")</f>
        <v>No universe defined.</v>
      </c>
      <c r="C92" t="str" cm="1">
        <f t="array" ref="C92">_xll.RDP.Data(A92,"CF_ASK")</f>
        <v>No universe defined.</v>
      </c>
      <c r="D92" s="623" t="e">
        <f t="shared" si="2"/>
        <v>#VALUE!</v>
      </c>
      <c r="E92" s="356">
        <v>0</v>
      </c>
      <c r="F92" s="356">
        <v>0</v>
      </c>
      <c r="G92" s="356">
        <f>IF('ppal B'!$I$11=0,0,IF('ppal B'!$I$11&gt;0,E92*'ppal B'!$I$11*100,F92*'ppal B'!$I$11*100))</f>
        <v>0</v>
      </c>
      <c r="H92" s="364" t="e">
        <v>#VALUE!</v>
      </c>
      <c r="I92" s="364" t="e">
        <f t="shared" si="3"/>
        <v>#VALUE!</v>
      </c>
      <c r="K92" t="str">
        <f>_xll.RDP.Data(A92,"TR.WACCBeta")</f>
        <v>No universe defined.</v>
      </c>
    </row>
    <row r="93" spans="1:11">
      <c r="A93" s="182" t="s">
        <v>242</v>
      </c>
      <c r="B93" cm="1">
        <f t="array" ref="B93">_xll.RDP.Data(A93,"CF_BID")</f>
        <v>173.35</v>
      </c>
      <c r="C93" cm="1">
        <f t="array" ref="C93">_xll.RDP.Data(A93,"CF_ASK")</f>
        <v>174.97</v>
      </c>
      <c r="D93" s="623">
        <f t="shared" si="2"/>
        <v>174.16</v>
      </c>
      <c r="E93" s="356">
        <v>0</v>
      </c>
      <c r="F93" s="356">
        <v>0</v>
      </c>
      <c r="G93" s="356">
        <f>IF('ppal B'!$I$11=0,0,IF('ppal B'!$I$11&gt;0,E93*'ppal B'!$I$11*100,F93*'ppal B'!$I$11*100))</f>
        <v>0</v>
      </c>
      <c r="H93" s="364">
        <v>173.28</v>
      </c>
      <c r="I93" s="364">
        <f t="shared" si="3"/>
        <v>0</v>
      </c>
      <c r="K93">
        <f>_xll.RDP.Data(A93,"TR.WACCBeta")</f>
        <v>1.5800616948130699</v>
      </c>
    </row>
    <row r="94" spans="1:11">
      <c r="A94" s="182" t="s">
        <v>246</v>
      </c>
      <c r="B94" cm="1">
        <f t="array" ref="B94">_xll.RDP.Data(A94,"CF_BID")</f>
        <v>226.38</v>
      </c>
      <c r="C94" cm="1">
        <f t="array" ref="C94">_xll.RDP.Data(A94,"CF_ASK")</f>
        <v>226.51</v>
      </c>
      <c r="D94" s="623">
        <f t="shared" si="2"/>
        <v>226.44499999999999</v>
      </c>
      <c r="E94" s="356">
        <v>0</v>
      </c>
      <c r="F94" s="356">
        <v>0</v>
      </c>
      <c r="G94" s="356">
        <f>IF('ppal B'!$I$11=0,0,IF('ppal B'!$I$11&gt;0,E94*'ppal B'!$I$11*100,F94*'ppal B'!$I$11*100))</f>
        <v>0</v>
      </c>
      <c r="H94" s="364">
        <v>222.32499999999999</v>
      </c>
      <c r="I94" s="364">
        <f t="shared" si="3"/>
        <v>0</v>
      </c>
      <c r="K94">
        <f>_xll.RDP.Data(A94,"TR.WACCBeta")</f>
        <v>1.39466327204231</v>
      </c>
    </row>
    <row r="95" spans="1:11">
      <c r="A95" s="182"/>
      <c r="B95" t="str" cm="1">
        <f t="array" ref="B95">_xll.RDP.Data(A95,"CF_BID")</f>
        <v>No universe defined.</v>
      </c>
      <c r="C95" t="str" cm="1">
        <f t="array" ref="C95">_xll.RDP.Data(A95,"CF_ASK")</f>
        <v>No universe defined.</v>
      </c>
      <c r="D95" s="623" t="e">
        <f t="shared" si="2"/>
        <v>#VALUE!</v>
      </c>
      <c r="E95" s="356">
        <v>0</v>
      </c>
      <c r="F95" s="356">
        <v>0</v>
      </c>
      <c r="G95" s="356">
        <f>IF('ppal B'!$I$11=0,0,IF('ppal B'!$I$11&gt;0,E95*'ppal B'!$I$11*100,F95*'ppal B'!$I$11*100))</f>
        <v>0</v>
      </c>
      <c r="H95" s="364" t="e">
        <v>#VALUE!</v>
      </c>
      <c r="I95" s="364" t="e">
        <f t="shared" si="3"/>
        <v>#VALUE!</v>
      </c>
      <c r="K95" t="str">
        <f>_xll.RDP.Data(A95,"TR.WACCBeta")</f>
        <v>No universe defined.</v>
      </c>
    </row>
    <row r="96" spans="1:11">
      <c r="A96" s="182" t="s">
        <v>247</v>
      </c>
      <c r="B96" cm="1">
        <f t="array" ref="B96">_xll.RDP.Data(A96,"CF_BID")</f>
        <v>8.86</v>
      </c>
      <c r="C96" cm="1">
        <f t="array" ref="C96">_xll.RDP.Data(A96,"CF_ASK")</f>
        <v>8.93</v>
      </c>
      <c r="D96" s="623">
        <f t="shared" si="2"/>
        <v>8.8949999999999996</v>
      </c>
      <c r="E96" s="356">
        <v>0</v>
      </c>
      <c r="F96" s="356">
        <v>0</v>
      </c>
      <c r="G96" s="356">
        <f>IF('ppal B'!$I$11=0,0,IF('ppal B'!$I$11&gt;0,E96*'ppal B'!$I$11*100,F96*'ppal B'!$I$11*100))</f>
        <v>0</v>
      </c>
      <c r="H96" s="364">
        <v>8.8650000000000002</v>
      </c>
      <c r="I96" s="364">
        <f t="shared" si="3"/>
        <v>0</v>
      </c>
      <c r="K96">
        <f>_xll.RDP.Data(A96,"TR.WACCBeta")</f>
        <v>0.94782491444304395</v>
      </c>
    </row>
    <row r="97" spans="1:11">
      <c r="A97" s="182" t="s">
        <v>248</v>
      </c>
      <c r="B97" cm="1">
        <f t="array" ref="B97">_xll.RDP.Data(A97,"CF_BID")</f>
        <v>16.510000000000002</v>
      </c>
      <c r="C97" cm="1">
        <f t="array" ref="C97">_xll.RDP.Data(A97,"CF_ASK")</f>
        <v>16.559999999999999</v>
      </c>
      <c r="D97" s="623">
        <f t="shared" si="2"/>
        <v>16.535</v>
      </c>
      <c r="E97" s="356">
        <v>0</v>
      </c>
      <c r="F97" s="356">
        <v>0</v>
      </c>
      <c r="G97" s="356">
        <f>IF('ppal B'!$I$11=0,0,IF('ppal B'!$I$11&gt;0,E97*'ppal B'!$I$11*100,F97*'ppal B'!$I$11*100))</f>
        <v>0</v>
      </c>
      <c r="H97" s="364">
        <v>16.335000000000001</v>
      </c>
      <c r="I97" s="364">
        <f t="shared" si="3"/>
        <v>0</v>
      </c>
      <c r="K97">
        <f>_xll.RDP.Data(A97,"TR.WACCBeta")</f>
        <v>2.4689167767901701</v>
      </c>
    </row>
    <row r="98" spans="1:11">
      <c r="A98" s="182" t="s">
        <v>249</v>
      </c>
      <c r="B98" cm="1">
        <f t="array" ref="B98">_xll.RDP.Data(A98,"CF_BID")</f>
        <v>3.12</v>
      </c>
      <c r="C98" cm="1">
        <f t="array" ref="C98">_xll.RDP.Data(A98,"CF_ASK")</f>
        <v>3.13</v>
      </c>
      <c r="D98" s="623">
        <f t="shared" si="2"/>
        <v>3.125</v>
      </c>
      <c r="E98" s="356">
        <v>0</v>
      </c>
      <c r="F98" s="356">
        <v>0</v>
      </c>
      <c r="G98" s="356">
        <f>IF('ppal B'!$I$11=0,0,IF('ppal B'!$I$11&gt;0,E98*'ppal B'!$I$11*100,F98*'ppal B'!$I$11*100))</f>
        <v>0</v>
      </c>
      <c r="H98" s="364">
        <v>3.085</v>
      </c>
      <c r="I98" s="364">
        <f t="shared" si="3"/>
        <v>0</v>
      </c>
      <c r="K98">
        <f>_xll.RDP.Data(A98,"TR.WACCBeta")</f>
        <v>2.1563471075400402</v>
      </c>
    </row>
    <row r="99" spans="1:11">
      <c r="A99" s="182" t="s">
        <v>245</v>
      </c>
      <c r="B99" cm="1">
        <f t="array" ref="B99">_xll.RDP.Data(A99,"CF_BID")</f>
        <v>35.79</v>
      </c>
      <c r="C99" cm="1">
        <f t="array" ref="C99">_xll.RDP.Data(A99,"CF_ASK")</f>
        <v>35.85</v>
      </c>
      <c r="D99" s="623">
        <f t="shared" si="2"/>
        <v>35.82</v>
      </c>
      <c r="E99" s="356">
        <v>0</v>
      </c>
      <c r="F99" s="356">
        <v>0</v>
      </c>
      <c r="G99" s="356">
        <f>IF('ppal B'!$I$11=0,0,IF('ppal B'!$I$11&gt;0,E99*'ppal B'!$I$11*100,F99*'ppal B'!$I$11*100))</f>
        <v>0</v>
      </c>
      <c r="H99" s="364">
        <v>35.835000000000001</v>
      </c>
      <c r="I99" s="364">
        <f t="shared" si="3"/>
        <v>0</v>
      </c>
      <c r="K99">
        <f>_xll.RDP.Data(A99,"TR.WACCBeta")</f>
        <v>0.55516319011145299</v>
      </c>
    </row>
    <row r="100" spans="1:11">
      <c r="A100" s="182" t="s">
        <v>250</v>
      </c>
      <c r="B100" cm="1">
        <f t="array" ref="B100">_xll.RDP.Data(A100,"CF_BID")</f>
        <v>3.47</v>
      </c>
      <c r="C100" cm="1">
        <f t="array" ref="C100">_xll.RDP.Data(A100,"CF_ASK")</f>
        <v>3.48</v>
      </c>
      <c r="D100" s="623">
        <f t="shared" si="2"/>
        <v>3.4750000000000001</v>
      </c>
      <c r="E100" s="356">
        <v>0</v>
      </c>
      <c r="F100" s="356">
        <v>0</v>
      </c>
      <c r="G100" s="356">
        <f>IF('ppal B'!$I$11=0,0,IF('ppal B'!$I$11&gt;0,E100*'ppal B'!$I$11*100,F100*'ppal B'!$I$11*100))</f>
        <v>0</v>
      </c>
      <c r="H100" s="364">
        <v>3.7749999999999999</v>
      </c>
      <c r="I100" s="364">
        <f t="shared" si="3"/>
        <v>0</v>
      </c>
      <c r="K100">
        <f>_xll.RDP.Data(A100,"TR.WACCBeta")</f>
        <v>0.78765120284107004</v>
      </c>
    </row>
    <row r="101" spans="1:11">
      <c r="A101" s="182" t="s">
        <v>251</v>
      </c>
      <c r="B101" cm="1">
        <f t="array" ref="B101">_xll.RDP.Data(A101,"CF_BID")</f>
        <v>13.82</v>
      </c>
      <c r="C101" cm="1">
        <f t="array" ref="C101">_xll.RDP.Data(A101,"CF_ASK")</f>
        <v>13.84</v>
      </c>
      <c r="D101" s="623">
        <f t="shared" si="2"/>
        <v>13.83</v>
      </c>
      <c r="E101" s="356">
        <v>0</v>
      </c>
      <c r="F101" s="356">
        <v>0</v>
      </c>
      <c r="G101" s="356">
        <f>IF('ppal B'!$I$11=0,0,IF('ppal B'!$I$11&gt;0,E101*'ppal B'!$I$11*100,F101*'ppal B'!$I$11*100))</f>
        <v>0</v>
      </c>
      <c r="H101" s="364">
        <v>13.879999999999999</v>
      </c>
      <c r="I101" s="364">
        <f t="shared" si="3"/>
        <v>0</v>
      </c>
      <c r="K101">
        <f>_xll.RDP.Data(A101,"TR.WACCBeta")</f>
        <v>2.0354059904897901</v>
      </c>
    </row>
    <row r="102" spans="1:11">
      <c r="A102" s="182" t="s">
        <v>252</v>
      </c>
      <c r="B102" cm="1">
        <f t="array" ref="B102">_xll.RDP.Data(A102,"CF_BID")</f>
        <v>502.54</v>
      </c>
      <c r="C102" cm="1">
        <f t="array" ref="C102">_xll.RDP.Data(A102,"CF_ASK")</f>
        <v>504.12</v>
      </c>
      <c r="D102" s="623">
        <f t="shared" si="2"/>
        <v>503.33000000000004</v>
      </c>
      <c r="E102" s="356">
        <v>0</v>
      </c>
      <c r="F102" s="356">
        <v>0</v>
      </c>
      <c r="G102" s="356">
        <f>IF('ppal B'!$I$11=0,0,IF('ppal B'!$I$11&gt;0,E102*'ppal B'!$I$11*100,F102*'ppal B'!$I$11*100))</f>
        <v>0</v>
      </c>
      <c r="H102" s="364">
        <v>495.07499999999999</v>
      </c>
      <c r="I102" s="364">
        <f t="shared" si="3"/>
        <v>0</v>
      </c>
      <c r="K102">
        <f>_xll.RDP.Data(A102,"TR.WACCBeta")</f>
        <v>1.8366635347300699</v>
      </c>
    </row>
    <row r="103" spans="1:11">
      <c r="A103" s="182" t="s">
        <v>253</v>
      </c>
      <c r="B103" cm="1">
        <f t="array" ref="B103">_xll.RDP.Data(A103,"CF_BID")</f>
        <v>100.18</v>
      </c>
      <c r="C103" cm="1">
        <f t="array" ref="C103">_xll.RDP.Data(A103,"CF_ASK")</f>
        <v>100.22</v>
      </c>
      <c r="D103" s="623">
        <f t="shared" si="2"/>
        <v>100.2</v>
      </c>
      <c r="E103" s="356">
        <v>0</v>
      </c>
      <c r="F103" s="356">
        <v>0</v>
      </c>
      <c r="G103" s="356">
        <f>IF('ppal B'!$I$11=0,0,IF('ppal B'!$I$11&gt;0,E103*'ppal B'!$I$11*100,F103*'ppal B'!$I$11*100))</f>
        <v>0</v>
      </c>
      <c r="H103" s="364">
        <v>99.814999999999998</v>
      </c>
      <c r="I103" s="364">
        <f t="shared" si="3"/>
        <v>0</v>
      </c>
      <c r="K103">
        <f>_xll.RDP.Data(A103,"TR.WACCBeta")</f>
        <v>5.2905001463695998E-2</v>
      </c>
    </row>
    <row r="104" spans="1:11">
      <c r="A104" s="182" t="s">
        <v>254</v>
      </c>
      <c r="B104" cm="1">
        <f t="array" ref="B104">_xll.RDP.Data(A104,"CF_BID")</f>
        <v>135.03</v>
      </c>
      <c r="C104" cm="1">
        <f t="array" ref="C104">_xll.RDP.Data(A104,"CF_ASK")</f>
        <v>135.35</v>
      </c>
      <c r="D104" s="623">
        <f t="shared" si="2"/>
        <v>135.19</v>
      </c>
      <c r="E104" s="356">
        <v>0</v>
      </c>
      <c r="F104" s="356">
        <v>0</v>
      </c>
      <c r="G104" s="356">
        <f>IF('ppal B'!$I$11=0,0,IF('ppal B'!$I$11&gt;0,E104*'ppal B'!$I$11*100,F104*'ppal B'!$I$11*100))</f>
        <v>0</v>
      </c>
      <c r="H104" s="364">
        <v>134.49</v>
      </c>
      <c r="I104" s="364">
        <f t="shared" si="3"/>
        <v>0</v>
      </c>
      <c r="K104">
        <f>_xll.RDP.Data(A104,"TR.WACCBeta")</f>
        <v>1.0629010422310801</v>
      </c>
    </row>
    <row r="105" spans="1:11">
      <c r="A105" s="182"/>
      <c r="B105" t="str" cm="1">
        <f t="array" ref="B105">_xll.RDP.Data(A105,"CF_BID")</f>
        <v>No universe defined.</v>
      </c>
      <c r="C105" t="str" cm="1">
        <f t="array" ref="C105">_xll.RDP.Data(A105,"CF_ASK")</f>
        <v>No universe defined.</v>
      </c>
      <c r="D105" s="623" t="e">
        <f t="shared" si="2"/>
        <v>#VALUE!</v>
      </c>
      <c r="E105" s="356">
        <v>0</v>
      </c>
      <c r="F105" s="356">
        <v>0</v>
      </c>
      <c r="G105" s="356">
        <f>IF('ppal B'!$I$11=0,0,IF('ppal B'!$I$11&gt;0,E105*'ppal B'!$I$11*100,F105*'ppal B'!$I$11*100))</f>
        <v>0</v>
      </c>
      <c r="H105" s="364" t="e">
        <v>#VALUE!</v>
      </c>
      <c r="I105" s="364" t="e">
        <f t="shared" si="3"/>
        <v>#VALUE!</v>
      </c>
      <c r="K105" t="str">
        <f>_xll.RDP.Data(A105,"TR.WACCBeta")</f>
        <v>No universe defined.</v>
      </c>
    </row>
    <row r="106" spans="1:11">
      <c r="A106" s="182" t="s">
        <v>255</v>
      </c>
      <c r="B106" cm="1">
        <f t="array" ref="B106">_xll.RDP.Data(A106,"CF_BID")</f>
        <v>8.5</v>
      </c>
      <c r="C106" cm="1">
        <f t="array" ref="C106">_xll.RDP.Data(A106,"CF_ASK")</f>
        <v>8.51</v>
      </c>
      <c r="D106" s="623">
        <f t="shared" si="2"/>
        <v>8.504999999999999</v>
      </c>
      <c r="E106" s="356">
        <v>0</v>
      </c>
      <c r="F106" s="356">
        <v>0</v>
      </c>
      <c r="G106" s="356">
        <f>IF('ppal B'!$I$11=0,0,IF('ppal B'!$I$11&gt;0,E106*'ppal B'!$I$11*100,F106*'ppal B'!$I$11*100))</f>
        <v>0</v>
      </c>
      <c r="H106" s="364">
        <v>8.2749999999999986</v>
      </c>
      <c r="I106" s="364">
        <f t="shared" si="3"/>
        <v>0</v>
      </c>
      <c r="K106">
        <f>_xll.RDP.Data(A106,"TR.WACCBeta")</f>
        <v>1.8931531538200901</v>
      </c>
    </row>
    <row r="107" spans="1:11">
      <c r="A107" s="182" t="s">
        <v>256</v>
      </c>
      <c r="B107" cm="1">
        <f t="array" ref="B107">_xll.RDP.Data(A107,"CF_BID")</f>
        <v>366.46</v>
      </c>
      <c r="C107" cm="1">
        <f t="array" ref="C107">_xll.RDP.Data(A107,"CF_ASK")</f>
        <v>367.08</v>
      </c>
      <c r="D107" s="623">
        <f t="shared" si="2"/>
        <v>366.77</v>
      </c>
      <c r="E107" s="356">
        <v>0</v>
      </c>
      <c r="F107" s="356">
        <v>0</v>
      </c>
      <c r="G107" s="356">
        <f>IF('ppal B'!$I$11=0,0,IF('ppal B'!$I$11&gt;0,E107*'ppal B'!$I$11*100,F107*'ppal B'!$I$11*100))</f>
        <v>0</v>
      </c>
      <c r="H107" s="364">
        <v>363.30500000000001</v>
      </c>
      <c r="I107" s="364">
        <f t="shared" si="3"/>
        <v>0</v>
      </c>
      <c r="K107">
        <f>_xll.RDP.Data(A107,"TR.WACCBeta")</f>
        <v>1.87021943539882</v>
      </c>
    </row>
    <row r="108" spans="1:11">
      <c r="A108" s="182" t="s">
        <v>257</v>
      </c>
      <c r="B108" cm="1">
        <f t="array" ref="B108">_xll.RDP.Data(A108,"CF_BID")</f>
        <v>66.61</v>
      </c>
      <c r="C108" cm="1">
        <f t="array" ref="C108">_xll.RDP.Data(A108,"CF_ASK")</f>
        <v>66.67</v>
      </c>
      <c r="D108" s="623">
        <f t="shared" si="2"/>
        <v>66.64</v>
      </c>
      <c r="E108" s="356">
        <v>0</v>
      </c>
      <c r="F108" s="356">
        <v>0</v>
      </c>
      <c r="G108" s="356">
        <f>IF('ppal B'!$I$11=0,0,IF('ppal B'!$I$11&gt;0,E108*'ppal B'!$I$11*100,F108*'ppal B'!$I$11*100))</f>
        <v>0</v>
      </c>
      <c r="H108" s="364">
        <v>65.204999999999998</v>
      </c>
      <c r="I108" s="364">
        <f t="shared" si="3"/>
        <v>0</v>
      </c>
      <c r="K108">
        <f>_xll.RDP.Data(A108,"TR.WACCBeta")</f>
        <v>1.5224489356375701</v>
      </c>
    </row>
    <row r="109" spans="1:11">
      <c r="A109" s="182" t="s">
        <v>258</v>
      </c>
      <c r="B109" cm="1">
        <f t="array" ref="B109">_xll.RDP.Data(A109,"CF_BID")</f>
        <v>64.819999999999993</v>
      </c>
      <c r="C109" cm="1">
        <f t="array" ref="C109">_xll.RDP.Data(A109,"CF_ASK")</f>
        <v>64.97</v>
      </c>
      <c r="D109" s="623">
        <f t="shared" si="2"/>
        <v>64.894999999999996</v>
      </c>
      <c r="E109" s="356">
        <v>0</v>
      </c>
      <c r="F109" s="356">
        <v>0</v>
      </c>
      <c r="G109" s="356">
        <f>IF('ppal B'!$I$11=0,0,IF('ppal B'!$I$11&gt;0,E109*'ppal B'!$I$11*100,F109*'ppal B'!$I$11*100))</f>
        <v>0</v>
      </c>
      <c r="H109" s="364">
        <v>65.050000000000011</v>
      </c>
      <c r="I109" s="364">
        <f t="shared" si="3"/>
        <v>0</v>
      </c>
      <c r="K109">
        <f>_xll.RDP.Data(A109,"TR.WACCBeta")</f>
        <v>1.12825496601785</v>
      </c>
    </row>
    <row r="110" spans="1:11">
      <c r="A110" s="364"/>
      <c r="B110" t="str" cm="1">
        <f t="array" ref="B110">_xll.RDP.Data(A110,"CF_BID")</f>
        <v>No universe defined.</v>
      </c>
      <c r="C110" t="str" cm="1">
        <f t="array" ref="C110">_xll.RDP.Data(A110,"CF_ASK")</f>
        <v>No universe defined.</v>
      </c>
      <c r="D110" s="623" t="e">
        <f t="shared" si="2"/>
        <v>#VALUE!</v>
      </c>
      <c r="E110" s="356">
        <v>0</v>
      </c>
      <c r="F110" s="356">
        <v>0</v>
      </c>
      <c r="G110" s="356">
        <f>IF('ppal B'!$I$11=0,0,IF('ppal B'!$I$11&gt;0,E110*'ppal B'!$I$11*100,F110*'ppal B'!$I$11*100))</f>
        <v>0</v>
      </c>
      <c r="H110" s="364" t="e">
        <v>#VALUE!</v>
      </c>
      <c r="I110" s="364" t="e">
        <f t="shared" si="3"/>
        <v>#VALUE!</v>
      </c>
      <c r="K110" t="str">
        <f>_xll.RDP.Data(A110,"TR.WACCBeta")</f>
        <v>No universe defined.</v>
      </c>
    </row>
    <row r="111" spans="1:11">
      <c r="A111" s="182" t="s">
        <v>259</v>
      </c>
      <c r="B111" cm="1">
        <f t="array" ref="B111">_xll.RDP.Data(A111,"CF_BID")</f>
        <v>100.13</v>
      </c>
      <c r="C111" cm="1">
        <f t="array" ref="C111">_xll.RDP.Data(A111,"CF_ASK")</f>
        <v>100.14</v>
      </c>
      <c r="D111" s="623">
        <f t="shared" si="2"/>
        <v>100.13499999999999</v>
      </c>
      <c r="E111" s="356">
        <v>0</v>
      </c>
      <c r="F111" s="356">
        <v>0</v>
      </c>
      <c r="G111" s="356">
        <f>IF('ppal B'!$I$11=0,0,IF('ppal B'!$I$11&gt;0,E111*'ppal B'!$I$11*100,F111*'ppal B'!$I$11*100))</f>
        <v>0</v>
      </c>
      <c r="H111" s="364">
        <v>99.75</v>
      </c>
      <c r="I111" s="364">
        <f t="shared" si="3"/>
        <v>0</v>
      </c>
      <c r="K111">
        <f>_xll.RDP.Data(A111,"TR.WACCBeta")</f>
        <v>0.77821713218119803</v>
      </c>
    </row>
    <row r="112" spans="1:11">
      <c r="A112" s="182" t="s">
        <v>260</v>
      </c>
      <c r="B112" cm="1">
        <f t="array" ref="B112">_xll.RDP.Data(A112,"CF_BID")</f>
        <v>18.61</v>
      </c>
      <c r="C112" cm="1">
        <f t="array" ref="C112">_xll.RDP.Data(A112,"CF_ASK")</f>
        <v>18.66</v>
      </c>
      <c r="D112" s="623">
        <f t="shared" si="2"/>
        <v>18.634999999999998</v>
      </c>
      <c r="E112" s="356">
        <v>0</v>
      </c>
      <c r="F112" s="356">
        <v>0</v>
      </c>
      <c r="G112" s="356">
        <f>IF('ppal B'!$I$11=0,0,IF('ppal B'!$I$11&gt;0,E112*'ppal B'!$I$11*100,F112*'ppal B'!$I$11*100))</f>
        <v>0</v>
      </c>
      <c r="H112" s="364">
        <v>17.939999999999998</v>
      </c>
      <c r="I112" s="364">
        <f t="shared" si="3"/>
        <v>0</v>
      </c>
      <c r="K112">
        <f>_xll.RDP.Data(A112,"TR.WACCBeta")</f>
        <v>0.21212422814944601</v>
      </c>
    </row>
    <row r="113" spans="1:11">
      <c r="A113" s="182"/>
      <c r="B113" t="str" cm="1">
        <f t="array" ref="B113">_xll.RDP.Data(A113,"CF_BID")</f>
        <v>No universe defined.</v>
      </c>
      <c r="C113" t="str" cm="1">
        <f t="array" ref="C113">_xll.RDP.Data(A113,"CF_ASK")</f>
        <v>No universe defined.</v>
      </c>
      <c r="D113" s="623" t="e">
        <f t="shared" si="2"/>
        <v>#VALUE!</v>
      </c>
      <c r="E113" s="356">
        <v>0</v>
      </c>
      <c r="F113" s="356">
        <v>0</v>
      </c>
      <c r="G113" s="356">
        <f>IF('ppal B'!$I$11=0,0,IF('ppal B'!$I$11&gt;0,E113*'ppal B'!$I$11*100,F113*'ppal B'!$I$11*100))</f>
        <v>0</v>
      </c>
      <c r="H113" s="364" t="e">
        <v>#VALUE!</v>
      </c>
      <c r="I113" s="364" t="e">
        <f t="shared" si="3"/>
        <v>#VALUE!</v>
      </c>
      <c r="K113" t="str">
        <f>_xll.RDP.Data(A113,"TR.WACCBeta")</f>
        <v>No universe defined.</v>
      </c>
    </row>
    <row r="114" spans="1:11">
      <c r="A114" s="182" t="s">
        <v>261</v>
      </c>
      <c r="B114" cm="1">
        <f t="array" ref="B114">_xll.RDP.Data(A114,"CF_BID")</f>
        <v>1013.56</v>
      </c>
      <c r="C114" cm="1">
        <f t="array" ref="C114">_xll.RDP.Data(A114,"CF_ASK")</f>
        <v>1014.12</v>
      </c>
      <c r="D114" s="623">
        <f t="shared" si="2"/>
        <v>1013.8399999999999</v>
      </c>
      <c r="E114" s="356">
        <v>0</v>
      </c>
      <c r="F114" s="356">
        <v>0</v>
      </c>
      <c r="G114" s="356">
        <f>IF('ppal B'!$I$11=0,0,IF('ppal B'!$I$11&gt;0,E114*'ppal B'!$I$11*100,F114*'ppal B'!$I$11*100))</f>
        <v>0</v>
      </c>
      <c r="H114" s="364">
        <v>1002.635</v>
      </c>
      <c r="I114" s="364">
        <f t="shared" si="3"/>
        <v>0</v>
      </c>
      <c r="K114">
        <f>_xll.RDP.Data(A114,"TR.WACCBeta")</f>
        <v>1.48060848542705</v>
      </c>
    </row>
    <row r="115" spans="1:11">
      <c r="A115" s="182" t="s">
        <v>262</v>
      </c>
      <c r="B115" cm="1">
        <f t="array" ref="B115">_xll.RDP.Data(A115,"CF_BID")</f>
        <v>62.83</v>
      </c>
      <c r="C115" cm="1">
        <f t="array" ref="C115">_xll.RDP.Data(A115,"CF_ASK")</f>
        <v>62.84</v>
      </c>
      <c r="D115" s="623">
        <f t="shared" si="2"/>
        <v>62.835000000000001</v>
      </c>
      <c r="E115" s="356">
        <v>0</v>
      </c>
      <c r="F115" s="356">
        <v>0</v>
      </c>
      <c r="G115" s="356">
        <f>IF('ppal B'!$I$11=0,0,IF('ppal B'!$I$11&gt;0,E115*'ppal B'!$I$11*100,F115*'ppal B'!$I$11*100))</f>
        <v>0</v>
      </c>
      <c r="H115" s="364">
        <v>62.414999999999999</v>
      </c>
      <c r="I115" s="364">
        <f t="shared" si="3"/>
        <v>0</v>
      </c>
      <c r="K115">
        <f>_xll.RDP.Data(A115,"TR.WACCBeta")</f>
        <v>0.73256656832433797</v>
      </c>
    </row>
    <row r="116" spans="1:11">
      <c r="A116" s="182" t="s">
        <v>263</v>
      </c>
      <c r="B116" cm="1">
        <f t="array" ref="B116">_xll.RDP.Data(A116,"CF_BID")</f>
        <v>120.88</v>
      </c>
      <c r="C116" cm="1">
        <f t="array" ref="C116">_xll.RDP.Data(A116,"CF_ASK")</f>
        <v>120.92</v>
      </c>
      <c r="D116" s="623">
        <f t="shared" si="2"/>
        <v>120.9</v>
      </c>
      <c r="E116" s="356">
        <v>0</v>
      </c>
      <c r="F116" s="356">
        <v>0</v>
      </c>
      <c r="G116" s="356">
        <f>IF('ppal B'!$I$11=0,0,IF('ppal B'!$I$11&gt;0,E116*'ppal B'!$I$11*100,F116*'ppal B'!$I$11*100))</f>
        <v>0</v>
      </c>
      <c r="H116" s="364">
        <v>117.245</v>
      </c>
      <c r="I116" s="364">
        <f t="shared" si="3"/>
        <v>0</v>
      </c>
      <c r="K116">
        <f>_xll.RDP.Data(A116,"TR.WACCBeta")</f>
        <v>1.67251672138846</v>
      </c>
    </row>
    <row r="117" spans="1:11">
      <c r="A117" t="s">
        <v>267</v>
      </c>
      <c r="B117" cm="1">
        <f t="array" ref="B117">_xll.RDP.Data(A117,"CF_BID")</f>
        <v>1.68</v>
      </c>
      <c r="C117" cm="1">
        <f t="array" ref="C117">_xll.RDP.Data(A117,"CF_ASK")</f>
        <v>1.69</v>
      </c>
      <c r="D117" s="623">
        <f t="shared" si="2"/>
        <v>1.6850000000000001</v>
      </c>
      <c r="E117" s="356">
        <v>0</v>
      </c>
      <c r="F117" s="356">
        <v>0</v>
      </c>
      <c r="G117" s="356">
        <f>IF('ppal B'!$I$11=0,0,IF('ppal B'!$I$11&gt;0,E117*'ppal B'!$I$11*100,F117*'ppal B'!$I$11*100))</f>
        <v>0</v>
      </c>
      <c r="H117" s="364">
        <v>1.6949999999999998</v>
      </c>
      <c r="I117" s="364">
        <f t="shared" si="3"/>
        <v>0</v>
      </c>
      <c r="K117">
        <f>_xll.RDP.Data(A117,"TR.WACCBeta")</f>
        <v>1.0370539613487</v>
      </c>
    </row>
    <row r="118" spans="1:11">
      <c r="A118" s="182" t="s">
        <v>264</v>
      </c>
      <c r="B118" cm="1">
        <f t="array" ref="B118">_xll.RDP.Data(A118,"CF_BID")</f>
        <v>119.35</v>
      </c>
      <c r="C118" cm="1">
        <f t="array" ref="C118">_xll.RDP.Data(A118,"CF_ASK")</f>
        <v>119.4</v>
      </c>
      <c r="D118" s="623">
        <f t="shared" si="2"/>
        <v>119.375</v>
      </c>
      <c r="E118" s="356">
        <v>0</v>
      </c>
      <c r="F118" s="356">
        <v>0</v>
      </c>
      <c r="G118" s="356">
        <f>IF('ppal B'!$I$11=0,0,IF('ppal B'!$I$11&gt;0,E118*'ppal B'!$I$11*100,F118*'ppal B'!$I$11*100))</f>
        <v>0</v>
      </c>
      <c r="H118" s="364">
        <v>120.67</v>
      </c>
      <c r="I118" s="364">
        <f t="shared" si="3"/>
        <v>0</v>
      </c>
      <c r="K118">
        <f>_xll.RDP.Data(A118,"TR.WACCBeta")</f>
        <v>0.29911661627045</v>
      </c>
    </row>
    <row r="119" spans="1:11">
      <c r="A119" t="s">
        <v>288</v>
      </c>
      <c r="B119" cm="1">
        <f t="array" ref="B119">_xll.RDP.Data(A119,"CF_BID")</f>
        <v>13.61</v>
      </c>
      <c r="C119" cm="1">
        <f t="array" ref="C119">_xll.RDP.Data(A119,"CF_ASK")</f>
        <v>13.62</v>
      </c>
      <c r="D119" s="623">
        <f t="shared" si="2"/>
        <v>13.614999999999998</v>
      </c>
      <c r="E119" s="356">
        <v>0</v>
      </c>
      <c r="F119" s="356">
        <v>0</v>
      </c>
      <c r="G119" s="356">
        <f>IF('ppal B'!$I$11=0,0,IF('ppal B'!$I$11&gt;0,E119*'ppal B'!$I$11*100,F119*'ppal B'!$I$11*100))</f>
        <v>0</v>
      </c>
      <c r="H119" s="364">
        <v>13.504999999999999</v>
      </c>
      <c r="I119" s="364">
        <f t="shared" si="3"/>
        <v>0</v>
      </c>
      <c r="K119">
        <f>_xll.RDP.Data(A119,"TR.WACCBeta")</f>
        <v>0.84439517391614405</v>
      </c>
    </row>
    <row r="120" spans="1:11">
      <c r="A120" s="182" t="s">
        <v>265</v>
      </c>
      <c r="B120" cm="1">
        <f t="array" ref="B120">_xll.RDP.Data(A120,"CF_BID")</f>
        <v>508.92</v>
      </c>
      <c r="C120" cm="1">
        <f t="array" ref="C120">_xll.RDP.Data(A120,"CF_ASK")</f>
        <v>509.2</v>
      </c>
      <c r="D120" s="623">
        <f t="shared" si="2"/>
        <v>509.06</v>
      </c>
      <c r="E120" s="356">
        <v>0</v>
      </c>
      <c r="F120" s="356">
        <v>0</v>
      </c>
      <c r="G120" s="356">
        <f>IF('ppal B'!$I$11=0,0,IF('ppal B'!$I$11&gt;0,E120*'ppal B'!$I$11*100,F120*'ppal B'!$I$11*100))</f>
        <v>0</v>
      </c>
      <c r="H120" s="364">
        <v>501.43</v>
      </c>
      <c r="I120" s="364">
        <f t="shared" si="3"/>
        <v>0</v>
      </c>
      <c r="K120">
        <f>_xll.RDP.Data(A120,"TR.WACCBeta")</f>
        <v>0.96882921254066101</v>
      </c>
    </row>
    <row r="121" spans="1:11">
      <c r="A121" s="182" t="s">
        <v>266</v>
      </c>
      <c r="B121" cm="1">
        <f t="array" ref="B121">_xll.RDP.Data(A121,"CF_BID")</f>
        <v>311.33999999999997</v>
      </c>
      <c r="C121" cm="1">
        <f t="array" ref="C121">_xll.RDP.Data(A121,"CF_ASK")</f>
        <v>311.35000000000002</v>
      </c>
      <c r="D121" s="623">
        <f t="shared" si="2"/>
        <v>311.34500000000003</v>
      </c>
      <c r="E121" s="356">
        <v>0</v>
      </c>
      <c r="F121" s="356">
        <v>0</v>
      </c>
      <c r="G121" s="356">
        <f>IF('ppal B'!$I$11=0,0,IF('ppal B'!$I$11&gt;0,E121*'ppal B'!$I$11*100,F121*'ppal B'!$I$11*100))</f>
        <v>0</v>
      </c>
      <c r="H121" s="364">
        <v>306.36</v>
      </c>
      <c r="I121" s="364">
        <f t="shared" si="3"/>
        <v>0</v>
      </c>
      <c r="K121">
        <f>_xll.RDP.Data(A121,"TR.WACCBeta")</f>
        <v>0.42292324636960599</v>
      </c>
    </row>
    <row r="122" spans="1:11">
      <c r="A122" s="182" t="s">
        <v>270</v>
      </c>
      <c r="B122" cm="1">
        <f t="array" ref="B122">_xll.RDP.Data(A122,"CF_BID")</f>
        <v>71.5</v>
      </c>
      <c r="C122" cm="1">
        <f t="array" ref="C122">_xll.RDP.Data(A122,"CF_ASK")</f>
        <v>71.510000000000005</v>
      </c>
      <c r="D122" s="623">
        <f t="shared" si="2"/>
        <v>71.504999999999995</v>
      </c>
      <c r="E122" s="356">
        <v>0</v>
      </c>
      <c r="F122" s="356">
        <v>0</v>
      </c>
      <c r="G122" s="356">
        <f>IF('ppal B'!$I$11=0,0,IF('ppal B'!$I$11&gt;0,E122*'ppal B'!$I$11*100,F122*'ppal B'!$I$11*100))</f>
        <v>0</v>
      </c>
      <c r="H122" s="364">
        <v>70.984999999999999</v>
      </c>
      <c r="I122" s="364">
        <f t="shared" si="3"/>
        <v>0</v>
      </c>
      <c r="K122" t="str">
        <f>_xll.RDP.Data(A122,"TR.WACCBeta")</f>
        <v>NULL</v>
      </c>
    </row>
    <row r="123" spans="1:11">
      <c r="A123" s="182" t="s">
        <v>271</v>
      </c>
      <c r="B123" cm="1">
        <f t="array" ref="B123">_xll.RDP.Data(A123,"CF_BID")</f>
        <v>27.64</v>
      </c>
      <c r="C123" cm="1">
        <f t="array" ref="C123">_xll.RDP.Data(A123,"CF_ASK")</f>
        <v>27.65</v>
      </c>
      <c r="D123" s="623">
        <f t="shared" si="2"/>
        <v>27.645</v>
      </c>
      <c r="E123" s="356">
        <v>0</v>
      </c>
      <c r="F123" s="356">
        <v>0</v>
      </c>
      <c r="G123" s="356">
        <f>IF('ppal B'!$I$11=0,0,IF('ppal B'!$I$11&gt;0,E123*'ppal B'!$I$11*100,F123*'ppal B'!$I$11*100))</f>
        <v>0</v>
      </c>
      <c r="H123" s="364">
        <v>27.545000000000002</v>
      </c>
      <c r="I123" s="364">
        <f t="shared" si="3"/>
        <v>0</v>
      </c>
      <c r="K123" t="str">
        <f>_xll.RDP.Data(A123,"TR.WACCBeta")</f>
        <v>NULL</v>
      </c>
    </row>
    <row r="124" spans="1:11">
      <c r="A124" s="182" t="s">
        <v>272</v>
      </c>
      <c r="B124" cm="1">
        <f t="array" ref="B124">_xll.RDP.Data(A124,"CF_BID")</f>
        <v>101.03</v>
      </c>
      <c r="C124" cm="1">
        <f t="array" ref="C124">_xll.RDP.Data(A124,"CF_ASK")</f>
        <v>101.05</v>
      </c>
      <c r="D124" s="623">
        <f t="shared" si="2"/>
        <v>101.03999999999999</v>
      </c>
      <c r="E124" s="356">
        <v>0</v>
      </c>
      <c r="F124" s="356">
        <v>0</v>
      </c>
      <c r="G124" s="356">
        <f>IF('ppal B'!$I$11=0,0,IF('ppal B'!$I$11&gt;0,E124*'ppal B'!$I$11*100,F124*'ppal B'!$I$11*100))</f>
        <v>0</v>
      </c>
      <c r="H124" s="364">
        <v>99.384999999999991</v>
      </c>
      <c r="I124" s="364">
        <f t="shared" si="3"/>
        <v>0</v>
      </c>
      <c r="K124">
        <f>_xll.RDP.Data(A124,"TR.WACCBeta")</f>
        <v>1.45419909967762</v>
      </c>
    </row>
    <row r="125" spans="1:11">
      <c r="A125" s="182" t="s">
        <v>297</v>
      </c>
      <c r="B125" cm="1">
        <f t="array" ref="B125">_xll.RDP.Data(A125,"CF_BID")</f>
        <v>24.31</v>
      </c>
      <c r="C125" cm="1">
        <f t="array" ref="C125">_xll.RDP.Data(A125,"CF_ASK")</f>
        <v>24.33</v>
      </c>
      <c r="D125" s="623">
        <f t="shared" si="2"/>
        <v>24.32</v>
      </c>
      <c r="E125" s="356">
        <v>0</v>
      </c>
      <c r="F125" s="356">
        <v>0</v>
      </c>
      <c r="G125" s="356">
        <f>IF('ppal B'!$I$11=0,0,IF('ppal B'!$I$11&gt;0,E125*'ppal B'!$I$11*100,F125*'ppal B'!$I$11*100))</f>
        <v>0</v>
      </c>
      <c r="H125" s="364">
        <v>24.015000000000001</v>
      </c>
      <c r="I125" s="364">
        <f t="shared" si="3"/>
        <v>0</v>
      </c>
      <c r="K125" t="str">
        <f>_xll.RDP.Data(A125,"TR.WACCBeta")</f>
        <v>NULL</v>
      </c>
    </row>
    <row r="126" spans="1:11">
      <c r="A126" s="182" t="s">
        <v>294</v>
      </c>
      <c r="B126" cm="1">
        <f t="array" ref="B126">_xll.RDP.Data(A126,"CF_BID")</f>
        <v>33.450000000000003</v>
      </c>
      <c r="C126" cm="1">
        <f t="array" ref="C126">_xll.RDP.Data(A126,"CF_ASK")</f>
        <v>33.479999999999997</v>
      </c>
      <c r="D126" s="623">
        <f t="shared" si="2"/>
        <v>33.465000000000003</v>
      </c>
      <c r="E126" s="356">
        <v>0</v>
      </c>
      <c r="F126" s="356">
        <v>0</v>
      </c>
      <c r="G126" s="356">
        <f>IF('ppal B'!$I$11=0,0,IF('ppal B'!$I$11&gt;0,E126*'ppal B'!$I$11*100,F126*'ppal B'!$I$11*100))</f>
        <v>0</v>
      </c>
      <c r="H126" s="364">
        <v>33.299999999999997</v>
      </c>
      <c r="I126" s="364">
        <f t="shared" si="3"/>
        <v>0</v>
      </c>
      <c r="K126" t="str">
        <f>_xll.RDP.Data(A126,"TR.WACCBeta")</f>
        <v>NULL</v>
      </c>
    </row>
    <row r="127" spans="1:11">
      <c r="A127" s="182" t="s">
        <v>295</v>
      </c>
      <c r="B127" cm="1">
        <f t="array" ref="B127">_xll.RDP.Data(A127,"CF_BID")</f>
        <v>55.14</v>
      </c>
      <c r="C127" cm="1">
        <f t="array" ref="C127">_xll.RDP.Data(A127,"CF_ASK")</f>
        <v>55.21</v>
      </c>
      <c r="D127" s="623">
        <f t="shared" si="2"/>
        <v>55.174999999999997</v>
      </c>
      <c r="E127" s="356">
        <v>0</v>
      </c>
      <c r="F127" s="356">
        <v>0</v>
      </c>
      <c r="G127" s="356">
        <f>IF('ppal B'!$I$11=0,0,IF('ppal B'!$I$11&gt;0,E127*'ppal B'!$I$11*100,F127*'ppal B'!$I$11*100))</f>
        <v>0</v>
      </c>
      <c r="H127" s="364">
        <v>55.370000000000005</v>
      </c>
      <c r="I127" s="364">
        <f t="shared" si="3"/>
        <v>0</v>
      </c>
      <c r="K127" t="str">
        <f>_xll.RDP.Data(A127,"TR.WACCBeta")</f>
        <v>NULL</v>
      </c>
    </row>
    <row r="128" spans="1:11">
      <c r="A128" s="182" t="s">
        <v>298</v>
      </c>
      <c r="B128" cm="1">
        <f t="array" ref="B128">_xll.RDP.Data(A128,"CF_BID")</f>
        <v>71.37</v>
      </c>
      <c r="C128" cm="1">
        <f t="array" ref="C128">_xll.RDP.Data(A128,"CF_ASK")</f>
        <v>71.47</v>
      </c>
      <c r="D128" s="623">
        <f t="shared" si="2"/>
        <v>71.42</v>
      </c>
      <c r="E128" s="356">
        <v>0</v>
      </c>
      <c r="F128" s="356">
        <v>0</v>
      </c>
      <c r="G128" s="356">
        <f>IF('ppal B'!$I$11=0,0,IF('ppal B'!$I$11&gt;0,E128*'ppal B'!$I$11*100,F128*'ppal B'!$I$11*100))</f>
        <v>0</v>
      </c>
      <c r="H128" s="364">
        <v>71.094999999999999</v>
      </c>
      <c r="I128" s="364">
        <f t="shared" si="3"/>
        <v>0</v>
      </c>
      <c r="K128" t="str">
        <f>_xll.RDP.Data(A128,"TR.WACCBeta")</f>
        <v>NULL</v>
      </c>
    </row>
    <row r="129" spans="1:11">
      <c r="A129" s="182" t="s">
        <v>299</v>
      </c>
      <c r="B129" cm="1">
        <f t="array" ref="B129">_xll.RDP.Data(A129,"CF_BID")</f>
        <v>6.69</v>
      </c>
      <c r="C129" cm="1">
        <f t="array" ref="C129">_xll.RDP.Data(A129,"CF_ASK")</f>
        <v>6.7</v>
      </c>
      <c r="D129" s="623">
        <f t="shared" si="2"/>
        <v>6.6950000000000003</v>
      </c>
      <c r="E129" s="356">
        <v>0</v>
      </c>
      <c r="F129" s="356">
        <v>0</v>
      </c>
      <c r="G129" s="356">
        <f>IF('ppal B'!$I$11=0,0,IF('ppal B'!$I$11&gt;0,E129*'ppal B'!$I$11*100,F129*'ppal B'!$I$11*100))</f>
        <v>0</v>
      </c>
      <c r="H129" s="364">
        <v>6.415</v>
      </c>
      <c r="I129" s="364">
        <f t="shared" si="3"/>
        <v>0</v>
      </c>
      <c r="K129">
        <f>_xll.RDP.Data(A129,"TR.WACCBeta")</f>
        <v>2.0972725477888998</v>
      </c>
    </row>
    <row r="130" spans="1:11">
      <c r="A130" s="182" t="s">
        <v>597</v>
      </c>
      <c r="B130" cm="1">
        <f t="array" ref="B130">_xll.RDP.Data(A130,"CF_BID")</f>
        <v>130.80000000000001</v>
      </c>
      <c r="C130" cm="1">
        <f t="array" ref="C130">_xll.RDP.Data(A130,"CF_ASK")</f>
        <v>130.82</v>
      </c>
      <c r="D130" s="623">
        <f t="shared" si="2"/>
        <v>130.81</v>
      </c>
      <c r="E130" s="356">
        <v>0</v>
      </c>
      <c r="F130" s="356">
        <v>0</v>
      </c>
      <c r="G130" s="356">
        <f>IF('ppal B'!$I$11=0,0,IF('ppal B'!$I$11&gt;0,E130*'ppal B'!$I$11*100,F130*'ppal B'!$I$11*100))</f>
        <v>0</v>
      </c>
      <c r="H130" s="364">
        <v>132.45999999999998</v>
      </c>
      <c r="I130" s="364">
        <f t="shared" si="3"/>
        <v>0</v>
      </c>
      <c r="K130" t="str">
        <f>_xll.RDP.Data(A130,"TR.WACCBeta")</f>
        <v>NULL</v>
      </c>
    </row>
    <row r="131" spans="1:11">
      <c r="A131" s="182"/>
      <c r="B131" t="str" cm="1">
        <f t="array" ref="B131">_xll.RDP.Data(A131,"CF_BID")</f>
        <v>No universe defined.</v>
      </c>
      <c r="C131" t="str" cm="1">
        <f t="array" ref="C131">_xll.RDP.Data(A131,"CF_ASK")</f>
        <v>No universe defined.</v>
      </c>
      <c r="D131" s="623" t="e">
        <f t="shared" si="2"/>
        <v>#VALUE!</v>
      </c>
      <c r="E131" s="356">
        <v>0</v>
      </c>
      <c r="F131" s="356">
        <v>0</v>
      </c>
      <c r="G131" s="356">
        <f>IF('ppal B'!$I$11=0,0,IF('ppal B'!$I$11&gt;0,E131*'ppal B'!$I$11*100,F131*'ppal B'!$I$11*100))</f>
        <v>0</v>
      </c>
      <c r="H131" s="364" t="e">
        <v>#VALUE!</v>
      </c>
      <c r="I131" s="364" t="e">
        <f t="shared" si="3"/>
        <v>#VALUE!</v>
      </c>
      <c r="K131" t="str">
        <f>_xll.RDP.Data(A131,"TR.WACCBeta")</f>
        <v>No universe defined.</v>
      </c>
    </row>
    <row r="132" spans="1:11">
      <c r="A132" s="182" t="s">
        <v>276</v>
      </c>
      <c r="B132" cm="1">
        <f t="array" ref="B132">_xll.RDP.Data(A132,"CF_BID")</f>
        <v>202.35</v>
      </c>
      <c r="C132" cm="1">
        <f t="array" ref="C132">_xll.RDP.Data(A132,"CF_ASK")</f>
        <v>202.4</v>
      </c>
      <c r="D132" s="623">
        <f t="shared" si="2"/>
        <v>202.375</v>
      </c>
      <c r="E132" s="356">
        <v>0</v>
      </c>
      <c r="F132" s="356">
        <v>0</v>
      </c>
      <c r="G132" s="356">
        <f>IF('ppal B'!$I$11=0,0,IF('ppal B'!$I$11&gt;0,E132*'ppal B'!$I$11*100,F132*'ppal B'!$I$11*100))</f>
        <v>0</v>
      </c>
      <c r="H132" s="364">
        <v>202.73000000000002</v>
      </c>
      <c r="I132" s="364">
        <f t="shared" si="3"/>
        <v>0</v>
      </c>
      <c r="K132">
        <f>_xll.RDP.Data(A132,"TR.WACCBeta")</f>
        <v>0.71001595133348905</v>
      </c>
    </row>
    <row r="133" spans="1:11">
      <c r="A133" s="182" t="s">
        <v>277</v>
      </c>
      <c r="B133" cm="1">
        <f t="array" ref="B133">_xll.RDP.Data(A133,"CF_BID")</f>
        <v>188.18</v>
      </c>
      <c r="C133" cm="1">
        <f t="array" ref="C133">_xll.RDP.Data(A133,"CF_ASK")</f>
        <v>188.19</v>
      </c>
      <c r="D133" s="623">
        <f t="shared" ref="D133:D185" si="4">(B133+C133)/2</f>
        <v>188.185</v>
      </c>
      <c r="E133" s="356">
        <v>0</v>
      </c>
      <c r="F133" s="356">
        <v>0</v>
      </c>
      <c r="G133" s="356">
        <f>IF('ppal B'!$I$11=0,0,IF('ppal B'!$I$11&gt;0,E133*'ppal B'!$I$11*100,F133*'ppal B'!$I$11*100))</f>
        <v>0</v>
      </c>
      <c r="H133" s="364">
        <v>188.32999999999998</v>
      </c>
      <c r="I133" s="364">
        <f t="shared" si="3"/>
        <v>0</v>
      </c>
      <c r="K133">
        <f>_xll.RDP.Data(A133,"TR.WACCBeta")</f>
        <v>2.3296568901258001</v>
      </c>
    </row>
    <row r="134" spans="1:11">
      <c r="A134" s="182" t="s">
        <v>278</v>
      </c>
      <c r="B134" cm="1">
        <f t="array" ref="B134">_xll.RDP.Data(A134,"CF_BID")</f>
        <v>201.29</v>
      </c>
      <c r="C134" cm="1">
        <f t="array" ref="C134">_xll.RDP.Data(A134,"CF_ASK")</f>
        <v>201.59</v>
      </c>
      <c r="D134" s="623">
        <f t="shared" si="4"/>
        <v>201.44</v>
      </c>
      <c r="E134" s="356">
        <v>0</v>
      </c>
      <c r="F134" s="356">
        <v>0</v>
      </c>
      <c r="G134" s="356">
        <f>IF('ppal B'!$I$11=0,0,IF('ppal B'!$I$11&gt;0,E134*'ppal B'!$I$11*100,F134*'ppal B'!$I$11*100))</f>
        <v>0</v>
      </c>
      <c r="H134" s="364">
        <v>199.61</v>
      </c>
      <c r="I134" s="364">
        <f t="shared" si="3"/>
        <v>0</v>
      </c>
      <c r="K134">
        <f>_xll.RDP.Data(A134,"TR.WACCBeta")</f>
        <v>0.97355963830039904</v>
      </c>
    </row>
    <row r="135" spans="1:11">
      <c r="A135" s="182"/>
      <c r="B135" t="str" cm="1">
        <f t="array" ref="B135">_xll.RDP.Data(A135,"CF_BID")</f>
        <v>No universe defined.</v>
      </c>
      <c r="C135" t="str" cm="1">
        <f t="array" ref="C135">_xll.RDP.Data(A135,"CF_ASK")</f>
        <v>No universe defined.</v>
      </c>
      <c r="D135" s="623" t="e">
        <f t="shared" si="4"/>
        <v>#VALUE!</v>
      </c>
      <c r="E135" s="356">
        <v>0</v>
      </c>
      <c r="F135" s="356">
        <v>0</v>
      </c>
      <c r="G135" s="356">
        <f>IF('ppal B'!$I$11=0,0,IF('ppal B'!$I$11&gt;0,E135*'ppal B'!$I$11*100,F135*'ppal B'!$I$11*100))</f>
        <v>0</v>
      </c>
      <c r="H135" s="364" t="e">
        <v>#VALUE!</v>
      </c>
      <c r="I135" s="364" t="e">
        <f t="shared" ref="I135:I184" si="5">E135*(1+H135)</f>
        <v>#VALUE!</v>
      </c>
      <c r="K135" t="str">
        <f>_xll.RDP.Data(A135,"TR.WACCBeta")</f>
        <v>No universe defined.</v>
      </c>
    </row>
    <row r="136" spans="1:11">
      <c r="A136" s="182"/>
      <c r="B136" t="str" cm="1">
        <f t="array" ref="B136">_xll.RDP.Data(A136,"CF_BID")</f>
        <v>No universe defined.</v>
      </c>
      <c r="C136" t="str" cm="1">
        <f t="array" ref="C136">_xll.RDP.Data(A136,"CF_ASK")</f>
        <v>No universe defined.</v>
      </c>
      <c r="D136" s="623" t="e">
        <f t="shared" si="4"/>
        <v>#VALUE!</v>
      </c>
      <c r="E136" s="356">
        <v>0</v>
      </c>
      <c r="F136" s="356">
        <v>0</v>
      </c>
      <c r="G136" s="356">
        <f>IF('ppal B'!$I$11=0,0,IF('ppal B'!$I$11&gt;0,E136*'ppal B'!$I$11*100,F136*'ppal B'!$I$11*100))</f>
        <v>0</v>
      </c>
      <c r="H136" s="364" t="e">
        <v>#VALUE!</v>
      </c>
      <c r="I136" s="364" t="e">
        <f t="shared" si="5"/>
        <v>#VALUE!</v>
      </c>
      <c r="K136" t="str">
        <f>_xll.RDP.Data(A136,"TR.WACCBeta")</f>
        <v>No universe defined.</v>
      </c>
    </row>
    <row r="137" spans="1:11">
      <c r="A137" s="182"/>
      <c r="B137" t="str" cm="1">
        <f t="array" ref="B137">_xll.RDP.Data(A137,"CF_BID")</f>
        <v>No universe defined.</v>
      </c>
      <c r="C137" t="str" cm="1">
        <f t="array" ref="C137">_xll.RDP.Data(A137,"CF_ASK")</f>
        <v>No universe defined.</v>
      </c>
      <c r="D137" s="623" t="e">
        <f t="shared" si="4"/>
        <v>#VALUE!</v>
      </c>
      <c r="E137" s="356">
        <v>0</v>
      </c>
      <c r="F137" s="356">
        <v>0</v>
      </c>
      <c r="G137" s="356">
        <f>IF('ppal B'!$I$11=0,0,IF('ppal B'!$I$11&gt;0,E137*'ppal B'!$I$11*100,F137*'ppal B'!$I$11*100))</f>
        <v>0</v>
      </c>
      <c r="H137" s="364" t="e">
        <v>#VALUE!</v>
      </c>
      <c r="I137" s="364" t="e">
        <f t="shared" si="5"/>
        <v>#VALUE!</v>
      </c>
      <c r="K137" t="str">
        <f>_xll.RDP.Data(A137,"TR.WACCBeta")</f>
        <v>No universe defined.</v>
      </c>
    </row>
    <row r="138" spans="1:11">
      <c r="A138" s="182" t="s">
        <v>281</v>
      </c>
      <c r="B138" cm="1">
        <f t="array" ref="B138">_xll.RDP.Data(A138,"CF_BID")</f>
        <v>81.39</v>
      </c>
      <c r="C138" cm="1">
        <f t="array" ref="C138">_xll.RDP.Data(A138,"CF_ASK")</f>
        <v>81.400000000000006</v>
      </c>
      <c r="D138" s="623">
        <f t="shared" si="4"/>
        <v>81.39500000000001</v>
      </c>
      <c r="E138" s="356">
        <v>0</v>
      </c>
      <c r="F138" s="356">
        <v>0</v>
      </c>
      <c r="G138" s="356">
        <f>IF('ppal B'!$I$11=0,0,IF('ppal B'!$I$11&gt;0,E138*'ppal B'!$I$11*100,F138*'ppal B'!$I$11*100))</f>
        <v>0</v>
      </c>
      <c r="H138" s="364">
        <v>81.64500000000001</v>
      </c>
      <c r="I138" s="364">
        <f t="shared" si="5"/>
        <v>0</v>
      </c>
      <c r="K138" t="str">
        <f>_xll.RDP.Data(A138,"TR.WACCBeta")</f>
        <v>NULL</v>
      </c>
    </row>
    <row r="139" spans="1:11">
      <c r="A139" s="182" t="s">
        <v>559</v>
      </c>
      <c r="B139" t="str" cm="1">
        <f t="array" ref="B139">_xll.RDP.Data(A139,"CF_BID")</f>
        <v>The record could not be found (Error code: 0)</v>
      </c>
      <c r="C139" t="str" cm="1">
        <f t="array" ref="C139">_xll.RDP.Data(A139,"CF_ASK")</f>
        <v>The record could not be found (Error code: 0)</v>
      </c>
      <c r="D139" s="623" t="e">
        <f t="shared" si="4"/>
        <v>#VALUE!</v>
      </c>
      <c r="E139" s="356">
        <v>0</v>
      </c>
      <c r="F139" s="356">
        <v>0</v>
      </c>
      <c r="G139" s="356">
        <f>IF('ppal B'!$I$11=0,0,IF('ppal B'!$I$11&gt;0,E139*'ppal B'!$I$11*100,F139*'ppal B'!$I$11*100))</f>
        <v>0</v>
      </c>
      <c r="H139" s="364" t="e">
        <v>#VALUE!</v>
      </c>
      <c r="I139" s="364" t="e">
        <f t="shared" si="5"/>
        <v>#VALUE!</v>
      </c>
      <c r="K139">
        <f>_xll.RDP.Data(A139,"TR.WACCBeta")</f>
        <v>1.8145758552806599</v>
      </c>
    </row>
    <row r="140" spans="1:11">
      <c r="A140" s="182" t="s">
        <v>205</v>
      </c>
      <c r="B140" cm="1">
        <f t="array" ref="B140">_xll.RDP.Data(A140,"CF_BID")</f>
        <v>0.64480000000000004</v>
      </c>
      <c r="C140" cm="1">
        <f t="array" ref="C140">_xll.RDP.Data(A140,"CF_ASK")</f>
        <v>0.64490000000000003</v>
      </c>
      <c r="D140" s="623">
        <f t="shared" si="4"/>
        <v>0.64485000000000003</v>
      </c>
      <c r="E140" s="356">
        <v>0</v>
      </c>
      <c r="F140" s="356">
        <v>0</v>
      </c>
      <c r="G140" s="356">
        <f>IF('ppal B'!$I$11=0,0,IF('ppal B'!$I$11&gt;0,E140*'ppal B'!$I$11*100,F140*'ppal B'!$I$11*100))</f>
        <v>0</v>
      </c>
      <c r="H140" s="364">
        <v>0.6472</v>
      </c>
      <c r="I140" s="364">
        <f t="shared" si="5"/>
        <v>0</v>
      </c>
      <c r="K140">
        <f>_xll.RDP.Data(A140,"TR.WACCBeta")</f>
        <v>2.6372875218064502</v>
      </c>
    </row>
    <row r="141" spans="1:11">
      <c r="A141" s="182" t="s">
        <v>282</v>
      </c>
      <c r="B141" cm="1">
        <f t="array" ref="B141">_xll.RDP.Data(A141,"CF_BID")</f>
        <v>139.88</v>
      </c>
      <c r="C141" cm="1">
        <f t="array" ref="C141">_xll.RDP.Data(A141,"CF_ASK")</f>
        <v>139.91999999999999</v>
      </c>
      <c r="D141" s="623">
        <f t="shared" si="4"/>
        <v>139.89999999999998</v>
      </c>
      <c r="E141" s="356">
        <v>0</v>
      </c>
      <c r="F141" s="356">
        <v>0</v>
      </c>
      <c r="G141" s="356">
        <f>IF('ppal B'!$I$11=0,0,IF('ppal B'!$I$11&gt;0,E141*'ppal B'!$I$11*100,F141*'ppal B'!$I$11*100))</f>
        <v>0</v>
      </c>
      <c r="H141" s="364">
        <v>136.94</v>
      </c>
      <c r="I141" s="364">
        <f t="shared" si="5"/>
        <v>0</v>
      </c>
      <c r="K141" t="str">
        <f>_xll.RDP.Data(A141,"TR.WACCBeta")</f>
        <v>NULL</v>
      </c>
    </row>
    <row r="142" spans="1:11">
      <c r="A142" s="182" t="s">
        <v>283</v>
      </c>
      <c r="B142" cm="1">
        <f t="array" ref="B142">_xll.RDP.Data(A142,"CF_BID")</f>
        <v>77.88</v>
      </c>
      <c r="C142" cm="1">
        <f t="array" ref="C142">_xll.RDP.Data(A142,"CF_ASK")</f>
        <v>77.89</v>
      </c>
      <c r="D142" s="623">
        <f t="shared" si="4"/>
        <v>77.884999999999991</v>
      </c>
      <c r="E142" s="356">
        <v>0</v>
      </c>
      <c r="F142" s="356">
        <v>0</v>
      </c>
      <c r="G142" s="356">
        <f>IF('ppal B'!$I$11=0,0,IF('ppal B'!$I$11&gt;0,E142*'ppal B'!$I$11*100,F142*'ppal B'!$I$11*100))</f>
        <v>0</v>
      </c>
      <c r="H142" s="364">
        <v>77.295000000000002</v>
      </c>
      <c r="I142" s="364">
        <f t="shared" si="5"/>
        <v>0</v>
      </c>
      <c r="K142" t="str">
        <f>_xll.RDP.Data(A142,"TR.WACCBeta")</f>
        <v>NULL</v>
      </c>
    </row>
    <row r="143" spans="1:11">
      <c r="A143" s="182"/>
      <c r="B143" t="str" cm="1">
        <f t="array" ref="B143">_xll.RDP.Data(A143,"CF_BID")</f>
        <v>No universe defined.</v>
      </c>
      <c r="C143" t="str" cm="1">
        <f t="array" ref="C143">_xll.RDP.Data(A143,"CF_ASK")</f>
        <v>No universe defined.</v>
      </c>
      <c r="D143" s="623" t="e">
        <f t="shared" si="4"/>
        <v>#VALUE!</v>
      </c>
      <c r="E143" s="356">
        <v>0</v>
      </c>
      <c r="F143" s="356">
        <v>0</v>
      </c>
      <c r="G143" s="356">
        <f>IF('ppal B'!$I$11=0,0,IF('ppal B'!$I$11&gt;0,E143*'ppal B'!$I$11*100,F143*'ppal B'!$I$11*100))</f>
        <v>0</v>
      </c>
      <c r="H143" s="364" t="e">
        <v>#VALUE!</v>
      </c>
      <c r="I143" s="364" t="e">
        <f t="shared" si="5"/>
        <v>#VALUE!</v>
      </c>
      <c r="K143" t="str">
        <f>_xll.RDP.Data(A143,"TR.WACCBeta")</f>
        <v>No universe defined.</v>
      </c>
    </row>
    <row r="144" spans="1:11">
      <c r="A144" s="182" t="s">
        <v>289</v>
      </c>
      <c r="B144" cm="1">
        <f t="array" ref="B144">_xll.RDP.Data(A144,"CF_BID")</f>
        <v>16.100000000000001</v>
      </c>
      <c r="C144" cm="1">
        <f t="array" ref="C144">_xll.RDP.Data(A144,"CF_ASK")</f>
        <v>16.11</v>
      </c>
      <c r="D144" s="623">
        <f t="shared" si="4"/>
        <v>16.105</v>
      </c>
      <c r="E144" s="356">
        <v>0</v>
      </c>
      <c r="F144" s="356">
        <v>0</v>
      </c>
      <c r="G144" s="356">
        <f>IF('ppal B'!$I$11=0,0,IF('ppal B'!$I$11&gt;0,E144*'ppal B'!$I$11*100,F144*'ppal B'!$I$11*100))</f>
        <v>0</v>
      </c>
      <c r="H144" s="364">
        <v>16.055</v>
      </c>
      <c r="I144" s="364">
        <f t="shared" si="5"/>
        <v>0</v>
      </c>
      <c r="K144" t="str">
        <f>_xll.RDP.Data(A144,"TR.WACCBeta")</f>
        <v>NULL</v>
      </c>
    </row>
    <row r="145" spans="1:11">
      <c r="A145" s="182" t="s">
        <v>285</v>
      </c>
      <c r="B145" cm="1">
        <f t="array" ref="B145">_xll.RDP.Data(A145,"CF_BID")</f>
        <v>28.62</v>
      </c>
      <c r="C145" cm="1">
        <f t="array" ref="C145">_xll.RDP.Data(A145,"CF_ASK")</f>
        <v>28.63</v>
      </c>
      <c r="D145" s="623">
        <f t="shared" si="4"/>
        <v>28.625</v>
      </c>
      <c r="E145" s="356">
        <v>0</v>
      </c>
      <c r="F145" s="356">
        <v>0</v>
      </c>
      <c r="G145" s="356">
        <f>IF('ppal B'!$I$11=0,0,IF('ppal B'!$I$11&gt;0,E145*'ppal B'!$I$11*100,F145*'ppal B'!$I$11*100))</f>
        <v>0</v>
      </c>
      <c r="H145" s="364">
        <v>28.585000000000001</v>
      </c>
      <c r="I145" s="364">
        <f t="shared" si="5"/>
        <v>0</v>
      </c>
      <c r="K145" t="str">
        <f>_xll.RDP.Data(A145,"TR.WACCBeta")</f>
        <v>NULL</v>
      </c>
    </row>
    <row r="146" spans="1:11">
      <c r="A146" t="s">
        <v>286</v>
      </c>
      <c r="B146" cm="1">
        <f t="array" ref="B146">_xll.RDP.Data(A146,"CF_BID")</f>
        <v>29.13</v>
      </c>
      <c r="C146" cm="1">
        <f t="array" ref="C146">_xll.RDP.Data(A146,"CF_ASK")</f>
        <v>29.14</v>
      </c>
      <c r="D146" s="623">
        <f t="shared" si="4"/>
        <v>29.134999999999998</v>
      </c>
      <c r="E146" s="356">
        <v>0</v>
      </c>
      <c r="F146" s="356">
        <v>0</v>
      </c>
      <c r="G146" s="356">
        <f>IF('ppal B'!$I$11=0,0,IF('ppal B'!$I$11&gt;0,E146*'ppal B'!$I$11*100,F146*'ppal B'!$I$11*100))</f>
        <v>0</v>
      </c>
      <c r="H146" s="364">
        <v>28.925000000000001</v>
      </c>
      <c r="I146" s="364">
        <f t="shared" si="5"/>
        <v>0</v>
      </c>
      <c r="K146" t="str">
        <f>_xll.RDP.Data(A146,"TR.WACCBeta")</f>
        <v>NULL</v>
      </c>
    </row>
    <row r="147" spans="1:11">
      <c r="A147" t="s">
        <v>151</v>
      </c>
      <c r="B147" cm="1">
        <f t="array" ref="B147">_xll.RDP.Data(A147,"CF_BID")</f>
        <v>18.260000000000002</v>
      </c>
      <c r="C147" cm="1">
        <f t="array" ref="C147">_xll.RDP.Data(A147,"CF_ASK")</f>
        <v>18.27</v>
      </c>
      <c r="D147" s="623">
        <f t="shared" si="4"/>
        <v>18.265000000000001</v>
      </c>
      <c r="E147" s="356">
        <v>0</v>
      </c>
      <c r="F147" s="356">
        <v>0</v>
      </c>
      <c r="G147" s="356">
        <f>IF('ppal B'!$I$11=0,0,IF('ppal B'!$I$11&gt;0,E147*'ppal B'!$I$11*100,F147*'ppal B'!$I$11*100))</f>
        <v>0</v>
      </c>
      <c r="H147" s="364">
        <v>18.255000000000003</v>
      </c>
      <c r="I147" s="364">
        <f t="shared" si="5"/>
        <v>0</v>
      </c>
      <c r="K147" t="str">
        <f>_xll.RDP.Data(A147,"TR.WACCBeta")</f>
        <v>NULL</v>
      </c>
    </row>
    <row r="148" spans="1:11">
      <c r="A148" t="s">
        <v>287</v>
      </c>
      <c r="B148" cm="1">
        <f t="array" ref="B148">_xll.RDP.Data(A148,"CF_BID")</f>
        <v>71.989999999999995</v>
      </c>
      <c r="C148" cm="1">
        <f t="array" ref="C148">_xll.RDP.Data(A148,"CF_ASK")</f>
        <v>72.09</v>
      </c>
      <c r="D148" s="623">
        <f t="shared" si="4"/>
        <v>72.039999999999992</v>
      </c>
      <c r="E148" s="356">
        <v>0</v>
      </c>
      <c r="F148" s="356">
        <v>0</v>
      </c>
      <c r="G148" s="356">
        <f>IF('ppal B'!$I$11=0,0,IF('ppal B'!$I$11&gt;0,E148*'ppal B'!$I$11*100,F148*'ppal B'!$I$11*100))</f>
        <v>0</v>
      </c>
      <c r="H148" s="364">
        <v>71.704999999999998</v>
      </c>
      <c r="I148" s="364">
        <f t="shared" si="5"/>
        <v>0</v>
      </c>
      <c r="K148" t="str">
        <f>_xll.RDP.Data(A148,"TR.WACCBeta")</f>
        <v>NULL</v>
      </c>
    </row>
    <row r="149" spans="1:11">
      <c r="A149" t="s">
        <v>284</v>
      </c>
      <c r="B149" cm="1">
        <f t="array" ref="B149">_xll.RDP.Data(A149,"CF_BID")</f>
        <v>172.84</v>
      </c>
      <c r="C149" cm="1">
        <f t="array" ref="C149">_xll.RDP.Data(A149,"CF_ASK")</f>
        <v>172.92</v>
      </c>
      <c r="D149" s="623">
        <f t="shared" si="4"/>
        <v>172.88</v>
      </c>
      <c r="E149" s="356">
        <v>0</v>
      </c>
      <c r="F149" s="356">
        <v>0</v>
      </c>
      <c r="G149" s="356">
        <f>IF('ppal B'!$I$11=0,0,IF('ppal B'!$I$11&gt;0,E149*'ppal B'!$I$11*100,F149*'ppal B'!$I$11*100))</f>
        <v>0</v>
      </c>
      <c r="H149" s="364">
        <v>171.06</v>
      </c>
      <c r="I149" s="364">
        <f t="shared" si="5"/>
        <v>0</v>
      </c>
      <c r="K149">
        <f>_xll.RDP.Data(A149,"TR.WACCBeta")</f>
        <v>1.2248123372128401</v>
      </c>
    </row>
    <row r="150" spans="1:11">
      <c r="A150" t="s">
        <v>290</v>
      </c>
      <c r="B150" cm="1">
        <f t="array" ref="B150">_xll.RDP.Data(A150,"CF_BID")</f>
        <v>5.23</v>
      </c>
      <c r="C150" cm="1">
        <f t="array" ref="C150">_xll.RDP.Data(A150,"CF_ASK")</f>
        <v>5.24</v>
      </c>
      <c r="D150" s="623">
        <f t="shared" si="4"/>
        <v>5.2350000000000003</v>
      </c>
      <c r="E150" s="356">
        <v>0</v>
      </c>
      <c r="F150" s="356">
        <v>0</v>
      </c>
      <c r="G150" s="356">
        <f>IF('ppal B'!$I$11=0,0,IF('ppal B'!$I$11&gt;0,E150*'ppal B'!$I$11*100,F150*'ppal B'!$I$11*100))</f>
        <v>0</v>
      </c>
      <c r="H150" s="364">
        <v>5.0649999999999995</v>
      </c>
      <c r="I150" s="364">
        <f t="shared" si="5"/>
        <v>0</v>
      </c>
      <c r="K150">
        <f>_xll.RDP.Data(A150,"TR.WACCBeta")</f>
        <v>2.0861052142554302</v>
      </c>
    </row>
    <row r="151" spans="1:11">
      <c r="A151" s="182" t="s">
        <v>556</v>
      </c>
      <c r="B151" cm="1">
        <f t="array" ref="B151">_xll.RDP.Data(A151,"CF_BID")</f>
        <v>133.31</v>
      </c>
      <c r="C151" cm="1">
        <f t="array" ref="C151">_xll.RDP.Data(A151,"CF_ASK")</f>
        <v>133.34</v>
      </c>
      <c r="D151" s="623">
        <f t="shared" si="4"/>
        <v>133.32499999999999</v>
      </c>
      <c r="E151" s="356">
        <v>0</v>
      </c>
      <c r="F151" s="356">
        <v>0</v>
      </c>
      <c r="G151" s="356">
        <f>IF('ppal B'!$I$11=0,0,IF('ppal B'!$I$11&gt;0,E151*'ppal B'!$I$11*100,F151*'ppal B'!$I$11*100))</f>
        <v>0</v>
      </c>
      <c r="H151" s="364">
        <v>132.23000000000002</v>
      </c>
      <c r="I151" s="364">
        <f t="shared" si="5"/>
        <v>0</v>
      </c>
      <c r="K151">
        <f>_xll.RDP.Data(A151,"TR.WACCBeta")</f>
        <v>1.6527614752387301</v>
      </c>
    </row>
    <row r="152" spans="1:11">
      <c r="A152" s="620" t="s">
        <v>301</v>
      </c>
      <c r="B152" cm="1">
        <f t="array" ref="B152">_xll.RDP.Data(A152,"CF_BID")</f>
        <v>81.77</v>
      </c>
      <c r="C152" cm="1">
        <f t="array" ref="C152">_xll.RDP.Data(A152,"CF_ASK")</f>
        <v>81.78</v>
      </c>
      <c r="D152" s="623">
        <f t="shared" si="4"/>
        <v>81.775000000000006</v>
      </c>
      <c r="E152" s="356">
        <v>0</v>
      </c>
      <c r="F152" s="356">
        <v>0</v>
      </c>
      <c r="G152" s="356">
        <f>IF('ppal B'!$I$11=0,0,IF('ppal B'!$I$11&gt;0,E152*'ppal B'!$I$11*100,F152*'ppal B'!$I$11*100))</f>
        <v>0</v>
      </c>
      <c r="H152" s="364">
        <v>81.615000000000009</v>
      </c>
      <c r="I152" s="364">
        <f t="shared" si="5"/>
        <v>0</v>
      </c>
      <c r="K152">
        <f>_xll.RDP.Data(A152,"TR.WACCBeta")</f>
        <v>0.84909726215678605</v>
      </c>
    </row>
    <row r="153" spans="1:11">
      <c r="A153" s="621"/>
      <c r="B153" t="str" cm="1">
        <f t="array" ref="B153">_xll.RDP.Data(A153,"CF_BID")</f>
        <v>No universe defined.</v>
      </c>
      <c r="C153" t="str" cm="1">
        <f t="array" ref="C153">_xll.RDP.Data(A153,"CF_ASK")</f>
        <v>No universe defined.</v>
      </c>
      <c r="D153" s="623" t="e">
        <f t="shared" si="4"/>
        <v>#VALUE!</v>
      </c>
      <c r="E153" s="356">
        <v>0</v>
      </c>
      <c r="F153" s="356">
        <v>0</v>
      </c>
      <c r="G153" s="356">
        <f>IF('ppal B'!$I$11=0,0,IF('ppal B'!$I$11&gt;0,E153*'ppal B'!$I$11*100,F153*'ppal B'!$I$11*100))</f>
        <v>0</v>
      </c>
      <c r="H153" s="364" t="e">
        <v>#VALUE!</v>
      </c>
      <c r="I153" s="364" t="e">
        <f t="shared" si="5"/>
        <v>#VALUE!</v>
      </c>
      <c r="K153" t="str">
        <f>_xll.RDP.Data(A153,"TR.WACCBeta")</f>
        <v>No universe defined.</v>
      </c>
    </row>
    <row r="154" spans="1:11">
      <c r="A154" s="357" t="s">
        <v>303</v>
      </c>
      <c r="B154" cm="1">
        <f t="array" ref="B154">_xll.RDP.Data(A154,"CF_BID")</f>
        <v>613.9</v>
      </c>
      <c r="C154" cm="1">
        <f t="array" ref="C154">_xll.RDP.Data(A154,"CF_ASK")</f>
        <v>613.91999999999996</v>
      </c>
      <c r="D154" s="623">
        <f t="shared" si="4"/>
        <v>613.91</v>
      </c>
      <c r="E154" s="356">
        <v>1.18E-2</v>
      </c>
      <c r="F154" s="356">
        <v>1.18E-2</v>
      </c>
      <c r="G154" s="356">
        <f>IF('ppal B'!$I$11=0,0,IF('ppal B'!$I$11&gt;0,E154*'ppal B'!$I$11*100,F154*'ppal B'!$I$11*100))</f>
        <v>0</v>
      </c>
      <c r="H154" s="364">
        <v>611.13499999999999</v>
      </c>
      <c r="I154" s="364">
        <f t="shared" si="5"/>
        <v>7.2231929999999993</v>
      </c>
      <c r="K154" t="str">
        <f>_xll.RDP.Data(A154,"TR.WACCBeta")</f>
        <v>NULL</v>
      </c>
    </row>
    <row r="155" spans="1:11">
      <c r="A155" s="182" t="s">
        <v>309</v>
      </c>
      <c r="B155" cm="1">
        <f t="array" ref="B155">_xll.RDP.Data(A155,"CF_BID")</f>
        <v>68.08</v>
      </c>
      <c r="C155" cm="1">
        <f t="array" ref="C155">_xll.RDP.Data(A155,"CF_ASK")</f>
        <v>68.09</v>
      </c>
      <c r="D155" s="623">
        <f t="shared" si="4"/>
        <v>68.085000000000008</v>
      </c>
      <c r="E155" s="356">
        <v>0</v>
      </c>
      <c r="F155" s="356">
        <v>0</v>
      </c>
      <c r="G155" s="356">
        <f>IF('ppal B'!$I$11=0,0,IF('ppal B'!$I$11&gt;0,E155*'ppal B'!$I$11*100,F155*'ppal B'!$I$11*100))</f>
        <v>0</v>
      </c>
      <c r="H155" s="364">
        <v>66.954999999999998</v>
      </c>
      <c r="I155" s="364">
        <f t="shared" si="5"/>
        <v>0</v>
      </c>
      <c r="K155" t="str">
        <f>_xll.RDP.Data(A155,"TR.WACCBeta")</f>
        <v>NULL</v>
      </c>
    </row>
    <row r="156" spans="1:11">
      <c r="A156" s="357" t="s">
        <v>638</v>
      </c>
      <c r="B156" cm="1">
        <f t="array" ref="B156">_xll.RDP.Data(A156,"CF_BID")</f>
        <v>70.95</v>
      </c>
      <c r="C156" cm="1">
        <f t="array" ref="C156">_xll.RDP.Data(A156,"CF_ASK")</f>
        <v>70.989999999999995</v>
      </c>
      <c r="D156" s="623">
        <f t="shared" si="4"/>
        <v>70.97</v>
      </c>
      <c r="E156" s="356">
        <v>0</v>
      </c>
      <c r="F156" s="356">
        <v>0</v>
      </c>
      <c r="G156" s="356">
        <f>IF('ppal B'!$I$11=0,0,IF('ppal B'!$I$11&gt;0,E156*'ppal B'!$I$11*100,F156*'ppal B'!$I$11*100))</f>
        <v>0</v>
      </c>
      <c r="H156" s="364">
        <v>70.289999999999992</v>
      </c>
      <c r="I156" s="364">
        <f t="shared" si="5"/>
        <v>0</v>
      </c>
      <c r="K156">
        <f>_xll.RDP.Data(A156,"TR.WACCBeta")</f>
        <v>2.2854783678172601</v>
      </c>
    </row>
    <row r="157" spans="1:11">
      <c r="A157" s="357" t="s">
        <v>310</v>
      </c>
      <c r="B157" cm="1">
        <f t="array" ref="B157">_xll.RDP.Data(A157,"CF_BID")</f>
        <v>19.760000000000002</v>
      </c>
      <c r="C157" cm="1">
        <f t="array" ref="C157">_xll.RDP.Data(A157,"CF_ASK")</f>
        <v>19.78</v>
      </c>
      <c r="D157" s="623">
        <f t="shared" si="4"/>
        <v>19.770000000000003</v>
      </c>
      <c r="E157" s="356">
        <v>0</v>
      </c>
      <c r="F157" s="356">
        <v>0</v>
      </c>
      <c r="G157" s="356">
        <f>IF('ppal B'!$I$11=0,0,IF('ppal B'!$I$11&gt;0,E157*'ppal B'!$I$11*100,F157*'ppal B'!$I$11*100))</f>
        <v>0</v>
      </c>
      <c r="H157" s="364">
        <v>19.450000000000003</v>
      </c>
      <c r="I157" s="364">
        <f t="shared" si="5"/>
        <v>0</v>
      </c>
      <c r="K157" t="str">
        <f>_xll.RDP.Data(A157,"TR.WACCBeta")</f>
        <v>NULL</v>
      </c>
    </row>
    <row r="158" spans="1:11">
      <c r="A158" s="182" t="s">
        <v>311</v>
      </c>
      <c r="B158" cm="1">
        <f t="array" ref="B158">_xll.RDP.Data(A158,"CF_BID")</f>
        <v>36.71</v>
      </c>
      <c r="C158" cm="1">
        <f t="array" ref="C158">_xll.RDP.Data(A158,"CF_ASK")</f>
        <v>36.729999999999997</v>
      </c>
      <c r="D158" s="623">
        <f t="shared" si="4"/>
        <v>36.72</v>
      </c>
      <c r="E158" s="356">
        <v>0</v>
      </c>
      <c r="F158" s="356">
        <v>0</v>
      </c>
      <c r="G158" s="356">
        <f>IF('ppal B'!$I$11=0,0,IF('ppal B'!$I$11&gt;0,E158*'ppal B'!$I$11*100,F158*'ppal B'!$I$11*100))</f>
        <v>0</v>
      </c>
      <c r="H158" s="364">
        <v>36.335000000000001</v>
      </c>
      <c r="I158" s="364">
        <f t="shared" si="5"/>
        <v>0</v>
      </c>
      <c r="K158" t="str">
        <f>_xll.RDP.Data(A158,"TR.WACCBeta")</f>
        <v>NULL</v>
      </c>
    </row>
    <row r="159" spans="1:11">
      <c r="A159" t="s">
        <v>316</v>
      </c>
      <c r="B159" cm="1">
        <f t="array" ref="B159">_xll.RDP.Data(A159,"CF_BID")</f>
        <v>479.33</v>
      </c>
      <c r="C159" cm="1">
        <f t="array" ref="C159">_xll.RDP.Data(A159,"CF_ASK")</f>
        <v>479.37</v>
      </c>
      <c r="D159" s="623">
        <f t="shared" si="4"/>
        <v>479.35</v>
      </c>
      <c r="E159" s="356">
        <v>0</v>
      </c>
      <c r="F159" s="356">
        <v>0</v>
      </c>
      <c r="G159" s="356">
        <f>IF('ppal B'!$I$11=0,0,IF('ppal B'!$I$11&gt;0,E159*'ppal B'!$I$11*100,F159*'ppal B'!$I$11*100))</f>
        <v>0</v>
      </c>
      <c r="H159" s="364">
        <v>477</v>
      </c>
      <c r="I159" s="364">
        <f t="shared" si="5"/>
        <v>0</v>
      </c>
      <c r="K159" t="str">
        <f>_xll.RDP.Data(A159,"TR.WACCBeta")</f>
        <v>NULL</v>
      </c>
    </row>
    <row r="160" spans="1:11">
      <c r="A160" t="s">
        <v>323</v>
      </c>
      <c r="B160" cm="1">
        <f t="array" ref="B160">_xll.RDP.Data(A160,"CF_BID")</f>
        <v>58.55</v>
      </c>
      <c r="C160" cm="1">
        <f t="array" ref="C160">_xll.RDP.Data(A160,"CF_ASK")</f>
        <v>58.7</v>
      </c>
      <c r="D160" s="623">
        <f t="shared" si="4"/>
        <v>58.625</v>
      </c>
      <c r="E160" s="356">
        <v>0</v>
      </c>
      <c r="F160" s="356">
        <v>0</v>
      </c>
      <c r="G160" s="356">
        <f>IF('ppal B'!$I$11=0,0,IF('ppal B'!$I$11&gt;0,E160*'ppal B'!$I$11*100,F160*'ppal B'!$I$11*100))</f>
        <v>0</v>
      </c>
      <c r="H160" s="364">
        <v>57.954999999999998</v>
      </c>
      <c r="I160" s="364">
        <f t="shared" si="5"/>
        <v>0</v>
      </c>
      <c r="K160">
        <f>_xll.RDP.Data(A160,"TR.WACCBeta")</f>
        <v>1.6205864980264</v>
      </c>
    </row>
    <row r="161" spans="1:11">
      <c r="A161" s="619" t="s">
        <v>317</v>
      </c>
      <c r="B161" cm="1">
        <f t="array" ref="B161">_xll.RDP.Data(A161,"CF_BID")</f>
        <v>311.17</v>
      </c>
      <c r="C161" cm="1">
        <f t="array" ref="C161">_xll.RDP.Data(A161,"CF_ASK")</f>
        <v>311.25</v>
      </c>
      <c r="D161" s="623">
        <f t="shared" si="4"/>
        <v>311.21000000000004</v>
      </c>
      <c r="E161" s="356">
        <v>1.21E-2</v>
      </c>
      <c r="F161" s="356">
        <v>1.21E-2</v>
      </c>
      <c r="G161" s="356">
        <f>IF('ppal B'!$I$11=0,0,IF('ppal B'!$I$11&gt;0,E161*'ppal B'!$I$11*100,F161*'ppal B'!$I$11*100))</f>
        <v>0</v>
      </c>
      <c r="H161" s="364">
        <v>308.36500000000001</v>
      </c>
      <c r="I161" s="364">
        <f t="shared" si="5"/>
        <v>3.7433165000000002</v>
      </c>
      <c r="K161">
        <f>_xll.RDP.Data(A161,"TR.WACCBeta")</f>
        <v>1.06183047492534</v>
      </c>
    </row>
    <row r="162" spans="1:11">
      <c r="A162" s="619" t="s">
        <v>318</v>
      </c>
      <c r="B162" cm="1">
        <f t="array" ref="B162">_xll.RDP.Data(A162,"CF_BID")</f>
        <v>125.27</v>
      </c>
      <c r="C162" cm="1">
        <f t="array" ref="C162">_xll.RDP.Data(A162,"CF_ASK")</f>
        <v>125.29</v>
      </c>
      <c r="D162" s="623">
        <f t="shared" si="4"/>
        <v>125.28</v>
      </c>
      <c r="E162" s="356">
        <v>1.21E-2</v>
      </c>
      <c r="F162" s="356">
        <v>1.21E-2</v>
      </c>
      <c r="G162" s="356">
        <f>IF('ppal B'!$I$11=0,0,IF('ppal B'!$I$11&gt;0,E162*'ppal B'!$I$11*100,F162*'ppal B'!$I$11*100))</f>
        <v>0</v>
      </c>
      <c r="H162" s="364">
        <v>123.82499999999999</v>
      </c>
      <c r="I162" s="364">
        <f t="shared" si="5"/>
        <v>1.5103824999999997</v>
      </c>
      <c r="K162">
        <f>_xll.RDP.Data(A162,"TR.WACCBeta")</f>
        <v>1.12968511061119</v>
      </c>
    </row>
    <row r="163" spans="1:11">
      <c r="A163" s="619" t="s">
        <v>319</v>
      </c>
      <c r="B163" cm="1">
        <f t="array" ref="B163">_xll.RDP.Data(A163,"CF_BID")</f>
        <v>318.83999999999997</v>
      </c>
      <c r="C163" cm="1">
        <f t="array" ref="C163">_xll.RDP.Data(A163,"CF_ASK")</f>
        <v>318.97000000000003</v>
      </c>
      <c r="D163" s="623">
        <f t="shared" si="4"/>
        <v>318.90499999999997</v>
      </c>
      <c r="E163" s="356">
        <v>0</v>
      </c>
      <c r="F163" s="356">
        <v>0</v>
      </c>
      <c r="G163" s="356">
        <f>IF('ppal B'!$I$11=0,0,IF('ppal B'!$I$11&gt;0,E163*'ppal B'!$I$11*100,F163*'ppal B'!$I$11*100))</f>
        <v>0</v>
      </c>
      <c r="H163" s="364">
        <v>315.69</v>
      </c>
      <c r="I163" s="364">
        <f t="shared" si="5"/>
        <v>0</v>
      </c>
      <c r="K163">
        <f>_xll.RDP.Data(A163,"TR.WACCBeta")</f>
        <v>1.1195334720714201</v>
      </c>
    </row>
    <row r="164" spans="1:11">
      <c r="A164" s="619" t="s">
        <v>320</v>
      </c>
      <c r="B164" cm="1">
        <f t="array" ref="B164">_xll.RDP.Data(A164,"CF_BID")</f>
        <v>52.88</v>
      </c>
      <c r="C164" cm="1">
        <f t="array" ref="C164">_xll.RDP.Data(A164,"CF_ASK")</f>
        <v>52.89</v>
      </c>
      <c r="D164" s="623">
        <f t="shared" si="4"/>
        <v>52.885000000000005</v>
      </c>
      <c r="E164" s="356">
        <v>1.21E-2</v>
      </c>
      <c r="F164" s="356">
        <v>1.21E-2</v>
      </c>
      <c r="G164" s="356">
        <f>IF('ppal B'!$I$11=0,0,IF('ppal B'!$I$11&gt;0,E164*'ppal B'!$I$11*100,F164*'ppal B'!$I$11*100))</f>
        <v>0</v>
      </c>
      <c r="H164" s="364">
        <v>52.344999999999999</v>
      </c>
      <c r="I164" s="364">
        <f t="shared" si="5"/>
        <v>0.64547449999999995</v>
      </c>
      <c r="K164">
        <f>_xll.RDP.Data(A164,"TR.WACCBeta")</f>
        <v>1.2504425736335101</v>
      </c>
    </row>
    <row r="165" spans="1:11">
      <c r="A165" s="620" t="s">
        <v>557</v>
      </c>
      <c r="B165" cm="1">
        <f t="array" ref="B165">_xll.RDP.Data(A165,"CF_BID")</f>
        <v>85.3</v>
      </c>
      <c r="C165" cm="1">
        <f t="array" ref="C165">_xll.RDP.Data(A165,"CF_ASK")</f>
        <v>85.42</v>
      </c>
      <c r="D165" s="623">
        <f t="shared" si="4"/>
        <v>85.36</v>
      </c>
      <c r="E165" s="356">
        <v>0</v>
      </c>
      <c r="F165" s="356">
        <v>0</v>
      </c>
      <c r="G165" s="356">
        <f>IF('ppal B'!$I$11=0,0,IF('ppal B'!$I$11&gt;0,E165*'ppal B'!$I$11*100,F165*'ppal B'!$I$11*100))</f>
        <v>0</v>
      </c>
      <c r="H165" s="364">
        <v>85.004999999999995</v>
      </c>
      <c r="I165" s="364">
        <f t="shared" si="5"/>
        <v>0</v>
      </c>
      <c r="K165" t="str">
        <f>_xll.RDP.Data(A165,"TR.WACCBeta")</f>
        <v>NULL</v>
      </c>
    </row>
    <row r="166" spans="1:11">
      <c r="A166" s="346" t="s">
        <v>640</v>
      </c>
      <c r="B166" cm="1">
        <f t="array" ref="B166">_xll.RDP.Data(A166,"CF_BID")</f>
        <v>28.55</v>
      </c>
      <c r="C166" cm="1">
        <f t="array" ref="C166">_xll.RDP.Data(A166,"CF_ASK")</f>
        <v>28.56</v>
      </c>
      <c r="D166" s="623">
        <f t="shared" si="4"/>
        <v>28.555</v>
      </c>
      <c r="E166" s="356">
        <v>0</v>
      </c>
      <c r="F166" s="356">
        <v>0</v>
      </c>
      <c r="G166" s="356">
        <f>IF('ppal B'!$I$11=0,0,IF('ppal B'!$I$11&gt;0,E166*'ppal B'!$I$11*100,F166*'ppal B'!$I$11*100))</f>
        <v>0</v>
      </c>
      <c r="H166" s="364">
        <v>28.344999999999999</v>
      </c>
      <c r="I166" s="364">
        <f t="shared" si="5"/>
        <v>0</v>
      </c>
      <c r="K166" t="str">
        <f>_xll.RDP.Data(A166,"TR.WACCBeta")</f>
        <v>NULL</v>
      </c>
    </row>
    <row r="167" spans="1:11">
      <c r="A167" s="619" t="s">
        <v>325</v>
      </c>
      <c r="B167" cm="1">
        <f t="array" ref="B167">_xll.RDP.Data(A167,"CF_BID")</f>
        <v>54.67</v>
      </c>
      <c r="C167" cm="1">
        <f t="array" ref="C167">_xll.RDP.Data(A167,"CF_ASK")</f>
        <v>54.68</v>
      </c>
      <c r="D167" s="623">
        <f t="shared" si="4"/>
        <v>54.674999999999997</v>
      </c>
      <c r="E167" s="356">
        <v>0</v>
      </c>
      <c r="F167" s="356">
        <v>0</v>
      </c>
      <c r="G167" s="356">
        <f>IF('ppal B'!$I$11=0,0,IF('ppal B'!$I$11&gt;0,E167*'ppal B'!$I$11*100,F167*'ppal B'!$I$11*100))</f>
        <v>0</v>
      </c>
      <c r="H167" s="364">
        <v>54.405000000000001</v>
      </c>
      <c r="I167" s="364">
        <f t="shared" si="5"/>
        <v>0</v>
      </c>
      <c r="K167" t="str">
        <f>_xll.RDP.Data(A167,"TR.WACCBeta")</f>
        <v>NULL</v>
      </c>
    </row>
    <row r="168" spans="1:11">
      <c r="B168" t="str" cm="1">
        <f t="array" ref="B168">_xll.RDP.Data(A168,"CF_BID")</f>
        <v>No universe defined.</v>
      </c>
      <c r="C168" t="str" cm="1">
        <f t="array" ref="C168">_xll.RDP.Data(A168,"CF_ASK")</f>
        <v>No universe defined.</v>
      </c>
      <c r="D168" s="623" t="e">
        <f t="shared" si="4"/>
        <v>#VALUE!</v>
      </c>
      <c r="E168" s="356">
        <v>0</v>
      </c>
      <c r="F168" s="356">
        <v>0</v>
      </c>
      <c r="G168" s="356">
        <f>IF('ppal B'!$I$11=0,0,IF('ppal B'!$I$11&gt;0,E168*'ppal B'!$I$11*100,F168*'ppal B'!$I$11*100))</f>
        <v>0</v>
      </c>
      <c r="H168" s="364" t="e">
        <v>#VALUE!</v>
      </c>
      <c r="I168" s="364" t="e">
        <f t="shared" si="5"/>
        <v>#VALUE!</v>
      </c>
      <c r="K168" t="str">
        <f>_xll.RDP.Data(A168,"TR.WACCBeta")</f>
        <v>No universe defined.</v>
      </c>
    </row>
    <row r="169" spans="1:11">
      <c r="A169" t="s">
        <v>328</v>
      </c>
      <c r="D169" s="623">
        <f t="shared" si="4"/>
        <v>0</v>
      </c>
      <c r="E169" s="356">
        <v>0</v>
      </c>
      <c r="F169" s="356">
        <v>0</v>
      </c>
      <c r="G169" s="356">
        <f>IF('ppal B'!$I$11=0,0,IF('ppal B'!$I$11&gt;0,E169*'ppal B'!$I$11*100,F169*'ppal B'!$I$11*100))</f>
        <v>0</v>
      </c>
      <c r="H169" s="364">
        <v>0</v>
      </c>
      <c r="I169" s="364">
        <f t="shared" si="5"/>
        <v>0</v>
      </c>
      <c r="K169" t="str">
        <f>_xll.RDP.Data(A169,"TR.WACCBeta")</f>
        <v>NULL</v>
      </c>
    </row>
    <row r="170" spans="1:11">
      <c r="A170" s="182" t="s">
        <v>499</v>
      </c>
      <c r="B170" cm="1">
        <f t="array" ref="B170">_xll.RDP.Data(A170,"CF_BID")</f>
        <v>84.47</v>
      </c>
      <c r="C170" cm="1">
        <f t="array" ref="C170">_xll.RDP.Data(A170,"CF_ASK")</f>
        <v>84.52</v>
      </c>
      <c r="D170" s="623">
        <f t="shared" si="4"/>
        <v>84.495000000000005</v>
      </c>
      <c r="E170" s="356">
        <v>0</v>
      </c>
      <c r="F170" s="356">
        <v>0</v>
      </c>
      <c r="G170" s="356">
        <f>IF('ppal B'!$I$11=0,0,IF('ppal B'!$I$11&gt;0,E170*'ppal B'!$I$11*100,F170*'ppal B'!$I$11*100))</f>
        <v>0</v>
      </c>
      <c r="H170" s="364">
        <v>83.12</v>
      </c>
      <c r="I170" s="364">
        <f t="shared" si="5"/>
        <v>0</v>
      </c>
      <c r="K170" t="str">
        <f>_xll.RDP.Data(A170,"TR.WACCBeta")</f>
        <v>NULL</v>
      </c>
    </row>
    <row r="171" spans="1:11">
      <c r="A171" s="182" t="s">
        <v>509</v>
      </c>
      <c r="B171" cm="1">
        <f t="array" ref="B171">_xll.RDP.Data(A171,"CF_BID")</f>
        <v>35.69</v>
      </c>
      <c r="C171" cm="1">
        <f t="array" ref="C171">_xll.RDP.Data(A171,"CF_ASK")</f>
        <v>35.700000000000003</v>
      </c>
      <c r="D171" s="623">
        <f t="shared" si="4"/>
        <v>35.695</v>
      </c>
      <c r="E171" s="356">
        <v>0</v>
      </c>
      <c r="F171" s="356">
        <v>0</v>
      </c>
      <c r="G171" s="356">
        <f>IF('ppal B'!$I$11=0,0,IF('ppal B'!$I$11&gt;0,E171*'ppal B'!$I$11*100,F171*'ppal B'!$I$11*100))</f>
        <v>0</v>
      </c>
      <c r="H171" s="364">
        <v>35.445</v>
      </c>
      <c r="I171" s="364">
        <f t="shared" si="5"/>
        <v>0</v>
      </c>
      <c r="K171" t="str">
        <f>_xll.RDP.Data(A171,"TR.WACCBeta")</f>
        <v>NULL</v>
      </c>
    </row>
    <row r="172" spans="1:11">
      <c r="A172" s="182" t="s">
        <v>512</v>
      </c>
      <c r="B172" cm="1">
        <f t="array" ref="B172">_xll.RDP.Data(A172,"CF_BID")</f>
        <v>65.41</v>
      </c>
      <c r="C172" cm="1">
        <f t="array" ref="C172">_xll.RDP.Data(A172,"CF_ASK")</f>
        <v>65.42</v>
      </c>
      <c r="D172" s="623">
        <f t="shared" si="4"/>
        <v>65.414999999999992</v>
      </c>
      <c r="E172" s="356">
        <v>0</v>
      </c>
      <c r="F172" s="356">
        <v>0</v>
      </c>
      <c r="G172" s="356">
        <f>IF('ppal B'!$I$11=0,0,IF('ppal B'!$I$11&gt;0,E172*'ppal B'!$I$11*100,F172*'ppal B'!$I$11*100))</f>
        <v>0</v>
      </c>
      <c r="H172" s="364">
        <v>63.585000000000001</v>
      </c>
      <c r="I172" s="364">
        <f t="shared" si="5"/>
        <v>0</v>
      </c>
      <c r="K172">
        <f>_xll.RDP.Data(A172,"TR.WACCBeta")</f>
        <v>1.5230578381736299</v>
      </c>
    </row>
    <row r="173" spans="1:11">
      <c r="A173" s="182" t="s">
        <v>515</v>
      </c>
      <c r="B173" cm="1">
        <f t="array" ref="B173">_xll.RDP.Data(A173,"CF_BID")</f>
        <v>33.159999999999997</v>
      </c>
      <c r="C173" cm="1">
        <f t="array" ref="C173">_xll.RDP.Data(A173,"CF_ASK")</f>
        <v>33.32</v>
      </c>
      <c r="D173" s="623">
        <f t="shared" si="4"/>
        <v>33.239999999999995</v>
      </c>
      <c r="E173" s="356">
        <v>0</v>
      </c>
      <c r="F173" s="356">
        <v>0</v>
      </c>
      <c r="G173" s="356">
        <f>IF('ppal B'!$I$11=0,0,IF('ppal B'!$I$11&gt;0,E173*'ppal B'!$I$11*100,F173*'ppal B'!$I$11*100))</f>
        <v>0</v>
      </c>
      <c r="H173" s="364">
        <v>33.32</v>
      </c>
      <c r="I173" s="364">
        <f t="shared" si="5"/>
        <v>0</v>
      </c>
      <c r="K173">
        <f>_xll.RDP.Data(A173,"TR.WACCBeta")</f>
        <v>0.84654115644472205</v>
      </c>
    </row>
    <row r="174" spans="1:11">
      <c r="A174" s="182" t="s">
        <v>522</v>
      </c>
      <c r="B174" cm="1">
        <f t="array" ref="B174">_xll.RDP.Data(A174,"CF_BID")</f>
        <v>50.23</v>
      </c>
      <c r="C174" cm="1">
        <f t="array" ref="C174">_xll.RDP.Data(A174,"CF_ASK")</f>
        <v>50.24</v>
      </c>
      <c r="D174" s="623">
        <f t="shared" si="4"/>
        <v>50.234999999999999</v>
      </c>
      <c r="E174" s="356">
        <v>0</v>
      </c>
      <c r="F174" s="356">
        <v>0</v>
      </c>
      <c r="G174" s="356">
        <f>IF('ppal B'!$I$11=0,0,IF('ppal B'!$I$11&gt;0,E174*'ppal B'!$I$11*100,F174*'ppal B'!$I$11*100))</f>
        <v>0</v>
      </c>
      <c r="H174" s="364">
        <v>49.635000000000005</v>
      </c>
      <c r="I174" s="364">
        <f t="shared" si="5"/>
        <v>0</v>
      </c>
      <c r="K174" t="str">
        <f>_xll.RDP.Data(A174,"TR.WACCBeta")</f>
        <v>NULL</v>
      </c>
    </row>
    <row r="175" spans="1:11">
      <c r="A175" s="182" t="s">
        <v>535</v>
      </c>
      <c r="B175" cm="1">
        <f t="array" ref="B175">_xll.RDP.Data(A175,"CF_BID")</f>
        <v>94.66</v>
      </c>
      <c r="C175" cm="1">
        <f t="array" ref="C175">_xll.RDP.Data(A175,"CF_ASK")</f>
        <v>94.99</v>
      </c>
      <c r="D175" s="623">
        <f t="shared" si="4"/>
        <v>94.824999999999989</v>
      </c>
      <c r="E175" s="356">
        <v>0</v>
      </c>
      <c r="F175" s="356">
        <v>0</v>
      </c>
      <c r="G175" s="356">
        <f>IF('ppal B'!$I$11=0,0,IF('ppal B'!$I$11&gt;0,E175*'ppal B'!$I$11*100,F175*'ppal B'!$I$11*100))</f>
        <v>0</v>
      </c>
      <c r="H175" s="364">
        <v>94.62</v>
      </c>
      <c r="I175" s="364">
        <f t="shared" si="5"/>
        <v>0</v>
      </c>
      <c r="K175" t="str">
        <f>_xll.RDP.Data(A175,"TR.WACCBeta")</f>
        <v>NULL</v>
      </c>
    </row>
    <row r="176" spans="1:11">
      <c r="A176" s="182" t="s">
        <v>537</v>
      </c>
      <c r="B176" cm="1">
        <f t="array" ref="B176">_xll.RDP.Data(A176,"CF_BID")</f>
        <v>96.84</v>
      </c>
      <c r="C176" cm="1">
        <f t="array" ref="C176">_xll.RDP.Data(A176,"CF_ASK")</f>
        <v>97.02</v>
      </c>
      <c r="D176" s="623">
        <f t="shared" si="4"/>
        <v>96.93</v>
      </c>
      <c r="E176" s="356">
        <v>0</v>
      </c>
      <c r="F176" s="356">
        <v>0</v>
      </c>
      <c r="G176" s="356">
        <f>IF('ppal B'!$I$11=0,0,IF('ppal B'!$I$11&gt;0,E176*'ppal B'!$I$11*100,F176*'ppal B'!$I$11*100))</f>
        <v>0</v>
      </c>
      <c r="H176" s="364">
        <v>96.694999999999993</v>
      </c>
      <c r="I176" s="364">
        <f t="shared" si="5"/>
        <v>0</v>
      </c>
      <c r="K176" t="str">
        <f>_xll.RDP.Data(A176,"TR.WACCBeta")</f>
        <v>NULL</v>
      </c>
    </row>
    <row r="177" spans="1:11">
      <c r="A177" s="182" t="s">
        <v>318</v>
      </c>
      <c r="B177" cm="1">
        <f t="array" ref="B177">_xll.RDP.Data(A177,"CF_BID")</f>
        <v>125.27</v>
      </c>
      <c r="C177" cm="1">
        <f t="array" ref="C177">_xll.RDP.Data(A177,"CF_ASK")</f>
        <v>125.29</v>
      </c>
      <c r="D177" s="623">
        <f t="shared" si="4"/>
        <v>125.28</v>
      </c>
      <c r="E177" s="356">
        <v>1.21E-2</v>
      </c>
      <c r="F177" s="356">
        <v>1.21E-2</v>
      </c>
      <c r="G177" s="356">
        <f>IF('ppal B'!$I$11=0,0,IF('ppal B'!$I$11&gt;0,E177*'ppal B'!$I$11*100,F177*'ppal B'!$I$11*100))</f>
        <v>0</v>
      </c>
      <c r="H177" s="364">
        <v>123.82499999999999</v>
      </c>
      <c r="I177" s="364">
        <f t="shared" si="5"/>
        <v>1.5103824999999997</v>
      </c>
      <c r="K177">
        <f>_xll.RDP.Data(A177,"TR.WACCBeta")</f>
        <v>1.12968511061119</v>
      </c>
    </row>
    <row r="178" spans="1:11">
      <c r="A178" s="182" t="s">
        <v>317</v>
      </c>
      <c r="B178" cm="1">
        <f t="array" ref="B178">_xll.RDP.Data(A178,"CF_BID")</f>
        <v>311.17</v>
      </c>
      <c r="C178" cm="1">
        <f t="array" ref="C178">_xll.RDP.Data(A178,"CF_ASK")</f>
        <v>311.25</v>
      </c>
      <c r="D178" s="623">
        <f t="shared" si="4"/>
        <v>311.21000000000004</v>
      </c>
      <c r="E178" s="356">
        <v>1.21E-2</v>
      </c>
      <c r="F178" s="356">
        <v>1.21E-2</v>
      </c>
      <c r="G178" s="356">
        <f>IF('ppal B'!$I$11=0,0,IF('ppal B'!$I$11&gt;0,E178*'ppal B'!$I$11*100,F178*'ppal B'!$I$11*100))</f>
        <v>0</v>
      </c>
      <c r="H178" s="364">
        <v>308.36500000000001</v>
      </c>
      <c r="I178" s="364">
        <f t="shared" si="5"/>
        <v>3.7433165000000002</v>
      </c>
      <c r="K178">
        <f>_xll.RDP.Data(A178,"TR.WACCBeta")</f>
        <v>1.06183047492534</v>
      </c>
    </row>
    <row r="179" spans="1:11">
      <c r="A179" s="182" t="s">
        <v>320</v>
      </c>
      <c r="B179" cm="1">
        <f t="array" ref="B179">_xll.RDP.Data(A179,"CF_BID")</f>
        <v>52.88</v>
      </c>
      <c r="C179" cm="1">
        <f t="array" ref="C179">_xll.RDP.Data(A179,"CF_ASK")</f>
        <v>52.89</v>
      </c>
      <c r="D179" s="623">
        <f t="shared" si="4"/>
        <v>52.885000000000005</v>
      </c>
      <c r="E179" s="356">
        <v>1.21E-2</v>
      </c>
      <c r="F179" s="356">
        <v>1.21E-2</v>
      </c>
      <c r="G179" s="356">
        <f>IF('ppal B'!$I$11=0,0,IF('ppal B'!$I$11&gt;0,E179*'ppal B'!$I$11*100,F179*'ppal B'!$I$11*100))</f>
        <v>0</v>
      </c>
      <c r="H179" s="364">
        <v>52.344999999999999</v>
      </c>
      <c r="I179" s="364">
        <f t="shared" si="5"/>
        <v>0.64547449999999995</v>
      </c>
      <c r="K179">
        <f>_xll.RDP.Data(A179,"TR.WACCBeta")</f>
        <v>1.2504425736335101</v>
      </c>
    </row>
    <row r="180" spans="1:11">
      <c r="A180" s="182" t="s">
        <v>544</v>
      </c>
      <c r="B180" cm="1">
        <f t="array" ref="B180">_xll.RDP.Data(A180,"CF_BID")</f>
        <v>888.8</v>
      </c>
      <c r="C180" cm="1">
        <f t="array" ref="C180">_xll.RDP.Data(A180,"CF_ASK")</f>
        <v>889.71</v>
      </c>
      <c r="D180" s="623">
        <f t="shared" si="4"/>
        <v>889.255</v>
      </c>
      <c r="E180" s="356">
        <v>1.21E-2</v>
      </c>
      <c r="F180" s="356">
        <v>1.21E-2</v>
      </c>
      <c r="G180" s="356">
        <f>IF('ppal B'!$I$11=0,0,IF('ppal B'!$I$11&gt;0,E180*'ppal B'!$I$11*100,F180*'ppal B'!$I$11*100))</f>
        <v>0</v>
      </c>
      <c r="H180" s="364">
        <v>875.75</v>
      </c>
      <c r="I180" s="364">
        <f t="shared" si="5"/>
        <v>10.608675</v>
      </c>
      <c r="K180">
        <f>_xll.RDP.Data(A180,"TR.WACCBeta")</f>
        <v>1.3167805321406001</v>
      </c>
    </row>
    <row r="181" spans="1:11">
      <c r="A181" s="182" t="s">
        <v>203</v>
      </c>
      <c r="B181" cm="1">
        <f t="array" ref="B181">_xll.RDP.Data(A181,"CF_BID")</f>
        <v>178.93</v>
      </c>
      <c r="C181" cm="1">
        <f t="array" ref="C181">_xll.RDP.Data(A181,"CF_ASK")</f>
        <v>179</v>
      </c>
      <c r="D181" s="623">
        <f t="shared" si="4"/>
        <v>178.965</v>
      </c>
      <c r="E181" s="356">
        <v>1.21E-2</v>
      </c>
      <c r="F181" s="356">
        <v>1.21E-2</v>
      </c>
      <c r="G181" s="356">
        <f>IF('ppal B'!$I$11=0,0,IF('ppal B'!$I$11&gt;0,E181*'ppal B'!$I$11*100,F181*'ppal B'!$I$11*100))</f>
        <v>0</v>
      </c>
      <c r="H181" s="364">
        <v>177.94499999999999</v>
      </c>
      <c r="I181" s="364">
        <f t="shared" si="5"/>
        <v>2.1652345</v>
      </c>
      <c r="K181">
        <f>_xll.RDP.Data(A181,"TR.WACCBeta")</f>
        <v>1.1904999555306299</v>
      </c>
    </row>
    <row r="182" spans="1:11">
      <c r="A182" s="182" t="s">
        <v>548</v>
      </c>
      <c r="B182" cm="1">
        <f t="array" ref="B182">_xll.RDP.Data(A182,"CF_BID")</f>
        <v>480.42</v>
      </c>
      <c r="C182" cm="1">
        <f t="array" ref="C182">_xll.RDP.Data(A182,"CF_ASK")</f>
        <v>480.5</v>
      </c>
      <c r="D182" s="623">
        <f t="shared" si="4"/>
        <v>480.46000000000004</v>
      </c>
      <c r="E182" s="356">
        <v>0</v>
      </c>
      <c r="F182" s="356">
        <v>0</v>
      </c>
      <c r="G182" s="356">
        <f>IF('ppal B'!$I$11=0,0,IF('ppal B'!$I$11&gt;0,E182*'ppal B'!$I$11*100,F182*'ppal B'!$I$11*100))</f>
        <v>0</v>
      </c>
      <c r="H182" s="364">
        <v>480.03999999999996</v>
      </c>
      <c r="I182" s="364">
        <f t="shared" si="5"/>
        <v>0</v>
      </c>
      <c r="K182">
        <f>_xll.RDP.Data(A182,"TR.WACCBeta")</f>
        <v>0.677831785948249</v>
      </c>
    </row>
    <row r="183" spans="1:11">
      <c r="A183" s="182" t="s">
        <v>261</v>
      </c>
      <c r="B183" cm="1">
        <f t="array" ref="B183">_xll.RDP.Data(A183,"CF_BID")</f>
        <v>1013.56</v>
      </c>
      <c r="C183" cm="1">
        <f t="array" ref="C183">_xll.RDP.Data(A183,"CF_ASK")</f>
        <v>1014.12</v>
      </c>
      <c r="D183" s="623">
        <f t="shared" si="4"/>
        <v>1013.8399999999999</v>
      </c>
      <c r="E183" s="356">
        <v>0</v>
      </c>
      <c r="F183" s="356">
        <v>0</v>
      </c>
      <c r="G183" s="356">
        <f>IF('ppal B'!$I$11=0,0,IF('ppal B'!$I$11&gt;0,E183*'ppal B'!$I$11*100,F183*'ppal B'!$I$11*100))</f>
        <v>0</v>
      </c>
      <c r="H183" s="364">
        <v>1002.635</v>
      </c>
      <c r="I183" s="364">
        <f t="shared" si="5"/>
        <v>0</v>
      </c>
      <c r="K183">
        <f>_xll.RDP.Data(A183,"TR.WACCBeta")</f>
        <v>1.48060848542705</v>
      </c>
    </row>
    <row r="184" spans="1:11">
      <c r="A184" s="182" t="s">
        <v>550</v>
      </c>
      <c r="B184" cm="1">
        <f t="array" ref="B184">_xll.RDP.Data(A184,"CF_BID")</f>
        <v>52.44</v>
      </c>
      <c r="C184" cm="1">
        <f t="array" ref="C184">_xll.RDP.Data(A184,"CF_ASK")</f>
        <v>52.49</v>
      </c>
      <c r="D184" s="623">
        <f>+B184</f>
        <v>52.44</v>
      </c>
      <c r="E184" s="356">
        <v>1.21E-2</v>
      </c>
      <c r="F184" s="356">
        <v>1.21E-2</v>
      </c>
      <c r="G184" s="356">
        <f>IF('ppal B'!$I$11=0,0,IF('ppal B'!$I$11&gt;0,E184*'ppal B'!$I$11*100,F184*'ppal B'!$I$11*100))</f>
        <v>0</v>
      </c>
      <c r="H184" s="364">
        <v>51.93</v>
      </c>
      <c r="I184" s="364">
        <f t="shared" si="5"/>
        <v>0.64045299999999994</v>
      </c>
      <c r="K184">
        <f>_xll.RDP.Data(A184,"TR.WACCBeta")</f>
        <v>-0.78387976318534303</v>
      </c>
    </row>
    <row r="185" spans="1:11">
      <c r="D185" s="623">
        <f t="shared" si="4"/>
        <v>0</v>
      </c>
    </row>
    <row r="189" spans="1:11">
      <c r="B189" s="182"/>
      <c r="C189" s="619"/>
    </row>
    <row r="190" spans="1:11">
      <c r="B190" s="619"/>
      <c r="C190" s="619"/>
      <c r="D190" s="646"/>
      <c r="E190" s="619"/>
    </row>
    <row r="191" spans="1:11">
      <c r="C191" s="619"/>
      <c r="D191" s="645"/>
      <c r="E191" s="619"/>
    </row>
    <row r="192" spans="1:11">
      <c r="C192" s="619"/>
    </row>
    <row r="193" spans="2:3">
      <c r="B193" s="619"/>
      <c r="C193" s="619"/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"/>
  <dimension ref="A1:R99"/>
  <sheetViews>
    <sheetView workbookViewId="0">
      <selection activeCell="J13" sqref="J13"/>
    </sheetView>
  </sheetViews>
  <sheetFormatPr baseColWidth="10" defaultRowHeight="12.5"/>
  <cols>
    <col min="1" max="1" width="14.6328125" style="570" customWidth="1"/>
    <col min="2" max="2" width="11.08984375" customWidth="1"/>
    <col min="3" max="3" width="14.08984375" bestFit="1" customWidth="1"/>
    <col min="4" max="4" width="9.08984375" bestFit="1" customWidth="1"/>
    <col min="6" max="6" width="13" bestFit="1" customWidth="1"/>
    <col min="7" max="7" width="13" customWidth="1"/>
    <col min="9" max="9" width="12.90625" style="1" bestFit="1" customWidth="1"/>
    <col min="10" max="10" width="12" style="1" bestFit="1" customWidth="1"/>
    <col min="11" max="18" width="11.54296875" style="1"/>
  </cols>
  <sheetData>
    <row r="1" spans="1:12" ht="15.5">
      <c r="A1" s="564"/>
      <c r="B1" s="359"/>
      <c r="C1" s="360"/>
      <c r="D1" s="360"/>
      <c r="E1" s="360"/>
      <c r="F1" s="4"/>
      <c r="G1" s="4"/>
      <c r="H1" s="5"/>
    </row>
    <row r="2" spans="1:12">
      <c r="A2" s="565"/>
      <c r="B2" s="1"/>
      <c r="C2" s="1"/>
      <c r="D2" s="1"/>
      <c r="E2" s="1"/>
      <c r="F2" s="4"/>
      <c r="G2" s="4"/>
      <c r="H2" s="5"/>
    </row>
    <row r="3" spans="1:12">
      <c r="A3" s="565"/>
      <c r="B3" s="1"/>
      <c r="C3" s="1"/>
      <c r="D3" s="1"/>
      <c r="E3" s="1"/>
      <c r="F3" s="4"/>
      <c r="G3" s="4"/>
      <c r="H3" s="5"/>
      <c r="I3" s="586"/>
    </row>
    <row r="4" spans="1:12" ht="15.5">
      <c r="A4" s="857"/>
      <c r="B4" s="858"/>
      <c r="C4" s="1"/>
      <c r="D4" s="1"/>
      <c r="E4" s="1"/>
      <c r="F4" s="4"/>
      <c r="G4" s="4"/>
      <c r="H4" s="5"/>
    </row>
    <row r="5" spans="1:12">
      <c r="A5" s="566"/>
      <c r="B5" s="1"/>
      <c r="C5" s="4"/>
      <c r="D5" s="4"/>
      <c r="E5" s="4"/>
      <c r="F5" s="4"/>
      <c r="G5" s="4"/>
      <c r="H5" s="4"/>
    </row>
    <row r="6" spans="1:12">
      <c r="A6" s="567" t="s">
        <v>47</v>
      </c>
      <c r="B6" s="17" t="s">
        <v>35</v>
      </c>
      <c r="C6" s="6" t="s">
        <v>306</v>
      </c>
      <c r="D6" s="6" t="s">
        <v>307</v>
      </c>
      <c r="E6" s="6" t="s">
        <v>334</v>
      </c>
      <c r="F6" s="6" t="s">
        <v>20</v>
      </c>
      <c r="G6" s="6" t="s">
        <v>308</v>
      </c>
      <c r="H6" s="6" t="s">
        <v>21</v>
      </c>
      <c r="I6" s="6" t="s">
        <v>22</v>
      </c>
    </row>
    <row r="7" spans="1:12">
      <c r="A7" s="568">
        <v>45848</v>
      </c>
      <c r="B7" s="293" t="s">
        <v>529</v>
      </c>
      <c r="C7" s="8">
        <v>30000</v>
      </c>
      <c r="D7" s="361">
        <v>3.32E-2</v>
      </c>
      <c r="E7" s="366">
        <v>3.0388000000000002</v>
      </c>
      <c r="F7" s="7"/>
      <c r="G7" s="7"/>
      <c r="H7" s="296"/>
      <c r="I7" s="29"/>
      <c r="J7" s="625">
        <f>3.39-3.08</f>
        <v>0.31000000000000005</v>
      </c>
      <c r="K7" s="355"/>
      <c r="L7" s="485"/>
    </row>
    <row r="8" spans="1:12">
      <c r="A8" s="568"/>
      <c r="B8" s="293"/>
      <c r="C8" s="8"/>
      <c r="D8" s="361"/>
      <c r="E8" s="366"/>
      <c r="F8" s="7"/>
      <c r="G8" s="7"/>
      <c r="H8" s="297"/>
      <c r="I8" s="29"/>
      <c r="J8" s="624"/>
      <c r="K8" s="355"/>
    </row>
    <row r="9" spans="1:12">
      <c r="A9" s="568"/>
      <c r="B9" s="293"/>
      <c r="C9" s="8"/>
      <c r="D9" s="295"/>
      <c r="E9" s="366"/>
      <c r="F9" s="7"/>
      <c r="G9" s="7"/>
      <c r="H9" s="296"/>
      <c r="I9" s="29"/>
      <c r="J9" s="624"/>
      <c r="K9" s="355"/>
    </row>
    <row r="10" spans="1:12">
      <c r="A10" s="568"/>
      <c r="B10" s="293"/>
      <c r="C10" s="8"/>
      <c r="D10" s="295"/>
      <c r="E10" s="366"/>
      <c r="F10" s="7"/>
      <c r="G10" s="7"/>
      <c r="H10" s="296"/>
      <c r="I10" s="29"/>
      <c r="J10" s="133"/>
      <c r="K10" s="355"/>
    </row>
    <row r="11" spans="1:12">
      <c r="A11" s="568"/>
      <c r="B11" s="293"/>
      <c r="C11" s="8"/>
      <c r="D11" s="295"/>
      <c r="E11" s="366"/>
      <c r="F11" s="7"/>
      <c r="G11" s="7"/>
      <c r="H11" s="296"/>
      <c r="I11" s="29"/>
      <c r="J11" s="133"/>
      <c r="K11" s="355"/>
    </row>
    <row r="12" spans="1:12">
      <c r="A12" s="568"/>
      <c r="B12" s="293"/>
      <c r="C12" s="8"/>
      <c r="D12" s="295"/>
      <c r="E12" s="366"/>
      <c r="F12" s="7"/>
      <c r="G12" s="7"/>
      <c r="H12" s="296"/>
      <c r="I12" s="29"/>
      <c r="J12" s="485"/>
      <c r="K12" s="485"/>
    </row>
    <row r="13" spans="1:12">
      <c r="A13" s="568"/>
      <c r="B13" s="293"/>
      <c r="C13" s="8"/>
      <c r="D13" s="295"/>
      <c r="E13" s="296"/>
      <c r="F13" s="7"/>
      <c r="G13" s="7"/>
      <c r="H13" s="296"/>
      <c r="I13" s="29"/>
      <c r="J13" s="355"/>
    </row>
    <row r="14" spans="1:12">
      <c r="A14" s="568"/>
      <c r="B14" s="293"/>
      <c r="C14" s="8"/>
      <c r="D14" s="295"/>
      <c r="E14" s="366"/>
      <c r="F14" s="7"/>
      <c r="G14" s="7"/>
      <c r="H14" s="296"/>
      <c r="I14" s="29"/>
    </row>
    <row r="15" spans="1:12">
      <c r="A15" s="568"/>
      <c r="B15" s="293"/>
      <c r="C15" s="8"/>
      <c r="D15" s="295"/>
      <c r="E15" s="366"/>
      <c r="F15" s="7"/>
      <c r="G15" s="7"/>
      <c r="H15" s="296"/>
      <c r="I15" s="29"/>
    </row>
    <row r="16" spans="1:12">
      <c r="A16" s="568"/>
      <c r="B16" s="293"/>
      <c r="C16" s="8"/>
      <c r="D16" s="295"/>
      <c r="E16" s="366"/>
      <c r="F16" s="7"/>
      <c r="G16" s="7"/>
      <c r="H16" s="296"/>
      <c r="I16" s="29"/>
    </row>
    <row r="17" spans="1:10">
      <c r="A17" s="568"/>
      <c r="B17" s="293"/>
      <c r="C17" s="8"/>
      <c r="D17" s="295"/>
      <c r="E17" s="296"/>
      <c r="F17" s="7"/>
      <c r="G17" s="7"/>
      <c r="H17" s="296"/>
      <c r="I17" s="29"/>
    </row>
    <row r="18" spans="1:10">
      <c r="A18" s="568"/>
      <c r="B18" s="293"/>
      <c r="C18" s="8"/>
      <c r="D18" s="295"/>
      <c r="E18" s="296"/>
      <c r="F18" s="7"/>
      <c r="G18" s="7"/>
      <c r="H18" s="296"/>
      <c r="I18" s="29"/>
    </row>
    <row r="19" spans="1:10">
      <c r="A19" s="568"/>
      <c r="B19" s="293"/>
      <c r="C19" s="8"/>
      <c r="D19" s="295"/>
      <c r="E19" s="296"/>
      <c r="F19" s="7"/>
      <c r="G19" s="7"/>
      <c r="H19" s="296"/>
      <c r="I19" s="29"/>
    </row>
    <row r="20" spans="1:10">
      <c r="A20" s="568"/>
      <c r="B20" s="293"/>
      <c r="C20" s="8"/>
      <c r="D20" s="295"/>
      <c r="E20" s="296"/>
      <c r="F20" s="7"/>
      <c r="G20" s="7"/>
      <c r="H20" s="296"/>
      <c r="I20" s="29"/>
    </row>
    <row r="21" spans="1:10">
      <c r="A21" s="568"/>
      <c r="B21" s="293"/>
      <c r="C21" s="8"/>
      <c r="D21" s="295"/>
      <c r="E21" s="303"/>
      <c r="F21" s="7"/>
      <c r="G21" s="7"/>
      <c r="H21" s="303"/>
      <c r="I21" s="29"/>
    </row>
    <row r="22" spans="1:10">
      <c r="A22" s="568"/>
      <c r="B22" s="293"/>
      <c r="C22" s="8"/>
      <c r="D22" s="295"/>
      <c r="E22" s="303"/>
      <c r="F22" s="7"/>
      <c r="G22" s="7"/>
      <c r="H22" s="303"/>
      <c r="I22" s="29"/>
    </row>
    <row r="23" spans="1:10">
      <c r="A23" s="568"/>
      <c r="B23" s="293"/>
      <c r="C23" s="8"/>
      <c r="D23" s="295"/>
      <c r="E23" s="303"/>
      <c r="F23" s="7"/>
      <c r="G23" s="7"/>
      <c r="H23" s="303"/>
      <c r="I23" s="29"/>
    </row>
    <row r="24" spans="1:10">
      <c r="A24" s="568"/>
      <c r="B24" s="293"/>
      <c r="C24" s="8"/>
      <c r="D24" s="295"/>
      <c r="E24" s="303"/>
      <c r="F24" s="7"/>
      <c r="G24" s="7"/>
      <c r="H24" s="303"/>
      <c r="I24" s="29"/>
    </row>
    <row r="25" spans="1:10">
      <c r="A25" s="568"/>
      <c r="B25" s="293"/>
      <c r="C25" s="8"/>
      <c r="D25" s="295"/>
      <c r="E25" s="296"/>
      <c r="F25" s="7"/>
      <c r="G25" s="7"/>
      <c r="H25" s="296"/>
      <c r="I25" s="29"/>
    </row>
    <row r="26" spans="1:10" ht="15.5">
      <c r="A26" s="857"/>
      <c r="B26" s="857"/>
      <c r="C26" s="298">
        <f>SUM(C7:C25)</f>
        <v>30000</v>
      </c>
      <c r="D26" s="1"/>
      <c r="E26" s="1"/>
      <c r="F26" s="1"/>
      <c r="G26" s="1"/>
      <c r="H26" s="1"/>
      <c r="I26" s="298">
        <f>SUM(I7:I20)</f>
        <v>0</v>
      </c>
    </row>
    <row r="27" spans="1:10">
      <c r="A27" s="565"/>
      <c r="B27" s="1"/>
      <c r="C27" s="1"/>
      <c r="D27" s="1"/>
      <c r="E27" s="1"/>
      <c r="F27" s="1"/>
      <c r="G27" s="1"/>
      <c r="H27" s="1"/>
      <c r="J27" s="3"/>
    </row>
    <row r="28" spans="1:10">
      <c r="A28" s="565"/>
      <c r="B28" s="1"/>
      <c r="C28" s="1"/>
      <c r="D28" s="1"/>
      <c r="E28" s="1"/>
      <c r="F28" s="1"/>
      <c r="G28" s="1"/>
      <c r="H28" s="1"/>
      <c r="J28" s="3"/>
    </row>
    <row r="29" spans="1:10">
      <c r="A29" s="565"/>
      <c r="B29" s="1"/>
      <c r="C29" s="1"/>
      <c r="D29" s="1"/>
      <c r="E29" s="1"/>
      <c r="F29" s="1"/>
      <c r="G29" s="1"/>
      <c r="H29" s="1"/>
      <c r="J29" s="3"/>
    </row>
    <row r="30" spans="1:10">
      <c r="A30" s="565"/>
      <c r="B30" s="1"/>
      <c r="C30" s="1"/>
      <c r="D30" s="1"/>
      <c r="E30" s="1"/>
      <c r="F30" s="1"/>
      <c r="G30" s="1"/>
      <c r="H30" s="1"/>
      <c r="J30" s="3"/>
    </row>
    <row r="31" spans="1:10" ht="15.5">
      <c r="A31" s="857" t="s">
        <v>50</v>
      </c>
      <c r="B31" s="858"/>
      <c r="C31" s="1"/>
      <c r="D31" s="1"/>
      <c r="E31" s="1"/>
      <c r="F31" s="1"/>
      <c r="G31" s="1"/>
      <c r="H31" s="1"/>
      <c r="J31" s="3"/>
    </row>
    <row r="32" spans="1:10">
      <c r="A32" s="565"/>
      <c r="B32" s="1"/>
      <c r="C32" s="1"/>
      <c r="D32" s="1"/>
      <c r="E32" s="1"/>
      <c r="F32" s="1"/>
      <c r="G32" s="1"/>
      <c r="H32" s="1"/>
      <c r="J32" s="3"/>
    </row>
    <row r="33" spans="1:10">
      <c r="A33" s="567" t="s">
        <v>47</v>
      </c>
      <c r="B33" s="17" t="s">
        <v>35</v>
      </c>
      <c r="C33" s="6" t="s">
        <v>306</v>
      </c>
      <c r="D33" s="6" t="s">
        <v>307</v>
      </c>
      <c r="E33" s="6" t="s">
        <v>19</v>
      </c>
      <c r="F33" s="6" t="s">
        <v>20</v>
      </c>
      <c r="G33" s="6" t="s">
        <v>308</v>
      </c>
      <c r="H33" s="6" t="s">
        <v>21</v>
      </c>
      <c r="I33" s="6" t="s">
        <v>22</v>
      </c>
      <c r="J33" s="3"/>
    </row>
    <row r="34" spans="1:10">
      <c r="A34" s="568"/>
      <c r="B34" s="293"/>
      <c r="C34" s="8"/>
      <c r="D34" s="295"/>
      <c r="E34" s="239"/>
      <c r="F34" s="362"/>
      <c r="G34" s="296"/>
      <c r="H34" s="239"/>
      <c r="I34" s="29"/>
      <c r="J34" s="3"/>
    </row>
    <row r="35" spans="1:10">
      <c r="A35" s="568"/>
      <c r="B35" s="293"/>
      <c r="C35" s="8"/>
      <c r="D35" s="295"/>
      <c r="E35" s="303"/>
      <c r="F35" s="7"/>
      <c r="G35" s="7"/>
      <c r="H35" s="303"/>
      <c r="I35" s="29"/>
      <c r="J35" s="3"/>
    </row>
    <row r="36" spans="1:10">
      <c r="A36" s="568"/>
      <c r="B36" s="293"/>
      <c r="C36" s="8"/>
      <c r="D36" s="295"/>
      <c r="E36" s="303"/>
      <c r="F36" s="7"/>
      <c r="G36" s="7"/>
      <c r="H36" s="303"/>
      <c r="I36" s="29"/>
      <c r="J36" s="3"/>
    </row>
    <row r="37" spans="1:10">
      <c r="A37" s="568"/>
      <c r="B37" s="293"/>
      <c r="C37" s="8"/>
      <c r="D37" s="295"/>
      <c r="E37" s="303"/>
      <c r="F37" s="7"/>
      <c r="G37" s="7"/>
      <c r="H37" s="303"/>
      <c r="I37" s="29"/>
      <c r="J37" s="3"/>
    </row>
    <row r="38" spans="1:10">
      <c r="A38" s="568"/>
      <c r="B38" s="293"/>
      <c r="C38" s="8"/>
      <c r="D38" s="295"/>
      <c r="E38" s="303"/>
      <c r="F38" s="7"/>
      <c r="G38" s="7"/>
      <c r="H38" s="303"/>
      <c r="I38" s="29"/>
      <c r="J38" s="3"/>
    </row>
    <row r="39" spans="1:10">
      <c r="A39" s="568"/>
      <c r="B39" s="293"/>
      <c r="C39" s="8"/>
      <c r="D39" s="295"/>
      <c r="E39" s="303"/>
      <c r="F39" s="7"/>
      <c r="G39" s="7"/>
      <c r="H39" s="303"/>
      <c r="I39" s="29"/>
      <c r="J39" s="3"/>
    </row>
    <row r="40" spans="1:10">
      <c r="A40" s="569"/>
      <c r="B40" s="83"/>
      <c r="C40" s="8"/>
      <c r="D40" s="295"/>
      <c r="E40" s="296"/>
      <c r="F40" s="7"/>
      <c r="G40" s="7"/>
      <c r="H40" s="296"/>
      <c r="I40" s="29"/>
      <c r="J40" s="3"/>
    </row>
    <row r="41" spans="1:10">
      <c r="A41" s="569"/>
      <c r="B41" s="83"/>
      <c r="C41" s="8"/>
      <c r="D41" s="295"/>
      <c r="E41" s="296"/>
      <c r="F41" s="7"/>
      <c r="G41" s="7"/>
      <c r="H41" s="296"/>
      <c r="I41" s="29"/>
      <c r="J41" s="3"/>
    </row>
    <row r="42" spans="1:10">
      <c r="A42" s="568"/>
      <c r="B42" s="293"/>
      <c r="C42" s="8"/>
      <c r="D42" s="361"/>
      <c r="E42" s="366"/>
      <c r="F42" s="7"/>
      <c r="G42" s="7"/>
      <c r="H42" s="296"/>
      <c r="I42" s="29"/>
      <c r="J42" s="3"/>
    </row>
    <row r="43" spans="1:10">
      <c r="A43" s="569"/>
      <c r="B43" s="83"/>
      <c r="C43" s="8"/>
      <c r="D43" s="295"/>
      <c r="E43" s="296"/>
      <c r="F43" s="7"/>
      <c r="G43" s="7"/>
      <c r="H43" s="296"/>
      <c r="I43" s="29"/>
      <c r="J43" s="3"/>
    </row>
    <row r="44" spans="1:10">
      <c r="A44" s="569"/>
      <c r="B44" s="83"/>
      <c r="C44" s="8"/>
      <c r="D44" s="295"/>
      <c r="E44" s="296"/>
      <c r="F44" s="7"/>
      <c r="G44" s="7"/>
      <c r="H44" s="296"/>
      <c r="I44" s="299"/>
    </row>
    <row r="45" spans="1:10">
      <c r="B45" s="1"/>
      <c r="C45" s="8"/>
      <c r="D45" s="1"/>
      <c r="E45" s="296"/>
      <c r="F45" s="1"/>
      <c r="G45" s="1"/>
      <c r="H45" s="300"/>
      <c r="I45" s="301">
        <f>SUM(I34:I44)</f>
        <v>0</v>
      </c>
    </row>
    <row r="46" spans="1:10">
      <c r="A46" s="565"/>
      <c r="B46" s="1"/>
      <c r="C46" s="1"/>
      <c r="D46" s="1"/>
      <c r="E46" s="1"/>
      <c r="F46" s="1"/>
      <c r="G46" s="1"/>
      <c r="H46" s="50"/>
      <c r="I46" s="29"/>
    </row>
    <row r="47" spans="1:10">
      <c r="A47" s="565"/>
      <c r="B47" s="1"/>
      <c r="C47" s="1"/>
      <c r="D47" s="1"/>
      <c r="E47" s="1"/>
      <c r="F47" s="1"/>
      <c r="G47" s="1"/>
      <c r="H47" s="1"/>
      <c r="I47" s="3"/>
    </row>
    <row r="48" spans="1:10">
      <c r="A48" s="565"/>
      <c r="B48" s="1"/>
      <c r="C48" s="1"/>
      <c r="D48" s="1"/>
      <c r="E48" s="1"/>
      <c r="F48" s="1"/>
      <c r="G48" s="1"/>
      <c r="H48" s="1"/>
    </row>
    <row r="49" spans="1:9">
      <c r="A49" s="565"/>
      <c r="B49" s="1"/>
      <c r="C49" s="1"/>
      <c r="D49" s="1"/>
      <c r="E49" s="1"/>
      <c r="F49" s="1"/>
      <c r="G49" s="1"/>
      <c r="H49" s="1"/>
    </row>
    <row r="50" spans="1:9">
      <c r="A50" s="565"/>
      <c r="B50" s="1"/>
      <c r="C50" s="1"/>
      <c r="D50" s="1"/>
      <c r="E50" s="1"/>
      <c r="F50" s="1"/>
      <c r="G50" s="1"/>
      <c r="H50" s="1"/>
    </row>
    <row r="51" spans="1:9">
      <c r="A51" s="565"/>
      <c r="B51" s="1"/>
      <c r="C51" s="1"/>
      <c r="D51" s="1"/>
      <c r="E51" s="1"/>
      <c r="F51" s="1"/>
      <c r="G51" s="1"/>
      <c r="H51" s="1"/>
    </row>
    <row r="52" spans="1:9">
      <c r="A52" s="565"/>
      <c r="B52" s="1"/>
      <c r="C52" s="1"/>
      <c r="D52" s="1"/>
      <c r="E52" s="1"/>
      <c r="F52" s="1"/>
      <c r="G52" s="1"/>
      <c r="H52" s="1"/>
    </row>
    <row r="53" spans="1:9">
      <c r="A53" s="565"/>
      <c r="B53" s="1"/>
      <c r="C53" s="1"/>
      <c r="D53" s="1"/>
      <c r="E53" s="1"/>
      <c r="F53" s="1"/>
      <c r="G53" s="1"/>
      <c r="H53" s="1"/>
    </row>
    <row r="54" spans="1:9">
      <c r="A54" s="565"/>
      <c r="B54" s="1"/>
      <c r="C54" s="1"/>
      <c r="D54" s="1"/>
      <c r="E54" s="1"/>
      <c r="F54" s="1"/>
      <c r="G54" s="1"/>
      <c r="H54" s="1"/>
    </row>
    <row r="55" spans="1:9">
      <c r="A55" s="565"/>
      <c r="B55" s="1"/>
      <c r="C55" s="1"/>
      <c r="D55" s="1"/>
      <c r="E55" s="1"/>
      <c r="F55" s="1"/>
      <c r="G55" s="1"/>
      <c r="H55" s="1"/>
    </row>
    <row r="56" spans="1:9">
      <c r="A56" s="565"/>
      <c r="B56" s="1"/>
      <c r="C56" s="1"/>
      <c r="D56" s="1"/>
      <c r="E56" s="1"/>
      <c r="F56" s="1"/>
      <c r="G56" s="1"/>
      <c r="H56" s="1"/>
    </row>
    <row r="57" spans="1:9">
      <c r="A57" s="565"/>
      <c r="B57" s="1"/>
      <c r="C57" s="1"/>
      <c r="D57" s="1"/>
      <c r="E57" s="1"/>
      <c r="F57" s="1"/>
      <c r="G57" s="1"/>
      <c r="H57" s="1"/>
    </row>
    <row r="58" spans="1:9">
      <c r="A58" s="565"/>
      <c r="B58" s="1"/>
      <c r="C58" s="1"/>
      <c r="D58" s="1"/>
      <c r="E58" s="1"/>
      <c r="F58" s="1"/>
      <c r="G58" s="1"/>
      <c r="H58" s="1"/>
      <c r="I58"/>
    </row>
    <row r="59" spans="1:9">
      <c r="A59" s="565"/>
      <c r="B59" s="1"/>
      <c r="C59" s="1"/>
      <c r="D59" s="1"/>
      <c r="E59" s="1"/>
      <c r="F59" s="1"/>
      <c r="G59" s="1"/>
      <c r="H59" s="1"/>
      <c r="I59"/>
    </row>
    <row r="60" spans="1:9">
      <c r="A60" s="565"/>
      <c r="B60" s="1"/>
      <c r="C60" s="1"/>
      <c r="D60" s="1"/>
      <c r="E60" s="1"/>
      <c r="F60" s="1"/>
      <c r="G60" s="1"/>
      <c r="H60" s="1"/>
      <c r="I60"/>
    </row>
    <row r="61" spans="1:9">
      <c r="A61" s="565"/>
      <c r="B61" s="1"/>
      <c r="C61" s="1"/>
      <c r="D61" s="1"/>
      <c r="E61" s="1"/>
      <c r="F61" s="1"/>
      <c r="G61" s="1"/>
      <c r="H61" s="1"/>
      <c r="I61"/>
    </row>
    <row r="62" spans="1:9">
      <c r="A62" s="565"/>
      <c r="B62" s="1"/>
      <c r="C62" s="1"/>
      <c r="D62" s="1"/>
      <c r="E62" s="1"/>
      <c r="F62" s="1"/>
      <c r="G62" s="1"/>
      <c r="H62" s="1"/>
      <c r="I62"/>
    </row>
    <row r="63" spans="1:9">
      <c r="A63" s="565"/>
      <c r="B63" s="1"/>
      <c r="C63" s="1"/>
      <c r="D63" s="1"/>
      <c r="E63" s="1"/>
      <c r="F63" s="1"/>
      <c r="G63" s="1"/>
      <c r="H63" s="1"/>
      <c r="I63"/>
    </row>
    <row r="64" spans="1:9">
      <c r="A64" s="565"/>
      <c r="B64" s="1"/>
      <c r="C64" s="1"/>
      <c r="D64" s="1"/>
      <c r="E64" s="1"/>
      <c r="F64" s="1"/>
      <c r="G64" s="1"/>
      <c r="H64" s="1"/>
      <c r="I64"/>
    </row>
    <row r="65" spans="1:9">
      <c r="A65" s="565"/>
      <c r="B65" s="1"/>
      <c r="C65" s="1"/>
      <c r="D65" s="1"/>
      <c r="E65" s="1"/>
      <c r="F65" s="1"/>
      <c r="G65" s="1"/>
      <c r="H65" s="1"/>
      <c r="I65"/>
    </row>
    <row r="66" spans="1:9" ht="13" thickBot="1">
      <c r="A66" s="565"/>
      <c r="B66" s="1"/>
      <c r="C66" s="1"/>
      <c r="D66" s="1"/>
      <c r="E66" s="1"/>
      <c r="F66" s="1"/>
      <c r="G66" s="1"/>
      <c r="H66" s="1"/>
      <c r="I66"/>
    </row>
    <row r="67" spans="1:9" ht="13">
      <c r="A67" s="571"/>
      <c r="B67" s="1"/>
      <c r="C67" s="1"/>
      <c r="D67" s="1"/>
      <c r="E67" s="1"/>
      <c r="F67" s="1"/>
      <c r="G67" s="1"/>
      <c r="H67" s="1"/>
      <c r="I67"/>
    </row>
    <row r="68" spans="1:9">
      <c r="A68" s="572"/>
      <c r="B68" s="1"/>
      <c r="C68" s="1"/>
      <c r="D68" s="1"/>
      <c r="E68" s="1"/>
      <c r="F68" s="1"/>
      <c r="G68" s="1"/>
      <c r="H68" s="1"/>
      <c r="I68"/>
    </row>
    <row r="69" spans="1:9">
      <c r="A69" s="572"/>
      <c r="B69" s="1"/>
      <c r="C69" s="1"/>
      <c r="D69" s="1"/>
      <c r="E69" s="1"/>
      <c r="F69" s="1"/>
      <c r="G69" s="1"/>
      <c r="H69" s="1"/>
      <c r="I69"/>
    </row>
    <row r="70" spans="1:9">
      <c r="A70" s="572"/>
      <c r="B70" s="1"/>
      <c r="C70" s="3"/>
      <c r="D70" s="1"/>
      <c r="E70" s="1"/>
      <c r="F70" s="1"/>
      <c r="G70" s="1"/>
      <c r="H70" s="1"/>
      <c r="I70"/>
    </row>
    <row r="71" spans="1:9">
      <c r="A71" s="572"/>
      <c r="B71" s="1"/>
      <c r="C71" s="3"/>
      <c r="D71" s="1"/>
      <c r="E71" s="1"/>
      <c r="F71" s="1"/>
      <c r="G71" s="1"/>
      <c r="H71" s="1"/>
      <c r="I71"/>
    </row>
    <row r="72" spans="1:9" ht="13">
      <c r="A72" s="573"/>
      <c r="B72" s="1"/>
      <c r="C72" s="1"/>
      <c r="D72" s="1"/>
      <c r="E72" s="1"/>
      <c r="F72" s="1"/>
      <c r="G72" s="1"/>
      <c r="H72" s="1"/>
      <c r="I72"/>
    </row>
    <row r="73" spans="1:9" ht="13">
      <c r="A73" s="574"/>
      <c r="B73" s="1"/>
      <c r="C73" s="1"/>
      <c r="D73" s="1"/>
      <c r="E73" s="1"/>
      <c r="F73" s="1"/>
      <c r="G73" s="1"/>
      <c r="H73" s="1"/>
      <c r="I73"/>
    </row>
    <row r="74" spans="1:9" ht="13.5" thickBot="1">
      <c r="A74" s="575"/>
      <c r="B74" s="1"/>
      <c r="C74" s="1"/>
      <c r="D74" s="1"/>
      <c r="E74" s="1"/>
      <c r="F74" s="1"/>
      <c r="G74" s="1"/>
      <c r="H74" s="1"/>
      <c r="I74"/>
    </row>
    <row r="75" spans="1:9">
      <c r="A75" s="565"/>
      <c r="B75" s="1"/>
      <c r="C75" s="1"/>
      <c r="D75" s="1"/>
      <c r="E75" s="1"/>
      <c r="F75" s="1"/>
      <c r="G75" s="1"/>
      <c r="H75" s="1"/>
      <c r="I75"/>
    </row>
    <row r="76" spans="1:9">
      <c r="A76" s="565"/>
      <c r="B76" s="1"/>
      <c r="C76" s="1"/>
      <c r="D76" s="1"/>
      <c r="E76" s="1"/>
      <c r="F76" s="1"/>
      <c r="G76" s="1"/>
      <c r="H76" s="1"/>
      <c r="I76"/>
    </row>
    <row r="77" spans="1:9">
      <c r="A77" s="565"/>
      <c r="B77" s="1"/>
      <c r="C77" s="1"/>
      <c r="D77" s="1"/>
      <c r="E77" s="1"/>
      <c r="F77" s="1"/>
      <c r="G77" s="1"/>
      <c r="H77" s="1"/>
      <c r="I77"/>
    </row>
    <row r="78" spans="1:9">
      <c r="A78" s="565"/>
      <c r="B78" s="1"/>
      <c r="C78" s="1"/>
      <c r="D78" s="1"/>
      <c r="E78" s="1"/>
      <c r="F78" s="1"/>
      <c r="G78" s="1"/>
      <c r="H78" s="1"/>
      <c r="I78"/>
    </row>
    <row r="79" spans="1:9">
      <c r="A79" s="565"/>
      <c r="B79" s="1"/>
      <c r="C79" s="1"/>
      <c r="D79" s="1"/>
      <c r="E79" s="1"/>
      <c r="F79" s="1"/>
      <c r="G79" s="1"/>
      <c r="H79" s="1"/>
      <c r="I79"/>
    </row>
    <row r="80" spans="1:9">
      <c r="A80" s="565"/>
      <c r="B80" s="1"/>
      <c r="C80" s="1"/>
      <c r="D80" s="1"/>
      <c r="E80" s="1"/>
      <c r="F80" s="1"/>
      <c r="G80" s="1"/>
      <c r="H80" s="1"/>
      <c r="I80"/>
    </row>
    <row r="81" spans="1:9">
      <c r="A81" s="565"/>
      <c r="B81" s="1"/>
      <c r="C81" s="1"/>
      <c r="D81" s="1"/>
      <c r="E81" s="1"/>
      <c r="F81" s="1"/>
      <c r="G81" s="1"/>
      <c r="H81" s="1"/>
      <c r="I81"/>
    </row>
    <row r="82" spans="1:9">
      <c r="E82" s="1"/>
      <c r="I82"/>
    </row>
    <row r="83" spans="1:9">
      <c r="E83" s="1"/>
      <c r="I83"/>
    </row>
    <row r="84" spans="1:9">
      <c r="E84" s="1"/>
      <c r="I84"/>
    </row>
    <row r="85" spans="1:9">
      <c r="E85" s="1"/>
      <c r="I85"/>
    </row>
    <row r="86" spans="1:9">
      <c r="E86" s="1"/>
      <c r="I86"/>
    </row>
    <row r="87" spans="1:9">
      <c r="E87" s="1"/>
      <c r="I87"/>
    </row>
    <row r="88" spans="1:9">
      <c r="E88" s="1"/>
      <c r="I88"/>
    </row>
    <row r="89" spans="1:9">
      <c r="E89" s="1"/>
      <c r="I89"/>
    </row>
    <row r="90" spans="1:9">
      <c r="E90" s="1"/>
      <c r="I90"/>
    </row>
    <row r="91" spans="1:9">
      <c r="E91" s="1"/>
      <c r="I91"/>
    </row>
    <row r="92" spans="1:9">
      <c r="E92" s="1"/>
      <c r="I92"/>
    </row>
    <row r="93" spans="1:9">
      <c r="E93" s="1"/>
      <c r="I93"/>
    </row>
    <row r="94" spans="1:9">
      <c r="E94" s="1"/>
      <c r="I94"/>
    </row>
    <row r="95" spans="1:9">
      <c r="E95" s="1"/>
      <c r="I95"/>
    </row>
    <row r="96" spans="1:9">
      <c r="E96" s="1"/>
      <c r="I96"/>
    </row>
    <row r="97" spans="5:9">
      <c r="E97" s="1"/>
      <c r="I97"/>
    </row>
    <row r="98" spans="5:9">
      <c r="E98" s="1"/>
      <c r="I98"/>
    </row>
    <row r="99" spans="5:9">
      <c r="E99" s="1"/>
      <c r="I99"/>
    </row>
  </sheetData>
  <mergeCells count="3">
    <mergeCell ref="A4:B4"/>
    <mergeCell ref="A26:B26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>
    <pageSetUpPr fitToPage="1"/>
  </sheetPr>
  <dimension ref="A1:P130"/>
  <sheetViews>
    <sheetView topLeftCell="A36" workbookViewId="0">
      <selection activeCell="B7" sqref="B7"/>
    </sheetView>
  </sheetViews>
  <sheetFormatPr baseColWidth="10" defaultRowHeight="12.5"/>
  <cols>
    <col min="1" max="1" width="14.6328125" customWidth="1"/>
    <col min="2" max="2" width="13.6328125" customWidth="1"/>
    <col min="3" max="3" width="11.08984375" customWidth="1"/>
    <col min="4" max="4" width="15.08984375" customWidth="1"/>
    <col min="5" max="5" width="14.08984375" bestFit="1" customWidth="1"/>
    <col min="6" max="6" width="9.08984375" bestFit="1" customWidth="1"/>
    <col min="8" max="8" width="13" bestFit="1" customWidth="1"/>
    <col min="10" max="10" width="12.90625" style="1" bestFit="1" customWidth="1"/>
    <col min="11" max="11" width="11.90625" style="1" bestFit="1" customWidth="1"/>
    <col min="12" max="14" width="11.453125" style="1"/>
    <col min="15" max="15" width="11.90625" style="1" bestFit="1" customWidth="1"/>
    <col min="16" max="16" width="11.453125" style="1"/>
  </cols>
  <sheetData>
    <row r="1" spans="1:12" ht="15.5">
      <c r="A1" s="318"/>
      <c r="B1" s="318"/>
      <c r="C1" s="319"/>
      <c r="D1" s="318" t="s">
        <v>15</v>
      </c>
      <c r="E1" s="320"/>
      <c r="F1" s="320"/>
      <c r="G1" s="320"/>
      <c r="H1" s="320"/>
      <c r="I1" s="321"/>
      <c r="J1" s="322"/>
    </row>
    <row r="2" spans="1:12">
      <c r="A2" s="1"/>
      <c r="B2" s="1"/>
      <c r="C2" s="1"/>
      <c r="D2" s="1"/>
      <c r="E2" s="1"/>
      <c r="F2" s="1"/>
      <c r="G2" s="1"/>
      <c r="H2" s="4"/>
      <c r="I2" s="5"/>
    </row>
    <row r="3" spans="1:12">
      <c r="A3" s="1"/>
      <c r="B3" s="1"/>
      <c r="C3" s="1"/>
      <c r="D3" s="1"/>
      <c r="E3" s="1"/>
      <c r="F3" s="1"/>
      <c r="G3" s="1"/>
      <c r="H3" s="4"/>
      <c r="I3" s="5"/>
    </row>
    <row r="4" spans="1:12" ht="15.5">
      <c r="A4" s="857" t="s">
        <v>50</v>
      </c>
      <c r="B4" s="858"/>
      <c r="C4" s="858"/>
      <c r="D4" s="1"/>
      <c r="E4" s="1"/>
      <c r="F4" s="1"/>
      <c r="G4" s="1"/>
      <c r="H4" s="4"/>
      <c r="I4" s="5"/>
    </row>
    <row r="5" spans="1:12">
      <c r="A5" s="4"/>
      <c r="B5" s="4"/>
      <c r="C5" s="1"/>
      <c r="D5" s="1"/>
      <c r="E5" s="4"/>
      <c r="F5" s="4"/>
      <c r="G5" s="4"/>
      <c r="H5" s="4"/>
      <c r="I5" s="4"/>
    </row>
    <row r="6" spans="1:12">
      <c r="A6" s="17" t="s">
        <v>64</v>
      </c>
      <c r="B6" s="17" t="s">
        <v>324</v>
      </c>
      <c r="C6" s="17" t="s">
        <v>35</v>
      </c>
      <c r="D6" s="6" t="s">
        <v>17</v>
      </c>
      <c r="E6" s="6" t="s">
        <v>202</v>
      </c>
      <c r="F6" s="6" t="s">
        <v>201</v>
      </c>
      <c r="G6" s="6" t="s">
        <v>19</v>
      </c>
      <c r="H6" s="6" t="s">
        <v>20</v>
      </c>
      <c r="I6" s="6" t="s">
        <v>21</v>
      </c>
      <c r="J6" s="6" t="s">
        <v>331</v>
      </c>
      <c r="K6" s="6" t="s">
        <v>335</v>
      </c>
      <c r="L6" s="6" t="s">
        <v>584</v>
      </c>
    </row>
    <row r="7" spans="1:12">
      <c r="A7" s="293" t="s">
        <v>606</v>
      </c>
      <c r="B7" s="294"/>
      <c r="C7" s="293" t="s">
        <v>332</v>
      </c>
      <c r="D7" s="7"/>
      <c r="E7" s="361">
        <v>4.9299999999999997E-2</v>
      </c>
      <c r="F7" s="361">
        <v>4.8500000000000001E-2</v>
      </c>
      <c r="G7" s="296">
        <v>116.34375</v>
      </c>
      <c r="H7" s="466">
        <f>G7*1000*D7</f>
        <v>0</v>
      </c>
      <c r="I7" s="296">
        <v>117.65625</v>
      </c>
      <c r="J7" s="366">
        <f>(I7-G7)*D7*1000</f>
        <v>0</v>
      </c>
      <c r="K7" s="127"/>
      <c r="L7" s="127"/>
    </row>
    <row r="8" spans="1:12">
      <c r="A8" s="293"/>
      <c r="B8" s="294"/>
      <c r="C8" s="293"/>
      <c r="D8" s="7"/>
      <c r="E8" s="361"/>
      <c r="F8" s="361"/>
      <c r="G8" s="296"/>
      <c r="H8" s="466"/>
      <c r="I8" s="296"/>
      <c r="J8" s="366"/>
      <c r="K8" s="127"/>
      <c r="L8" s="127"/>
    </row>
    <row r="9" spans="1:12">
      <c r="A9" s="293"/>
      <c r="B9" s="294"/>
      <c r="C9" s="293"/>
      <c r="D9" s="7"/>
      <c r="E9" s="361"/>
      <c r="F9" s="366"/>
      <c r="G9" s="296"/>
      <c r="H9" s="466"/>
      <c r="I9" s="296"/>
      <c r="J9" s="366"/>
      <c r="K9" s="127"/>
      <c r="L9" s="127"/>
    </row>
    <row r="10" spans="1:12">
      <c r="A10" s="293"/>
      <c r="B10" s="294"/>
      <c r="C10" s="293"/>
      <c r="D10" s="7"/>
      <c r="E10" s="361"/>
      <c r="F10" s="366"/>
      <c r="G10" s="296"/>
      <c r="H10" s="466"/>
      <c r="I10" s="296"/>
      <c r="J10" s="366"/>
      <c r="K10" s="127"/>
    </row>
    <row r="11" spans="1:12">
      <c r="A11" s="293"/>
      <c r="B11" s="294"/>
      <c r="C11" s="293"/>
      <c r="D11" s="302"/>
      <c r="E11" s="361"/>
      <c r="F11" s="295"/>
      <c r="G11" s="296"/>
      <c r="H11" s="466"/>
      <c r="I11" s="296"/>
      <c r="J11" s="366"/>
      <c r="K11" s="127"/>
    </row>
    <row r="12" spans="1:12">
      <c r="A12" s="293"/>
      <c r="B12" s="294"/>
      <c r="C12" s="293"/>
      <c r="D12" s="302"/>
      <c r="E12" s="361"/>
      <c r="F12" s="295"/>
      <c r="G12" s="296"/>
      <c r="H12" s="466"/>
      <c r="I12" s="296"/>
      <c r="J12" s="366"/>
      <c r="K12" s="127"/>
    </row>
    <row r="13" spans="1:12">
      <c r="A13" s="293"/>
      <c r="B13" s="294"/>
      <c r="C13" s="293"/>
      <c r="D13" s="302"/>
      <c r="E13" s="361"/>
      <c r="F13" s="295"/>
      <c r="G13" s="296"/>
      <c r="H13" s="466"/>
      <c r="I13" s="296"/>
      <c r="J13" s="366"/>
      <c r="K13" s="127"/>
    </row>
    <row r="14" spans="1:12">
      <c r="A14" s="293"/>
      <c r="B14" s="294"/>
      <c r="C14" s="293"/>
      <c r="D14" s="302"/>
      <c r="E14" s="361"/>
      <c r="F14" s="295"/>
      <c r="G14" s="296"/>
      <c r="H14" s="466"/>
      <c r="I14" s="296"/>
      <c r="J14" s="366"/>
      <c r="K14" s="127"/>
    </row>
    <row r="15" spans="1:12">
      <c r="A15" s="293"/>
      <c r="B15" s="294"/>
      <c r="C15" s="293"/>
      <c r="D15" s="302"/>
      <c r="E15" s="361"/>
      <c r="F15" s="295"/>
      <c r="G15" s="296"/>
      <c r="H15" s="466"/>
      <c r="I15" s="296"/>
      <c r="J15" s="366"/>
      <c r="K15" s="127"/>
    </row>
    <row r="16" spans="1:12">
      <c r="A16" s="293"/>
      <c r="B16" s="294"/>
      <c r="C16" s="293"/>
      <c r="D16" s="302"/>
      <c r="E16" s="361"/>
      <c r="F16" s="295"/>
      <c r="G16" s="296"/>
      <c r="H16" s="466"/>
      <c r="I16" s="296"/>
      <c r="J16" s="366"/>
      <c r="K16" s="127"/>
    </row>
    <row r="17" spans="1:12">
      <c r="A17" s="293"/>
      <c r="B17" s="294"/>
      <c r="C17" s="293"/>
      <c r="D17" s="302"/>
      <c r="E17" s="361"/>
      <c r="F17" s="295"/>
      <c r="G17" s="296"/>
      <c r="H17" s="466"/>
      <c r="I17" s="296"/>
      <c r="J17" s="366"/>
      <c r="K17" s="127"/>
    </row>
    <row r="18" spans="1:12">
      <c r="A18" s="293"/>
      <c r="B18" s="294"/>
      <c r="C18" s="293"/>
      <c r="D18" s="302"/>
      <c r="E18" s="361"/>
      <c r="F18" s="295"/>
      <c r="G18" s="296"/>
      <c r="H18" s="466"/>
      <c r="I18" s="296"/>
      <c r="J18" s="366"/>
      <c r="K18" s="127"/>
    </row>
    <row r="19" spans="1:12">
      <c r="A19" s="293"/>
      <c r="B19" s="294"/>
      <c r="C19" s="293"/>
      <c r="D19" s="302"/>
      <c r="E19" s="361"/>
      <c r="F19" s="295"/>
      <c r="G19" s="296"/>
      <c r="H19" s="466"/>
      <c r="I19" s="296"/>
      <c r="J19" s="366"/>
      <c r="K19" s="127"/>
    </row>
    <row r="20" spans="1:12">
      <c r="A20" s="293"/>
      <c r="B20" s="294"/>
      <c r="C20" s="293"/>
      <c r="D20" s="302"/>
      <c r="E20" s="361"/>
      <c r="F20" s="295"/>
      <c r="G20" s="296"/>
      <c r="H20" s="466"/>
      <c r="I20" s="296"/>
      <c r="J20" s="366"/>
      <c r="K20" s="127"/>
    </row>
    <row r="21" spans="1:12">
      <c r="A21" s="293"/>
      <c r="B21" s="294"/>
      <c r="C21" s="293"/>
      <c r="D21" s="302"/>
      <c r="E21" s="361"/>
      <c r="F21" s="295"/>
      <c r="G21" s="296"/>
      <c r="H21" s="466"/>
      <c r="I21" s="296"/>
      <c r="J21" s="366"/>
      <c r="K21" s="127"/>
    </row>
    <row r="22" spans="1:12">
      <c r="A22" s="293"/>
      <c r="B22" s="294"/>
      <c r="C22" s="293"/>
      <c r="D22" s="302"/>
      <c r="E22" s="361"/>
      <c r="F22" s="295"/>
      <c r="G22" s="296"/>
      <c r="H22" s="466"/>
      <c r="I22" s="296"/>
      <c r="J22" s="366"/>
      <c r="K22" s="127"/>
    </row>
    <row r="23" spans="1:12">
      <c r="A23" s="293"/>
      <c r="B23" s="294"/>
      <c r="C23" s="293"/>
      <c r="D23" s="302"/>
      <c r="E23" s="361"/>
      <c r="F23" s="295"/>
      <c r="G23" s="296"/>
      <c r="H23" s="466"/>
      <c r="I23" s="296"/>
      <c r="J23" s="366"/>
      <c r="K23" s="127"/>
      <c r="L23" s="355"/>
    </row>
    <row r="24" spans="1:12">
      <c r="A24" s="293"/>
      <c r="B24" s="294"/>
      <c r="C24" s="293"/>
      <c r="D24" s="302"/>
      <c r="E24" s="361"/>
      <c r="F24" s="295"/>
      <c r="G24" s="296"/>
      <c r="H24" s="466"/>
      <c r="I24" s="296"/>
      <c r="J24" s="366"/>
      <c r="K24" s="127"/>
    </row>
    <row r="25" spans="1:12">
      <c r="A25" s="293"/>
      <c r="B25" s="294"/>
      <c r="C25" s="293"/>
      <c r="D25" s="302"/>
      <c r="E25" s="361"/>
      <c r="F25" s="295"/>
      <c r="G25" s="296"/>
      <c r="H25" s="466"/>
      <c r="I25" s="296"/>
      <c r="J25" s="366"/>
      <c r="K25" s="127"/>
      <c r="L25" s="99"/>
    </row>
    <row r="26" spans="1:12">
      <c r="A26" s="293"/>
      <c r="B26" s="294"/>
      <c r="C26" s="293"/>
      <c r="D26" s="302"/>
      <c r="E26" s="361"/>
      <c r="F26" s="295"/>
      <c r="G26" s="296"/>
      <c r="H26" s="466"/>
      <c r="I26" s="296"/>
      <c r="J26" s="366"/>
      <c r="K26" s="127"/>
    </row>
    <row r="27" spans="1:12">
      <c r="A27" s="293"/>
      <c r="B27" s="294"/>
      <c r="C27" s="293"/>
      <c r="D27" s="302"/>
      <c r="E27" s="361"/>
      <c r="F27" s="295"/>
      <c r="G27" s="296"/>
      <c r="H27" s="466"/>
      <c r="I27" s="296"/>
      <c r="J27" s="366"/>
      <c r="K27" s="127"/>
    </row>
    <row r="28" spans="1:12">
      <c r="A28" s="293"/>
      <c r="B28" s="294"/>
      <c r="C28" s="293"/>
      <c r="D28" s="302"/>
      <c r="E28" s="361"/>
      <c r="F28" s="295"/>
      <c r="G28" s="296"/>
      <c r="H28" s="466"/>
      <c r="I28" s="296"/>
      <c r="J28" s="366"/>
      <c r="K28" s="127"/>
    </row>
    <row r="29" spans="1:12">
      <c r="A29" s="293"/>
      <c r="B29" s="294"/>
      <c r="C29" s="293"/>
      <c r="D29" s="302"/>
      <c r="E29" s="361"/>
      <c r="F29" s="295"/>
      <c r="G29" s="296"/>
      <c r="H29" s="466"/>
      <c r="I29" s="296"/>
      <c r="J29" s="366"/>
      <c r="K29" s="127"/>
    </row>
    <row r="30" spans="1:12">
      <c r="A30" s="293"/>
      <c r="B30" s="294"/>
      <c r="C30" s="293"/>
      <c r="D30" s="302"/>
      <c r="E30" s="361"/>
      <c r="F30" s="295"/>
      <c r="G30" s="296"/>
      <c r="H30" s="466"/>
      <c r="I30" s="296"/>
      <c r="J30" s="366"/>
      <c r="K30" s="127"/>
    </row>
    <row r="31" spans="1:12">
      <c r="A31" s="293"/>
      <c r="B31" s="294"/>
      <c r="C31" s="293"/>
      <c r="D31" s="302"/>
      <c r="E31" s="361"/>
      <c r="F31" s="295"/>
      <c r="G31" s="296"/>
      <c r="H31" s="466"/>
      <c r="I31" s="296"/>
      <c r="J31" s="366"/>
      <c r="K31" s="127"/>
    </row>
    <row r="32" spans="1:12">
      <c r="A32" s="293"/>
      <c r="B32" s="294"/>
      <c r="C32" s="293"/>
      <c r="D32" s="302"/>
      <c r="E32" s="361"/>
      <c r="F32" s="295"/>
      <c r="G32" s="296"/>
      <c r="H32" s="466"/>
      <c r="I32" s="296"/>
      <c r="J32" s="366"/>
      <c r="K32" s="127"/>
    </row>
    <row r="33" spans="1:11">
      <c r="A33" s="293"/>
      <c r="B33" s="294"/>
      <c r="C33" s="293"/>
      <c r="D33" s="302"/>
      <c r="E33" s="361"/>
      <c r="F33" s="295"/>
      <c r="G33" s="296"/>
      <c r="H33" s="466"/>
      <c r="I33" s="296"/>
      <c r="J33" s="366"/>
      <c r="K33" s="127"/>
    </row>
    <row r="34" spans="1:11">
      <c r="A34" s="293"/>
      <c r="B34" s="294"/>
      <c r="C34" s="293"/>
      <c r="D34" s="302"/>
      <c r="E34" s="361"/>
      <c r="F34" s="295"/>
      <c r="G34" s="296"/>
      <c r="H34" s="466"/>
      <c r="I34" s="296"/>
      <c r="J34" s="366"/>
      <c r="K34" s="127"/>
    </row>
    <row r="35" spans="1:11">
      <c r="A35" s="293"/>
      <c r="B35" s="294"/>
      <c r="C35" s="293"/>
      <c r="D35" s="302"/>
      <c r="E35" s="361"/>
      <c r="F35" s="295"/>
      <c r="G35" s="296"/>
      <c r="H35" s="466"/>
      <c r="I35" s="296"/>
      <c r="J35" s="366"/>
      <c r="K35" s="127"/>
    </row>
    <row r="36" spans="1:11">
      <c r="A36" s="293"/>
      <c r="B36" s="294"/>
      <c r="C36" s="293"/>
      <c r="D36" s="302"/>
      <c r="E36" s="361"/>
      <c r="F36" s="295"/>
      <c r="G36" s="296"/>
      <c r="H36" s="466"/>
      <c r="I36" s="296"/>
      <c r="J36" s="366"/>
      <c r="K36" s="127"/>
    </row>
    <row r="37" spans="1:11">
      <c r="A37" s="293"/>
      <c r="B37" s="294"/>
      <c r="C37" s="293"/>
      <c r="D37" s="302"/>
      <c r="E37" s="361"/>
      <c r="F37" s="295"/>
      <c r="G37" s="296"/>
      <c r="H37" s="466"/>
      <c r="I37" s="296"/>
      <c r="J37" s="366"/>
      <c r="K37" s="127"/>
    </row>
    <row r="38" spans="1:11">
      <c r="A38" s="293"/>
      <c r="B38" s="294"/>
      <c r="C38" s="293"/>
      <c r="D38" s="302"/>
      <c r="E38" s="361"/>
      <c r="F38" s="295"/>
      <c r="G38" s="296"/>
      <c r="H38" s="466"/>
      <c r="I38" s="296"/>
      <c r="J38" s="366"/>
      <c r="K38" s="127"/>
    </row>
    <row r="39" spans="1:11">
      <c r="A39" s="293"/>
      <c r="B39" s="294"/>
      <c r="C39" s="293"/>
      <c r="D39" s="302"/>
      <c r="E39" s="361"/>
      <c r="F39" s="295"/>
      <c r="G39" s="296"/>
      <c r="H39" s="466"/>
      <c r="I39" s="296"/>
      <c r="J39" s="366"/>
      <c r="K39" s="127"/>
    </row>
    <row r="40" spans="1:11">
      <c r="A40" s="293"/>
      <c r="B40" s="294"/>
      <c r="C40" s="293"/>
      <c r="D40" s="302"/>
      <c r="E40" s="361"/>
      <c r="F40" s="295"/>
      <c r="G40" s="296"/>
      <c r="H40" s="466"/>
      <c r="I40" s="296"/>
      <c r="J40" s="366"/>
      <c r="K40" s="127"/>
    </row>
    <row r="41" spans="1:11">
      <c r="A41" s="293"/>
      <c r="B41" s="294"/>
      <c r="C41" s="293"/>
      <c r="D41" s="302"/>
      <c r="E41" s="361"/>
      <c r="F41" s="295"/>
      <c r="G41" s="296"/>
      <c r="H41" s="466"/>
      <c r="I41" s="296"/>
      <c r="J41" s="366"/>
      <c r="K41" s="127"/>
    </row>
    <row r="42" spans="1:11">
      <c r="A42" s="293"/>
      <c r="B42" s="294"/>
      <c r="C42" s="293"/>
      <c r="D42" s="7"/>
      <c r="E42" s="8"/>
      <c r="F42" s="295"/>
      <c r="G42" s="296"/>
      <c r="H42" s="466"/>
      <c r="I42" s="296"/>
      <c r="J42" s="366"/>
      <c r="K42" s="127"/>
    </row>
    <row r="43" spans="1:11">
      <c r="A43" s="293"/>
      <c r="B43" s="294"/>
      <c r="C43" s="293"/>
      <c r="D43" s="7"/>
      <c r="E43" s="8"/>
      <c r="F43" s="295"/>
      <c r="G43" s="296"/>
      <c r="H43" s="466"/>
      <c r="I43" s="296"/>
      <c r="J43" s="366"/>
      <c r="K43" s="127"/>
    </row>
    <row r="44" spans="1:11">
      <c r="A44" s="293"/>
      <c r="B44" s="294"/>
      <c r="C44" s="293"/>
      <c r="D44" s="7"/>
      <c r="E44" s="8"/>
      <c r="F44" s="295"/>
      <c r="G44" s="296"/>
      <c r="H44" s="466"/>
      <c r="I44" s="296"/>
      <c r="J44" s="366"/>
      <c r="K44" s="127"/>
    </row>
    <row r="45" spans="1:11">
      <c r="A45" s="293"/>
      <c r="B45" s="294"/>
      <c r="C45" s="293"/>
      <c r="D45" s="7"/>
      <c r="E45" s="8"/>
      <c r="F45" s="295"/>
      <c r="G45" s="296"/>
      <c r="H45" s="466"/>
      <c r="I45" s="296"/>
      <c r="J45" s="366"/>
      <c r="K45" s="127"/>
    </row>
    <row r="46" spans="1:11">
      <c r="A46" s="1"/>
      <c r="B46" s="1"/>
      <c r="C46" s="1"/>
      <c r="D46" s="7"/>
      <c r="E46" s="8"/>
      <c r="F46" s="295"/>
      <c r="G46" s="296"/>
      <c r="H46" s="7"/>
      <c r="I46" s="296"/>
      <c r="J46" s="29"/>
    </row>
    <row r="47" spans="1:11">
      <c r="A47" s="1"/>
      <c r="B47" s="1"/>
      <c r="C47" s="1"/>
      <c r="D47" s="7"/>
      <c r="E47" s="8"/>
      <c r="F47" s="295"/>
      <c r="G47" s="296"/>
      <c r="H47" s="7"/>
      <c r="I47" s="296"/>
      <c r="J47" s="29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298">
        <f>SUM(J7:J47)</f>
        <v>0</v>
      </c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K49" s="3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K50" s="3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K51" s="3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K52" s="3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K53" s="3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K54" s="3"/>
    </row>
    <row r="55" spans="1:15">
      <c r="A55" s="17" t="s">
        <v>64</v>
      </c>
      <c r="B55" s="17" t="s">
        <v>324</v>
      </c>
      <c r="C55" s="17" t="s">
        <v>35</v>
      </c>
      <c r="D55" s="6" t="s">
        <v>17</v>
      </c>
      <c r="E55" s="6" t="s">
        <v>202</v>
      </c>
      <c r="F55" s="6" t="s">
        <v>201</v>
      </c>
      <c r="G55" s="6" t="s">
        <v>19</v>
      </c>
      <c r="H55" s="6" t="s">
        <v>20</v>
      </c>
      <c r="I55" s="6" t="s">
        <v>21</v>
      </c>
      <c r="J55" s="6" t="s">
        <v>331</v>
      </c>
      <c r="K55" s="6" t="s">
        <v>335</v>
      </c>
    </row>
    <row r="56" spans="1:15">
      <c r="A56" s="629" t="s">
        <v>606</v>
      </c>
      <c r="B56" s="630">
        <v>45992</v>
      </c>
      <c r="C56" s="629" t="s">
        <v>332</v>
      </c>
      <c r="D56" s="8">
        <v>9</v>
      </c>
      <c r="E56" s="361"/>
      <c r="F56" s="295"/>
      <c r="G56" s="8">
        <v>119.59375</v>
      </c>
      <c r="H56" s="367">
        <v>1076343.75</v>
      </c>
      <c r="I56" s="296">
        <v>118.65625</v>
      </c>
      <c r="J56" s="29">
        <v>-8437.5</v>
      </c>
      <c r="K56" s="565">
        <v>46036</v>
      </c>
      <c r="M56" s="2"/>
      <c r="O56" s="2"/>
    </row>
    <row r="57" spans="1:15">
      <c r="A57" s="629" t="s">
        <v>606</v>
      </c>
      <c r="B57" s="631">
        <v>46042</v>
      </c>
      <c r="C57" s="629" t="s">
        <v>332</v>
      </c>
      <c r="D57" s="8">
        <v>5</v>
      </c>
      <c r="E57" s="361">
        <v>4.9299999999999997E-2</v>
      </c>
      <c r="F57" s="295">
        <v>4.8500000000000001E-2</v>
      </c>
      <c r="G57" s="296">
        <v>116.34375</v>
      </c>
      <c r="H57" s="367">
        <v>581718.75</v>
      </c>
      <c r="I57" s="296">
        <v>117.65625</v>
      </c>
      <c r="J57" s="29">
        <v>6562.5</v>
      </c>
      <c r="K57" s="565">
        <v>46044</v>
      </c>
    </row>
    <row r="58" spans="1:15">
      <c r="A58" s="629"/>
      <c r="B58" s="631"/>
      <c r="C58" s="629"/>
      <c r="D58" s="8"/>
      <c r="E58" s="361"/>
      <c r="F58" s="295"/>
      <c r="G58" s="296"/>
      <c r="H58" s="367"/>
      <c r="I58" s="296"/>
      <c r="J58" s="29"/>
      <c r="K58" s="565"/>
    </row>
    <row r="59" spans="1:15">
      <c r="A59" s="629"/>
      <c r="B59" s="631"/>
      <c r="C59" s="629"/>
      <c r="D59" s="8"/>
      <c r="E59" s="361"/>
      <c r="F59" s="295"/>
      <c r="G59" s="296"/>
      <c r="H59" s="367"/>
      <c r="I59" s="296"/>
      <c r="J59" s="29"/>
      <c r="K59" s="565"/>
    </row>
    <row r="60" spans="1:15">
      <c r="A60" s="629"/>
      <c r="B60" s="631"/>
      <c r="C60" s="629"/>
      <c r="D60" s="8"/>
      <c r="E60" s="361"/>
      <c r="F60" s="295"/>
      <c r="G60" s="303"/>
      <c r="H60" s="367"/>
      <c r="I60" s="303"/>
      <c r="J60" s="29"/>
      <c r="K60" s="565"/>
    </row>
    <row r="61" spans="1:15">
      <c r="A61" s="629"/>
      <c r="B61" s="631"/>
      <c r="C61" s="629"/>
      <c r="D61" s="8"/>
      <c r="E61" s="361"/>
      <c r="F61" s="295"/>
      <c r="G61" s="303"/>
      <c r="H61" s="367"/>
      <c r="I61" s="303"/>
      <c r="J61" s="29"/>
      <c r="K61" s="565"/>
    </row>
    <row r="62" spans="1:15">
      <c r="A62" s="629"/>
      <c r="B62" s="631"/>
      <c r="C62" s="629"/>
      <c r="D62" s="8"/>
      <c r="E62" s="361"/>
      <c r="F62" s="295"/>
      <c r="G62" s="303"/>
      <c r="H62" s="7"/>
      <c r="I62" s="303"/>
      <c r="J62" s="29"/>
      <c r="K62" s="565"/>
    </row>
    <row r="63" spans="1:15">
      <c r="A63" s="629"/>
      <c r="B63" s="631"/>
      <c r="C63" s="629"/>
      <c r="D63" s="8"/>
      <c r="E63" s="361"/>
      <c r="F63" s="295"/>
      <c r="G63" s="296"/>
      <c r="H63" s="7"/>
      <c r="I63" s="296"/>
      <c r="J63" s="29"/>
      <c r="K63" s="565"/>
    </row>
    <row r="64" spans="1:15">
      <c r="A64" s="629"/>
      <c r="B64" s="631"/>
      <c r="C64" s="629"/>
      <c r="D64" s="8"/>
      <c r="E64" s="361"/>
      <c r="F64" s="295"/>
      <c r="G64" s="296"/>
      <c r="H64" s="7"/>
      <c r="I64" s="296"/>
      <c r="J64" s="29"/>
      <c r="K64" s="565"/>
    </row>
    <row r="65" spans="1:11">
      <c r="A65" s="83"/>
      <c r="B65" s="83"/>
      <c r="C65" s="83"/>
      <c r="D65" s="8"/>
      <c r="E65" s="361"/>
      <c r="F65" s="295"/>
      <c r="G65" s="296"/>
      <c r="H65" s="7"/>
      <c r="I65" s="296"/>
      <c r="J65" s="29"/>
      <c r="K65" s="565"/>
    </row>
    <row r="66" spans="1:11">
      <c r="A66" s="83"/>
      <c r="B66" s="83"/>
      <c r="C66" s="83"/>
      <c r="D66" s="8"/>
      <c r="E66" s="361"/>
      <c r="F66" s="295"/>
      <c r="G66" s="296"/>
      <c r="H66" s="7"/>
      <c r="I66" s="296"/>
      <c r="J66" s="29"/>
      <c r="K66" s="565"/>
    </row>
    <row r="67" spans="1:11">
      <c r="A67" s="83"/>
      <c r="B67" s="631"/>
      <c r="C67" s="83"/>
      <c r="D67" s="8"/>
      <c r="E67" s="361"/>
      <c r="F67" s="295"/>
      <c r="G67" s="296"/>
      <c r="H67" s="7"/>
      <c r="I67" s="296"/>
      <c r="J67" s="29"/>
      <c r="K67" s="565"/>
    </row>
    <row r="68" spans="1:11">
      <c r="A68" s="83"/>
      <c r="B68" s="83"/>
      <c r="C68" s="83"/>
      <c r="D68" s="8"/>
      <c r="E68" s="361"/>
      <c r="F68" s="295"/>
      <c r="G68" s="296"/>
      <c r="H68" s="7"/>
      <c r="I68" s="296"/>
      <c r="J68" s="29"/>
      <c r="K68" s="565"/>
    </row>
    <row r="69" spans="1:11">
      <c r="A69" s="83"/>
      <c r="B69" s="83"/>
      <c r="C69" s="83"/>
      <c r="D69" s="8"/>
      <c r="E69" s="361"/>
      <c r="F69" s="295"/>
      <c r="G69" s="296"/>
      <c r="H69" s="7"/>
      <c r="I69" s="296"/>
      <c r="J69" s="29"/>
      <c r="K69" s="565"/>
    </row>
    <row r="70" spans="1:11">
      <c r="A70" s="83"/>
      <c r="B70" s="83"/>
      <c r="C70" s="83"/>
      <c r="D70" s="8"/>
      <c r="E70" s="361"/>
      <c r="F70" s="295"/>
      <c r="G70" s="296"/>
      <c r="H70" s="7"/>
      <c r="I70" s="296"/>
      <c r="J70" s="29"/>
      <c r="K70" s="565"/>
    </row>
    <row r="71" spans="1:11">
      <c r="A71" s="83"/>
      <c r="B71" s="83"/>
      <c r="C71" s="83"/>
      <c r="D71" s="8"/>
      <c r="E71" s="361"/>
      <c r="F71" s="295"/>
      <c r="G71" s="296"/>
      <c r="H71" s="7"/>
      <c r="I71" s="296"/>
      <c r="J71" s="29"/>
      <c r="K71" s="565"/>
    </row>
    <row r="72" spans="1:11">
      <c r="A72" s="83"/>
      <c r="B72" s="83"/>
      <c r="C72" s="83"/>
      <c r="D72" s="8"/>
      <c r="E72" s="361"/>
      <c r="F72" s="295"/>
      <c r="G72" s="296"/>
      <c r="H72" s="7"/>
      <c r="I72" s="296"/>
      <c r="J72" s="29"/>
      <c r="K72" s="565"/>
    </row>
    <row r="73" spans="1:11">
      <c r="A73" s="83"/>
      <c r="B73" s="83"/>
      <c r="C73" s="83"/>
      <c r="D73" s="7"/>
      <c r="E73" s="8"/>
      <c r="F73" s="295"/>
      <c r="G73" s="296"/>
      <c r="H73" s="7"/>
      <c r="I73" s="296"/>
      <c r="J73" s="29"/>
      <c r="K73" s="565"/>
    </row>
    <row r="74" spans="1:11">
      <c r="A74" s="83"/>
      <c r="B74" s="83"/>
      <c r="C74" s="83"/>
      <c r="D74" s="7"/>
      <c r="E74" s="8"/>
      <c r="F74" s="295"/>
      <c r="G74" s="296"/>
      <c r="H74" s="7"/>
      <c r="I74" s="296"/>
      <c r="J74" s="29"/>
      <c r="K74" s="565"/>
    </row>
    <row r="75" spans="1:11">
      <c r="A75" s="83"/>
      <c r="B75" s="83"/>
      <c r="C75" s="83"/>
      <c r="D75" s="7"/>
      <c r="E75" s="8"/>
      <c r="F75" s="295"/>
      <c r="G75" s="296"/>
      <c r="H75" s="7"/>
      <c r="I75" s="296"/>
      <c r="J75" s="29"/>
      <c r="K75" s="565"/>
    </row>
    <row r="76" spans="1:11">
      <c r="A76" s="83"/>
      <c r="B76" s="83"/>
      <c r="C76" s="83"/>
      <c r="D76" s="7"/>
      <c r="E76" s="8"/>
      <c r="F76" s="295"/>
      <c r="G76" s="296"/>
      <c r="H76" s="7"/>
      <c r="I76" s="296"/>
      <c r="J76" s="29"/>
      <c r="K76" s="565"/>
    </row>
    <row r="77" spans="1:11">
      <c r="A77" s="83"/>
      <c r="B77" s="83"/>
      <c r="C77" s="83"/>
      <c r="D77" s="7"/>
      <c r="E77" s="361"/>
      <c r="F77" s="295"/>
      <c r="G77" s="296"/>
      <c r="H77" s="7"/>
      <c r="I77" s="296"/>
      <c r="J77" s="29"/>
      <c r="K77" s="565"/>
    </row>
    <row r="78" spans="1:11">
      <c r="A78" s="83"/>
      <c r="B78" s="83"/>
      <c r="C78" s="83"/>
      <c r="D78" s="7"/>
      <c r="E78" s="652"/>
      <c r="F78" s="295"/>
      <c r="G78" s="296"/>
      <c r="H78" s="7"/>
      <c r="I78" s="296"/>
      <c r="J78" s="29"/>
      <c r="K78" s="565"/>
    </row>
    <row r="79" spans="1:11">
      <c r="A79" s="83"/>
      <c r="B79" s="83"/>
      <c r="C79" s="83"/>
      <c r="D79" s="7"/>
      <c r="E79" s="361"/>
      <c r="F79" s="295"/>
      <c r="G79" s="296"/>
      <c r="H79" s="7"/>
      <c r="I79" s="296"/>
      <c r="J79" s="29"/>
      <c r="K79" s="565"/>
    </row>
    <row r="80" spans="1:11">
      <c r="A80" s="83"/>
      <c r="B80" s="83"/>
      <c r="C80" s="83"/>
      <c r="D80" s="7"/>
      <c r="E80" s="652"/>
      <c r="F80" s="295"/>
      <c r="G80" s="296"/>
      <c r="H80" s="7"/>
      <c r="I80" s="296"/>
      <c r="J80" s="29"/>
      <c r="K80" s="565"/>
    </row>
    <row r="81" spans="1:11">
      <c r="A81" s="83"/>
      <c r="B81" s="83"/>
      <c r="C81" s="83"/>
      <c r="D81" s="7"/>
      <c r="E81" s="652"/>
      <c r="F81" s="361"/>
      <c r="G81" s="296"/>
      <c r="H81" s="7"/>
      <c r="I81" s="296"/>
      <c r="J81" s="29"/>
      <c r="K81" s="565"/>
    </row>
    <row r="82" spans="1:11">
      <c r="A82" s="83"/>
      <c r="B82" s="83"/>
      <c r="C82" s="83"/>
      <c r="D82" s="7"/>
      <c r="E82" s="652"/>
      <c r="F82" s="361"/>
      <c r="G82" s="296"/>
      <c r="H82" s="7"/>
      <c r="I82" s="296"/>
      <c r="J82" s="29"/>
      <c r="K82" s="565"/>
    </row>
    <row r="83" spans="1:11">
      <c r="A83" s="83"/>
      <c r="B83" s="83"/>
      <c r="C83" s="83"/>
      <c r="D83" s="7"/>
      <c r="E83" s="8"/>
      <c r="F83" s="295"/>
      <c r="G83" s="296"/>
      <c r="H83" s="7"/>
      <c r="I83" s="296"/>
      <c r="J83" s="29"/>
      <c r="K83" s="565"/>
    </row>
    <row r="84" spans="1:11">
      <c r="A84" s="83"/>
      <c r="B84" s="83"/>
      <c r="C84" s="83"/>
      <c r="D84" s="7"/>
      <c r="E84" s="8"/>
      <c r="F84" s="295"/>
      <c r="G84" s="296"/>
      <c r="H84" s="7"/>
      <c r="I84" s="296"/>
      <c r="J84" s="29"/>
      <c r="K84" s="565"/>
    </row>
    <row r="85" spans="1:11">
      <c r="A85" s="83"/>
      <c r="B85" s="83"/>
      <c r="C85" s="83"/>
      <c r="D85" s="7"/>
      <c r="E85" s="8"/>
      <c r="F85" s="295"/>
      <c r="G85" s="296"/>
      <c r="H85" s="7"/>
      <c r="I85" s="296"/>
      <c r="J85" s="29"/>
      <c r="K85" s="565"/>
    </row>
    <row r="86" spans="1:11">
      <c r="A86" s="83"/>
      <c r="B86" s="83"/>
      <c r="C86" s="83"/>
      <c r="D86" s="7"/>
      <c r="E86" s="8"/>
      <c r="F86" s="295"/>
      <c r="G86" s="296"/>
      <c r="H86" s="7"/>
      <c r="I86" s="296"/>
      <c r="J86" s="299"/>
    </row>
    <row r="87" spans="1:11">
      <c r="B87" s="1"/>
      <c r="C87" s="1"/>
      <c r="D87" s="301">
        <f>SUM(D56:D86)</f>
        <v>14</v>
      </c>
      <c r="E87" s="8"/>
      <c r="F87" s="1"/>
      <c r="G87" s="296"/>
      <c r="H87" s="1"/>
      <c r="I87" s="300"/>
      <c r="J87" s="301">
        <f>SUM(J56:J86)</f>
        <v>-1875</v>
      </c>
    </row>
    <row r="88" spans="1:11">
      <c r="A88" s="1"/>
      <c r="B88" s="1"/>
      <c r="C88" s="1"/>
      <c r="D88" s="1"/>
      <c r="E88" s="1"/>
      <c r="F88" s="1"/>
      <c r="G88" s="1"/>
      <c r="H88" s="1"/>
      <c r="I88" s="50"/>
      <c r="J88" s="29"/>
    </row>
    <row r="89" spans="1:11">
      <c r="A89" s="1"/>
      <c r="B89" s="1"/>
      <c r="C89" s="1"/>
      <c r="D89" s="31"/>
      <c r="E89" s="1"/>
      <c r="F89" s="1"/>
      <c r="G89" s="1"/>
      <c r="H89" s="1"/>
      <c r="I89" s="1"/>
      <c r="J89" s="3"/>
    </row>
    <row r="90" spans="1:11">
      <c r="A90" s="1"/>
      <c r="B90" s="1"/>
      <c r="C90" s="1"/>
      <c r="D90" s="31"/>
      <c r="E90" s="1"/>
      <c r="F90" s="1"/>
      <c r="G90" s="1"/>
      <c r="H90" s="1"/>
      <c r="I90" s="1"/>
    </row>
    <row r="91" spans="1:11">
      <c r="A91" s="1"/>
      <c r="B91" s="1"/>
      <c r="C91" s="1"/>
      <c r="D91" s="31"/>
      <c r="E91" s="1"/>
      <c r="F91" s="1"/>
      <c r="G91" s="1"/>
      <c r="H91" s="1"/>
      <c r="I91" s="1"/>
    </row>
    <row r="92" spans="1:11">
      <c r="A92" s="1"/>
      <c r="B92" s="1"/>
      <c r="C92" s="1"/>
      <c r="D92" s="31"/>
      <c r="E92" s="1"/>
      <c r="F92" s="1"/>
      <c r="G92" s="1"/>
      <c r="H92" s="1"/>
      <c r="I92" s="1"/>
    </row>
    <row r="93" spans="1:11">
      <c r="A93" s="1"/>
      <c r="B93" s="1"/>
      <c r="C93" s="1"/>
      <c r="D93" s="31"/>
      <c r="E93" s="1"/>
      <c r="F93" s="1"/>
      <c r="G93" s="1"/>
      <c r="H93" s="1"/>
      <c r="I93" s="1"/>
    </row>
    <row r="94" spans="1:11">
      <c r="A94" s="1"/>
      <c r="B94" s="1"/>
      <c r="C94" s="1"/>
      <c r="D94" s="31"/>
      <c r="E94" s="1"/>
      <c r="F94" s="1"/>
      <c r="G94" s="1"/>
      <c r="H94" s="1"/>
      <c r="I94" s="1"/>
    </row>
    <row r="95" spans="1:11">
      <c r="A95" s="1"/>
      <c r="B95" s="1"/>
      <c r="C95" s="1"/>
      <c r="D95" s="31"/>
      <c r="E95" s="1"/>
      <c r="F95" s="1"/>
      <c r="G95" s="1"/>
      <c r="H95" s="1"/>
      <c r="I95" s="1"/>
    </row>
    <row r="96" spans="1:11">
      <c r="A96" s="1"/>
      <c r="B96" s="1"/>
      <c r="C96" s="1"/>
      <c r="D96" s="31"/>
      <c r="E96" s="1"/>
      <c r="F96" s="1"/>
      <c r="G96" s="1"/>
      <c r="H96" s="1"/>
      <c r="I96" s="1"/>
    </row>
    <row r="97" spans="1:9">
      <c r="A97" s="1"/>
      <c r="B97" s="1"/>
      <c r="C97" s="1"/>
      <c r="D97" s="31"/>
      <c r="E97" s="1"/>
      <c r="F97" s="1"/>
      <c r="G97" s="1"/>
      <c r="H97" s="1"/>
      <c r="I97" s="1"/>
    </row>
    <row r="98" spans="1:9">
      <c r="A98" s="1"/>
      <c r="B98" s="1"/>
      <c r="C98" s="1"/>
      <c r="D98" s="31"/>
      <c r="E98" s="1"/>
      <c r="F98" s="1"/>
      <c r="G98" s="1"/>
      <c r="H98" s="1"/>
      <c r="I98" s="1"/>
    </row>
    <row r="99" spans="1:9">
      <c r="A99" s="1"/>
      <c r="B99" s="1"/>
      <c r="C99" s="1"/>
      <c r="D99" s="31"/>
      <c r="E99" s="1"/>
      <c r="F99" s="1"/>
      <c r="G99" s="1"/>
      <c r="H99" s="1"/>
      <c r="I99" s="1"/>
    </row>
    <row r="100" spans="1:9">
      <c r="A100" s="1"/>
      <c r="B100" s="1"/>
      <c r="C100" s="1"/>
      <c r="D100" s="31"/>
      <c r="E100" s="1"/>
      <c r="F100" s="1"/>
      <c r="G100" s="1"/>
      <c r="H100" s="1"/>
      <c r="I100" s="1"/>
    </row>
    <row r="101" spans="1:9">
      <c r="A101" s="1"/>
      <c r="B101" s="1"/>
      <c r="C101" s="1"/>
      <c r="D101" s="31"/>
      <c r="E101" s="1"/>
      <c r="F101" s="1"/>
      <c r="G101" s="1"/>
      <c r="H101" s="1"/>
      <c r="I101" s="1"/>
    </row>
    <row r="102" spans="1:9">
      <c r="A102" s="1"/>
      <c r="B102" s="1"/>
      <c r="C102" s="1"/>
      <c r="D102" s="31"/>
      <c r="E102" s="1"/>
      <c r="F102" s="1"/>
      <c r="G102" s="1"/>
      <c r="H102" s="1"/>
      <c r="I102" s="1"/>
    </row>
    <row r="103" spans="1:9">
      <c r="A103" s="1"/>
      <c r="B103" s="1"/>
      <c r="C103" s="1"/>
      <c r="D103" s="31"/>
      <c r="E103" s="1"/>
      <c r="F103" s="1"/>
      <c r="G103" s="1"/>
      <c r="H103" s="1"/>
      <c r="I103" s="1"/>
    </row>
    <row r="104" spans="1:9">
      <c r="A104" s="1"/>
      <c r="B104" s="1"/>
      <c r="C104" s="1"/>
      <c r="D104" s="31"/>
      <c r="E104" s="1"/>
      <c r="F104" s="1"/>
      <c r="G104" s="1"/>
      <c r="H104" s="1"/>
      <c r="I104" s="1"/>
    </row>
    <row r="105" spans="1:9">
      <c r="A105" s="1"/>
      <c r="B105" s="1"/>
      <c r="C105" s="1"/>
      <c r="D105" s="31"/>
      <c r="E105" s="1"/>
      <c r="F105" s="1"/>
      <c r="G105" s="1"/>
      <c r="H105" s="1"/>
      <c r="I105" s="1"/>
    </row>
    <row r="106" spans="1:9">
      <c r="A106" s="1"/>
      <c r="B106" s="1"/>
      <c r="C106" s="1"/>
      <c r="D106" s="1"/>
      <c r="E106" s="1"/>
      <c r="F106" s="1"/>
      <c r="G106" s="1"/>
      <c r="H106" s="1"/>
      <c r="I106" s="1"/>
    </row>
    <row r="107" spans="1:9">
      <c r="A107" s="1"/>
      <c r="B107" s="1"/>
      <c r="C107" s="1"/>
      <c r="D107" s="1"/>
      <c r="E107" s="1"/>
      <c r="F107" s="1"/>
      <c r="G107" s="1"/>
      <c r="H107" s="1"/>
      <c r="I107" s="1"/>
    </row>
    <row r="108" spans="1:9">
      <c r="A108" s="1"/>
      <c r="B108" s="1"/>
      <c r="C108" s="1"/>
      <c r="D108" s="1"/>
      <c r="E108" s="1"/>
      <c r="F108" s="1"/>
      <c r="G108" s="1"/>
      <c r="H108" s="1"/>
      <c r="I108" s="1"/>
    </row>
    <row r="109" spans="1:9">
      <c r="A109" s="1"/>
      <c r="B109" s="3"/>
      <c r="C109" s="1"/>
      <c r="D109" s="1"/>
      <c r="E109" s="1"/>
      <c r="F109" s="1"/>
      <c r="G109" s="1"/>
      <c r="H109" s="1"/>
      <c r="I109" s="1"/>
    </row>
    <row r="110" spans="1:9">
      <c r="A110" s="1"/>
      <c r="B110" s="1"/>
      <c r="C110" s="1"/>
      <c r="D110" s="1"/>
      <c r="E110" s="1"/>
      <c r="F110" s="1"/>
      <c r="G110" s="1"/>
      <c r="H110" s="1"/>
      <c r="I110" s="1"/>
    </row>
    <row r="111" spans="1:9">
      <c r="A111" s="1"/>
      <c r="B111" s="1"/>
      <c r="C111" s="1"/>
      <c r="D111" s="1"/>
      <c r="E111" s="1"/>
      <c r="F111" s="1"/>
      <c r="G111" s="1"/>
      <c r="H111" s="1"/>
      <c r="I111" s="1"/>
    </row>
    <row r="112" spans="1:9">
      <c r="A112" s="1"/>
      <c r="B112" s="1"/>
      <c r="C112" s="1"/>
      <c r="D112" s="1"/>
      <c r="E112" s="1"/>
      <c r="F112" s="1"/>
      <c r="G112" s="1"/>
      <c r="H112" s="1"/>
      <c r="I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</sheetData>
  <autoFilter ref="A6:J6" xr:uid="{00000000-0009-0000-0000-000009000000}"/>
  <sortState xmlns:xlrd2="http://schemas.microsoft.com/office/spreadsheetml/2017/richdata2" ref="A7:J9">
    <sortCondition ref="A7:A9"/>
  </sortState>
  <mergeCells count="1">
    <mergeCell ref="A4:C4"/>
  </mergeCells>
  <phoneticPr fontId="0" type="noConversion"/>
  <pageMargins left="0.75" right="0.75" top="0.39" bottom="0.56999999999999995" header="0" footer="0"/>
  <pageSetup scale="82" orientation="landscape" r:id="rId1"/>
  <headerFooter alignWithMargins="0">
    <oddHeader>&amp;LTreasury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93FC-AE0E-40F5-AF5A-39096E427046}">
  <dimension ref="A1:AZ210"/>
  <sheetViews>
    <sheetView zoomScaleNormal="100" workbookViewId="0">
      <pane xSplit="5" ySplit="4" topLeftCell="F99" activePane="bottomRight" state="frozen"/>
      <selection pane="topRight" activeCell="F1" sqref="F1"/>
      <selection pane="bottomLeft" activeCell="A5" sqref="A5"/>
      <selection pane="bottomRight" activeCell="J176" sqref="J176"/>
    </sheetView>
  </sheetViews>
  <sheetFormatPr baseColWidth="10" defaultColWidth="11.54296875" defaultRowHeight="13"/>
  <cols>
    <col min="1" max="1" width="11.54296875" style="346"/>
    <col min="2" max="2" width="14.90625" style="346" bestFit="1" customWidth="1"/>
    <col min="3" max="3" width="33.08984375" style="346" customWidth="1"/>
    <col min="4" max="4" width="23.81640625" style="346" customWidth="1"/>
    <col min="5" max="5" width="13.54296875" style="346" bestFit="1" customWidth="1"/>
    <col min="6" max="6" width="14.54296875" style="346" bestFit="1" customWidth="1"/>
    <col min="7" max="7" width="17.54296875" style="346" bestFit="1" customWidth="1"/>
    <col min="8" max="8" width="11.54296875" style="346"/>
    <col min="9" max="9" width="15.453125" style="346" bestFit="1" customWidth="1"/>
    <col min="10" max="10" width="16.453125" style="346" bestFit="1" customWidth="1"/>
    <col min="11" max="11" width="13.54296875" style="472" bestFit="1" customWidth="1"/>
    <col min="12" max="12" width="11.54296875" style="346"/>
    <col min="13" max="13" width="12.54296875" style="346" customWidth="1"/>
    <col min="14" max="14" width="13" style="346" customWidth="1"/>
    <col min="15" max="15" width="11.54296875" style="346"/>
    <col min="16" max="16" width="12.81640625" style="346" bestFit="1" customWidth="1"/>
    <col min="17" max="17" width="22.08984375" style="346" bestFit="1" customWidth="1"/>
    <col min="18" max="21" width="11.54296875" style="346"/>
    <col min="22" max="22" width="11.6328125" style="346" bestFit="1" customWidth="1"/>
    <col min="23" max="23" width="11.54296875" style="346" customWidth="1"/>
    <col min="24" max="24" width="11.6328125" style="346" bestFit="1" customWidth="1"/>
    <col min="25" max="25" width="14.08984375" style="346" bestFit="1" customWidth="1"/>
    <col min="26" max="27" width="13.453125" style="346" bestFit="1" customWidth="1"/>
    <col min="28" max="29" width="13.81640625" style="346" bestFit="1" customWidth="1"/>
    <col min="30" max="30" width="13.54296875" style="346" bestFit="1" customWidth="1"/>
    <col min="31" max="31" width="18" style="346" bestFit="1" customWidth="1"/>
    <col min="32" max="32" width="11.6328125" style="346" bestFit="1" customWidth="1"/>
    <col min="33" max="33" width="12" style="346" bestFit="1" customWidth="1"/>
    <col min="34" max="35" width="11.6328125" style="346" bestFit="1" customWidth="1"/>
    <col min="36" max="36" width="12.90625" style="346" bestFit="1" customWidth="1"/>
    <col min="37" max="37" width="13.54296875" style="346" bestFit="1" customWidth="1"/>
    <col min="38" max="42" width="11.6328125" style="346" bestFit="1" customWidth="1"/>
    <col min="43" max="43" width="12" style="346" bestFit="1" customWidth="1"/>
    <col min="44" max="52" width="11.6328125" style="346" bestFit="1" customWidth="1"/>
    <col min="53" max="16384" width="11.54296875" style="346"/>
  </cols>
  <sheetData>
    <row r="1" spans="1:40" ht="18">
      <c r="A1" s="859" t="s">
        <v>609</v>
      </c>
      <c r="B1" s="860"/>
      <c r="C1" s="860"/>
      <c r="D1" s="860"/>
      <c r="E1" s="860"/>
      <c r="F1" s="860"/>
      <c r="G1" s="860"/>
      <c r="H1" s="860"/>
      <c r="I1" s="860"/>
      <c r="J1" s="860"/>
      <c r="K1" s="861"/>
      <c r="AB1" s="595"/>
      <c r="AC1" s="596"/>
    </row>
    <row r="2" spans="1:40">
      <c r="K2" s="740"/>
    </row>
    <row r="3" spans="1:40" ht="14.5">
      <c r="A3" s="482" t="s">
        <v>345</v>
      </c>
      <c r="B3" s="482" t="s">
        <v>343</v>
      </c>
      <c r="C3" s="578" t="s">
        <v>482</v>
      </c>
      <c r="D3" s="578" t="s">
        <v>466</v>
      </c>
      <c r="E3" s="483" t="s">
        <v>481</v>
      </c>
      <c r="F3" s="483" t="s">
        <v>480</v>
      </c>
      <c r="G3" s="482" t="s">
        <v>341</v>
      </c>
      <c r="H3" s="482" t="s">
        <v>479</v>
      </c>
      <c r="I3" s="482" t="s">
        <v>641</v>
      </c>
      <c r="J3" s="482" t="s">
        <v>478</v>
      </c>
      <c r="K3" s="738" t="s">
        <v>560</v>
      </c>
      <c r="L3" s="482" t="s">
        <v>477</v>
      </c>
      <c r="M3" s="483" t="s">
        <v>476</v>
      </c>
      <c r="N3" s="482" t="s">
        <v>475</v>
      </c>
      <c r="O3" s="482" t="s">
        <v>474</v>
      </c>
      <c r="P3" s="482" t="s">
        <v>473</v>
      </c>
      <c r="Q3" s="483" t="s">
        <v>472</v>
      </c>
      <c r="R3" s="483" t="s">
        <v>471</v>
      </c>
      <c r="S3" s="482" t="s">
        <v>470</v>
      </c>
      <c r="T3" s="482" t="s">
        <v>469</v>
      </c>
      <c r="U3" s="482" t="s">
        <v>468</v>
      </c>
      <c r="V3" s="482" t="s">
        <v>467</v>
      </c>
      <c r="W3" s="482" t="s">
        <v>466</v>
      </c>
      <c r="X3" s="482" t="s">
        <v>465</v>
      </c>
      <c r="Y3" s="482" t="s">
        <v>464</v>
      </c>
      <c r="Z3" s="482" t="s">
        <v>77</v>
      </c>
      <c r="AA3" s="482" t="s">
        <v>22</v>
      </c>
      <c r="AB3" s="482" t="s">
        <v>463</v>
      </c>
      <c r="AC3" s="482" t="s">
        <v>462</v>
      </c>
      <c r="AD3" s="482" t="s">
        <v>461</v>
      </c>
      <c r="AE3" s="482" t="s">
        <v>460</v>
      </c>
      <c r="AF3" s="482" t="s">
        <v>459</v>
      </c>
      <c r="AG3" s="482" t="s">
        <v>458</v>
      </c>
      <c r="AH3" s="346" t="s">
        <v>457</v>
      </c>
      <c r="AI3" s="346" t="s">
        <v>456</v>
      </c>
      <c r="AJ3" s="472" t="s">
        <v>555</v>
      </c>
      <c r="AK3" s="472" t="s">
        <v>695</v>
      </c>
    </row>
    <row r="4" spans="1:40" ht="14.5">
      <c r="A4" s="468" t="s">
        <v>765</v>
      </c>
      <c r="B4" s="579" t="s">
        <v>764</v>
      </c>
      <c r="C4" s="479" t="s">
        <v>723</v>
      </c>
      <c r="D4" s="476">
        <v>588.23529411764707</v>
      </c>
      <c r="E4" s="478">
        <v>1.5</v>
      </c>
      <c r="F4" s="478" t="s">
        <v>437</v>
      </c>
      <c r="G4" s="477">
        <v>106</v>
      </c>
      <c r="H4" s="478">
        <v>29.433</v>
      </c>
      <c r="I4" s="478">
        <v>64.825000000000003</v>
      </c>
      <c r="J4" s="478">
        <v>57.908000000000001</v>
      </c>
      <c r="K4" s="739">
        <f t="shared" ref="K4:K10" si="0">IF(AF4="","",AF4/Z4)</f>
        <v>2.5903156731366998E-2</v>
      </c>
      <c r="L4" s="478">
        <v>13.423314447954876</v>
      </c>
      <c r="M4" s="478">
        <v>7.4970214565081212</v>
      </c>
      <c r="N4" s="478" t="s">
        <v>360</v>
      </c>
      <c r="O4" s="478" t="s">
        <v>354</v>
      </c>
      <c r="P4" s="478" t="s">
        <v>352</v>
      </c>
      <c r="Q4" s="478" t="s">
        <v>358</v>
      </c>
      <c r="R4" s="478" t="s">
        <v>436</v>
      </c>
      <c r="S4" s="478" t="s">
        <v>349</v>
      </c>
      <c r="T4" s="477" t="s">
        <v>348</v>
      </c>
      <c r="U4" s="477"/>
      <c r="V4" s="477" t="s">
        <v>347</v>
      </c>
      <c r="W4" s="476">
        <f t="shared" ref="W4:W10" si="1">+D4*G4/100</f>
        <v>623.52941176470586</v>
      </c>
      <c r="X4" s="476">
        <f t="shared" ref="X4:X10" si="2">+D4*G4/100</f>
        <v>623.52941176470586</v>
      </c>
      <c r="Y4" s="468"/>
      <c r="Z4" s="474">
        <f t="shared" ref="Z4:Z10" si="3">+D4*J4/100</f>
        <v>340.63529411764705</v>
      </c>
      <c r="AA4" s="475">
        <f t="shared" ref="AA4:AA10" si="4">IF(+I4=0,AB4,D4*(J4-I4)/100)</f>
        <v>-40.688235294117661</v>
      </c>
      <c r="AB4" s="475">
        <f t="shared" ref="AB4:AB11" si="5">+$D4*($J4-$G4)/100</f>
        <v>-282.89411764705881</v>
      </c>
      <c r="AC4" s="468">
        <f t="shared" ref="AC4:AC10" si="6">+Z4*L4</f>
        <v>4572.4546650127704</v>
      </c>
      <c r="AD4" s="468">
        <f t="shared" ref="AD4:AD10" si="7">+Z4*M4</f>
        <v>2553.7501088439544</v>
      </c>
      <c r="AE4" s="716">
        <f t="shared" ref="AE4:AE10" si="8">+AA4/X4</f>
        <v>-6.5254716981132097E-2</v>
      </c>
      <c r="AF4" s="474">
        <f t="shared" ref="AF4" si="9">+D4*E4/100</f>
        <v>8.8235294117647065</v>
      </c>
      <c r="AJ4" s="521">
        <v>0</v>
      </c>
      <c r="AK4" s="548">
        <f t="shared" ref="AK4:AK10" si="10">AJ4*Z4</f>
        <v>0</v>
      </c>
      <c r="AL4" s="550"/>
    </row>
    <row r="5" spans="1:40" ht="14.5">
      <c r="A5" s="468" t="s">
        <v>765</v>
      </c>
      <c r="B5" s="579" t="s">
        <v>764</v>
      </c>
      <c r="C5" s="479" t="s">
        <v>724</v>
      </c>
      <c r="D5" s="476">
        <v>32352.941176470587</v>
      </c>
      <c r="E5" s="478">
        <v>0</v>
      </c>
      <c r="F5" s="481">
        <v>46177</v>
      </c>
      <c r="G5" s="478">
        <v>98.236687500000002</v>
      </c>
      <c r="H5" s="478"/>
      <c r="I5" s="478">
        <v>98.519400000000005</v>
      </c>
      <c r="J5" s="477">
        <v>98.881</v>
      </c>
      <c r="K5" s="743">
        <f t="shared" si="0"/>
        <v>3.7029685713853767E-2</v>
      </c>
      <c r="L5" s="478">
        <v>3.661532353071574</v>
      </c>
      <c r="M5" s="478">
        <v>0.30684931506849317</v>
      </c>
      <c r="N5" s="478" t="s">
        <v>354</v>
      </c>
      <c r="O5" s="478" t="s">
        <v>354</v>
      </c>
      <c r="P5" s="478" t="s">
        <v>354</v>
      </c>
      <c r="Q5" s="478" t="s">
        <v>358</v>
      </c>
      <c r="R5" s="478" t="s">
        <v>393</v>
      </c>
      <c r="S5" s="478" t="s">
        <v>349</v>
      </c>
      <c r="T5" s="477" t="s">
        <v>392</v>
      </c>
      <c r="U5" s="477"/>
      <c r="V5" s="477" t="s">
        <v>391</v>
      </c>
      <c r="W5" s="476">
        <f t="shared" si="1"/>
        <v>31782.457720588238</v>
      </c>
      <c r="X5" s="476">
        <f t="shared" si="2"/>
        <v>31782.457720588238</v>
      </c>
      <c r="Y5" s="468"/>
      <c r="Z5" s="746">
        <f t="shared" si="3"/>
        <v>31990.911764705881</v>
      </c>
      <c r="AA5" s="475">
        <f t="shared" si="4"/>
        <v>116.98823529411625</v>
      </c>
      <c r="AB5" s="475">
        <f t="shared" si="5"/>
        <v>208.45404411764645</v>
      </c>
      <c r="AC5" s="468">
        <f t="shared" si="6"/>
        <v>117135.75843072863</v>
      </c>
      <c r="AD5" s="468">
        <f t="shared" si="7"/>
        <v>9816.3893634165997</v>
      </c>
      <c r="AE5" s="716">
        <f t="shared" si="8"/>
        <v>3.6809058733784732E-3</v>
      </c>
      <c r="AF5" s="474">
        <f t="shared" ref="AF5:AF10" si="11">+D5*L5/100</f>
        <v>1184.6134083466857</v>
      </c>
      <c r="AJ5" s="521">
        <v>0.95</v>
      </c>
      <c r="AK5" s="548">
        <f t="shared" si="10"/>
        <v>30391.366176470587</v>
      </c>
      <c r="AL5" s="550"/>
    </row>
    <row r="6" spans="1:40" ht="14.5">
      <c r="A6" s="468" t="s">
        <v>765</v>
      </c>
      <c r="B6" s="579" t="s">
        <v>764</v>
      </c>
      <c r="C6" s="479" t="s">
        <v>725</v>
      </c>
      <c r="D6" s="476">
        <v>1544.1176470588234</v>
      </c>
      <c r="E6" s="478">
        <v>0</v>
      </c>
      <c r="F6" s="481">
        <v>46177</v>
      </c>
      <c r="G6" s="477">
        <v>98.24</v>
      </c>
      <c r="H6" s="478"/>
      <c r="I6" s="478">
        <v>98.519400000000005</v>
      </c>
      <c r="J6" s="477">
        <v>98.881</v>
      </c>
      <c r="K6" s="743">
        <f t="shared" si="0"/>
        <v>3.7029685713853761E-2</v>
      </c>
      <c r="L6" s="478">
        <v>3.661532353071574</v>
      </c>
      <c r="M6" s="478">
        <v>0.30684931506849317</v>
      </c>
      <c r="N6" s="478" t="s">
        <v>354</v>
      </c>
      <c r="O6" s="478" t="s">
        <v>354</v>
      </c>
      <c r="P6" s="478" t="s">
        <v>354</v>
      </c>
      <c r="Q6" s="478" t="s">
        <v>358</v>
      </c>
      <c r="R6" s="478" t="s">
        <v>393</v>
      </c>
      <c r="S6" s="478" t="s">
        <v>349</v>
      </c>
      <c r="T6" s="477" t="s">
        <v>392</v>
      </c>
      <c r="U6" s="477"/>
      <c r="V6" s="477" t="s">
        <v>391</v>
      </c>
      <c r="W6" s="476">
        <f t="shared" si="1"/>
        <v>1516.9411764705881</v>
      </c>
      <c r="X6" s="476">
        <f t="shared" si="2"/>
        <v>1516.9411764705881</v>
      </c>
      <c r="Y6" s="468"/>
      <c r="Z6" s="746">
        <f t="shared" si="3"/>
        <v>1526.8389705882353</v>
      </c>
      <c r="AA6" s="475">
        <f t="shared" si="4"/>
        <v>5.5835294117646388</v>
      </c>
      <c r="AB6" s="475">
        <f t="shared" si="5"/>
        <v>9.8977941176471411</v>
      </c>
      <c r="AC6" s="468">
        <f t="shared" si="6"/>
        <v>5590.5702887393209</v>
      </c>
      <c r="AD6" s="468">
        <f t="shared" si="7"/>
        <v>468.5094923448832</v>
      </c>
      <c r="AE6" s="716">
        <f t="shared" si="8"/>
        <v>3.6807817589576109E-3</v>
      </c>
      <c r="AF6" s="474">
        <f t="shared" si="11"/>
        <v>56.538367216546355</v>
      </c>
      <c r="AG6" s="471">
        <v>45120</v>
      </c>
      <c r="AJ6" s="521">
        <v>0.95</v>
      </c>
      <c r="AK6" s="548">
        <f t="shared" si="10"/>
        <v>1450.4970220588234</v>
      </c>
      <c r="AL6" s="550"/>
      <c r="AN6" s="346" t="s">
        <v>696</v>
      </c>
    </row>
    <row r="7" spans="1:40" ht="14.5">
      <c r="A7" s="468" t="s">
        <v>765</v>
      </c>
      <c r="B7" s="579" t="s">
        <v>764</v>
      </c>
      <c r="C7" s="479" t="s">
        <v>726</v>
      </c>
      <c r="D7" s="476">
        <v>1973.5294117647059</v>
      </c>
      <c r="E7" s="478">
        <v>0</v>
      </c>
      <c r="F7" s="481">
        <v>46177</v>
      </c>
      <c r="G7" s="478">
        <v>98.236000000000004</v>
      </c>
      <c r="H7" s="478"/>
      <c r="I7" s="478">
        <v>98.519400000000005</v>
      </c>
      <c r="J7" s="477">
        <v>98.881</v>
      </c>
      <c r="K7" s="743">
        <f t="shared" si="0"/>
        <v>3.7029685713853767E-2</v>
      </c>
      <c r="L7" s="478">
        <v>3.661532353071574</v>
      </c>
      <c r="M7" s="478">
        <v>0.30684931506849317</v>
      </c>
      <c r="N7" s="478" t="s">
        <v>354</v>
      </c>
      <c r="O7" s="478" t="s">
        <v>354</v>
      </c>
      <c r="P7" s="478" t="s">
        <v>354</v>
      </c>
      <c r="Q7" s="478" t="s">
        <v>358</v>
      </c>
      <c r="R7" s="478" t="s">
        <v>393</v>
      </c>
      <c r="S7" s="478" t="s">
        <v>349</v>
      </c>
      <c r="T7" s="477" t="s">
        <v>392</v>
      </c>
      <c r="U7" s="477"/>
      <c r="V7" s="477" t="s">
        <v>391</v>
      </c>
      <c r="W7" s="476">
        <f t="shared" si="1"/>
        <v>1938.7163529411764</v>
      </c>
      <c r="X7" s="476">
        <f t="shared" si="2"/>
        <v>1938.7163529411764</v>
      </c>
      <c r="Y7" s="468"/>
      <c r="Z7" s="746">
        <f t="shared" si="3"/>
        <v>1951.4456176470587</v>
      </c>
      <c r="AA7" s="475">
        <f t="shared" si="4"/>
        <v>7.136282352941091</v>
      </c>
      <c r="AB7" s="475">
        <f t="shared" si="5"/>
        <v>12.729264705882274</v>
      </c>
      <c r="AC7" s="468">
        <f t="shared" si="6"/>
        <v>7145.2812642744457</v>
      </c>
      <c r="AD7" s="468">
        <f t="shared" si="7"/>
        <v>598.79975116841263</v>
      </c>
      <c r="AE7" s="716">
        <f t="shared" si="8"/>
        <v>3.6809316340241428E-3</v>
      </c>
      <c r="AF7" s="474">
        <f t="shared" si="11"/>
        <v>72.261417909147838</v>
      </c>
      <c r="AG7" s="471">
        <v>45120</v>
      </c>
      <c r="AJ7" s="521">
        <v>0.95</v>
      </c>
      <c r="AK7" s="548">
        <f t="shared" si="10"/>
        <v>1853.8733367647058</v>
      </c>
      <c r="AL7" s="550"/>
      <c r="AM7" s="346" t="s">
        <v>1</v>
      </c>
      <c r="AN7" s="484">
        <f>SUMIF($A$4:$A$25,AM7,$AK$4:$AK$25)</f>
        <v>0</v>
      </c>
    </row>
    <row r="8" spans="1:40" ht="14.5">
      <c r="A8" s="468" t="s">
        <v>765</v>
      </c>
      <c r="B8" s="579" t="s">
        <v>764</v>
      </c>
      <c r="C8" s="479" t="s">
        <v>727</v>
      </c>
      <c r="D8" s="476">
        <v>764.70588235294122</v>
      </c>
      <c r="E8" s="478">
        <v>0</v>
      </c>
      <c r="F8" s="481">
        <v>46177</v>
      </c>
      <c r="G8" s="477">
        <v>98.188599999999994</v>
      </c>
      <c r="H8" s="478"/>
      <c r="I8" s="478">
        <v>98.519400000000005</v>
      </c>
      <c r="J8" s="477">
        <v>98.881</v>
      </c>
      <c r="K8" s="743">
        <f t="shared" si="0"/>
        <v>3.7029685713853767E-2</v>
      </c>
      <c r="L8" s="478">
        <v>3.661532353071574</v>
      </c>
      <c r="M8" s="478">
        <v>0.30684931506849317</v>
      </c>
      <c r="N8" s="478" t="s">
        <v>354</v>
      </c>
      <c r="O8" s="478" t="s">
        <v>354</v>
      </c>
      <c r="P8" s="478" t="s">
        <v>354</v>
      </c>
      <c r="Q8" s="478" t="s">
        <v>358</v>
      </c>
      <c r="R8" s="478" t="s">
        <v>393</v>
      </c>
      <c r="S8" s="478" t="s">
        <v>349</v>
      </c>
      <c r="T8" s="477" t="s">
        <v>392</v>
      </c>
      <c r="U8" s="477"/>
      <c r="V8" s="477" t="s">
        <v>391</v>
      </c>
      <c r="W8" s="476">
        <f t="shared" si="1"/>
        <v>750.85399999999993</v>
      </c>
      <c r="X8" s="476">
        <f t="shared" si="2"/>
        <v>750.85399999999993</v>
      </c>
      <c r="Y8" s="468"/>
      <c r="Z8" s="746">
        <f t="shared" si="3"/>
        <v>756.14882352941174</v>
      </c>
      <c r="AA8" s="475">
        <f t="shared" si="4"/>
        <v>2.7651764705882029</v>
      </c>
      <c r="AB8" s="475">
        <f t="shared" si="5"/>
        <v>5.294823529411814</v>
      </c>
      <c r="AC8" s="468">
        <f t="shared" si="6"/>
        <v>2768.6633810899493</v>
      </c>
      <c r="AD8" s="468">
        <f t="shared" si="7"/>
        <v>232.02374858984692</v>
      </c>
      <c r="AE8" s="716">
        <f t="shared" si="8"/>
        <v>3.6827085832774457E-3</v>
      </c>
      <c r="AF8" s="474">
        <f t="shared" si="11"/>
        <v>27.999953288194391</v>
      </c>
      <c r="AJ8" s="521">
        <v>0.85</v>
      </c>
      <c r="AK8" s="548">
        <f t="shared" si="10"/>
        <v>642.72649999999999</v>
      </c>
      <c r="AL8" s="550"/>
      <c r="AM8" s="346" t="s">
        <v>339</v>
      </c>
      <c r="AN8" s="484">
        <f>SUMIF($A$4:$A$25,AM8,$AK$4:$AK$25)</f>
        <v>0</v>
      </c>
    </row>
    <row r="9" spans="1:40" ht="14.5">
      <c r="A9" s="468" t="s">
        <v>765</v>
      </c>
      <c r="B9" s="579" t="s">
        <v>764</v>
      </c>
      <c r="C9" s="479" t="s">
        <v>728</v>
      </c>
      <c r="D9" s="476">
        <v>17264.705882352941</v>
      </c>
      <c r="E9" s="478">
        <v>0</v>
      </c>
      <c r="F9" s="481">
        <v>46177</v>
      </c>
      <c r="G9" s="477">
        <v>98.255082999999999</v>
      </c>
      <c r="H9" s="478"/>
      <c r="I9" s="478">
        <v>98.519400000000005</v>
      </c>
      <c r="J9" s="477">
        <v>98.881</v>
      </c>
      <c r="K9" s="743">
        <f t="shared" si="0"/>
        <v>3.7029685713853767E-2</v>
      </c>
      <c r="L9" s="478">
        <v>3.661532353071574</v>
      </c>
      <c r="M9" s="478">
        <v>0.30684931506849317</v>
      </c>
      <c r="N9" s="478" t="s">
        <v>354</v>
      </c>
      <c r="O9" s="478" t="s">
        <v>354</v>
      </c>
      <c r="P9" s="478" t="s">
        <v>354</v>
      </c>
      <c r="Q9" s="478" t="s">
        <v>358</v>
      </c>
      <c r="R9" s="478" t="s">
        <v>393</v>
      </c>
      <c r="S9" s="478" t="s">
        <v>349</v>
      </c>
      <c r="T9" s="477" t="s">
        <v>392</v>
      </c>
      <c r="U9" s="477"/>
      <c r="V9" s="477" t="s">
        <v>391</v>
      </c>
      <c r="W9" s="476">
        <f t="shared" si="1"/>
        <v>16963.451094411765</v>
      </c>
      <c r="X9" s="476">
        <f t="shared" si="2"/>
        <v>16963.451094411765</v>
      </c>
      <c r="Y9" s="468"/>
      <c r="Z9" s="746">
        <f t="shared" si="3"/>
        <v>17071.513823529411</v>
      </c>
      <c r="AA9" s="475">
        <f t="shared" si="4"/>
        <v>62.429176470587493</v>
      </c>
      <c r="AB9" s="475">
        <f t="shared" si="5"/>
        <v>108.06272911764725</v>
      </c>
      <c r="AC9" s="468">
        <f t="shared" si="6"/>
        <v>62507.90018076155</v>
      </c>
      <c r="AD9" s="468">
        <f t="shared" si="7"/>
        <v>5238.3823239323128</v>
      </c>
      <c r="AE9" s="716">
        <f t="shared" si="8"/>
        <v>3.6802167273116619E-3</v>
      </c>
      <c r="AF9" s="474">
        <f t="shared" si="11"/>
        <v>632.15279154500411</v>
      </c>
      <c r="AJ9" s="764">
        <v>0.99</v>
      </c>
      <c r="AK9" s="548">
        <f t="shared" si="10"/>
        <v>16900.798685294118</v>
      </c>
      <c r="AL9" s="550"/>
      <c r="AM9" s="346" t="s">
        <v>203</v>
      </c>
      <c r="AN9" s="484">
        <f>SUMIF($A$4:$A$25,AM9,$AK$4:$AK$25)</f>
        <v>0</v>
      </c>
    </row>
    <row r="10" spans="1:40" ht="14.5">
      <c r="A10" s="468" t="s">
        <v>765</v>
      </c>
      <c r="B10" s="579" t="s">
        <v>764</v>
      </c>
      <c r="C10" s="479" t="s">
        <v>729</v>
      </c>
      <c r="D10" s="476">
        <v>794.11764705882354</v>
      </c>
      <c r="E10" s="478">
        <v>0</v>
      </c>
      <c r="F10" s="481">
        <v>46177</v>
      </c>
      <c r="G10" s="477">
        <v>98.191374999999994</v>
      </c>
      <c r="H10" s="478"/>
      <c r="I10" s="478">
        <v>98.519400000000005</v>
      </c>
      <c r="J10" s="477">
        <v>98.881</v>
      </c>
      <c r="K10" s="743">
        <f t="shared" si="0"/>
        <v>3.7029685713853767E-2</v>
      </c>
      <c r="L10" s="478">
        <v>3.661532353071574</v>
      </c>
      <c r="M10" s="478">
        <v>0.30684931506849317</v>
      </c>
      <c r="N10" s="478" t="s">
        <v>354</v>
      </c>
      <c r="O10" s="478" t="s">
        <v>354</v>
      </c>
      <c r="P10" s="478" t="s">
        <v>354</v>
      </c>
      <c r="Q10" s="478" t="s">
        <v>358</v>
      </c>
      <c r="R10" s="478" t="s">
        <v>393</v>
      </c>
      <c r="S10" s="478" t="s">
        <v>349</v>
      </c>
      <c r="T10" s="477" t="s">
        <v>392</v>
      </c>
      <c r="U10" s="477"/>
      <c r="V10" s="477" t="s">
        <v>391</v>
      </c>
      <c r="W10" s="476">
        <f t="shared" si="1"/>
        <v>779.75503676470589</v>
      </c>
      <c r="X10" s="476">
        <f t="shared" si="2"/>
        <v>779.75503676470589</v>
      </c>
      <c r="Y10" s="468"/>
      <c r="Z10" s="746">
        <f t="shared" si="3"/>
        <v>785.2314705882352</v>
      </c>
      <c r="AA10" s="475">
        <f t="shared" si="4"/>
        <v>2.8715294117646715</v>
      </c>
      <c r="AB10" s="475">
        <f t="shared" si="5"/>
        <v>5.4764338235294643</v>
      </c>
      <c r="AC10" s="468">
        <f t="shared" si="6"/>
        <v>2875.1504342087933</v>
      </c>
      <c r="AD10" s="468">
        <f t="shared" si="7"/>
        <v>240.94773892022562</v>
      </c>
      <c r="AE10" s="716">
        <f t="shared" si="8"/>
        <v>3.6826045057419318E-3</v>
      </c>
      <c r="AF10" s="474">
        <f t="shared" si="11"/>
        <v>29.076874568509556</v>
      </c>
      <c r="AG10" s="471">
        <v>45120</v>
      </c>
      <c r="AJ10" s="521">
        <v>0.95</v>
      </c>
      <c r="AK10" s="548">
        <f t="shared" si="10"/>
        <v>745.96989705882345</v>
      </c>
      <c r="AL10" s="550"/>
      <c r="AM10" s="346" t="s">
        <v>337</v>
      </c>
      <c r="AN10" s="484">
        <f>SUMIF($A$4:$A$25,AM10,$AK$4:$AK$25)</f>
        <v>0</v>
      </c>
    </row>
    <row r="11" spans="1:40" ht="14.5">
      <c r="A11" s="468" t="s">
        <v>765</v>
      </c>
      <c r="B11" s="579" t="s">
        <v>764</v>
      </c>
      <c r="C11" s="479" t="s">
        <v>730</v>
      </c>
      <c r="D11" s="476">
        <v>1823.5294117647059</v>
      </c>
      <c r="E11" s="478">
        <v>0</v>
      </c>
      <c r="F11" s="481">
        <v>46177</v>
      </c>
      <c r="G11" s="477">
        <v>99.071749999999994</v>
      </c>
      <c r="H11" s="478"/>
      <c r="I11" s="478">
        <v>98.519400000000005</v>
      </c>
      <c r="J11" s="477">
        <v>99.071749999999994</v>
      </c>
      <c r="K11" s="743">
        <f t="shared" ref="K11" si="12">IF(AF11="","",AF11/Z11)</f>
        <v>3.6958389783884646E-2</v>
      </c>
      <c r="L11" s="478">
        <v>3.661532353071574</v>
      </c>
      <c r="M11" s="478">
        <v>0.30684931506849317</v>
      </c>
      <c r="N11" s="478" t="s">
        <v>354</v>
      </c>
      <c r="O11" s="478" t="s">
        <v>354</v>
      </c>
      <c r="P11" s="478" t="s">
        <v>354</v>
      </c>
      <c r="Q11" s="478" t="s">
        <v>358</v>
      </c>
      <c r="R11" s="478" t="s">
        <v>393</v>
      </c>
      <c r="S11" s="478" t="s">
        <v>349</v>
      </c>
      <c r="T11" s="477" t="s">
        <v>392</v>
      </c>
      <c r="U11" s="477"/>
      <c r="V11" s="477" t="s">
        <v>391</v>
      </c>
      <c r="W11" s="476">
        <f t="shared" ref="W11" si="13">+D11*G11/100</f>
        <v>1806.6025</v>
      </c>
      <c r="X11" s="476">
        <f t="shared" ref="X11" si="14">+D11*G11/100</f>
        <v>1806.6025</v>
      </c>
      <c r="Y11" s="468"/>
      <c r="Z11" s="746">
        <f t="shared" ref="Z11" si="15">+D11*J11/100</f>
        <v>1806.6025</v>
      </c>
      <c r="AA11" s="475">
        <f t="shared" ref="AA11" si="16">IF(+I11=0,AB11,D11*(J11-I11)/100)</f>
        <v>10.072264705882169</v>
      </c>
      <c r="AB11" s="475">
        <f t="shared" si="5"/>
        <v>0</v>
      </c>
      <c r="AC11" s="468">
        <f t="shared" ref="AC11" si="17">+Z11*L11</f>
        <v>6614.9335028899877</v>
      </c>
      <c r="AD11" s="468">
        <f t="shared" ref="AD11" si="18">+Z11*M11</f>
        <v>554.35473972602745</v>
      </c>
      <c r="AE11" s="716">
        <f t="shared" ref="AE11" si="19">+AA11/X11</f>
        <v>5.5752522792823379E-3</v>
      </c>
      <c r="AF11" s="474">
        <f t="shared" ref="AF11" si="20">+D11*L11/100</f>
        <v>66.769119379540456</v>
      </c>
      <c r="AG11" s="471">
        <v>45120</v>
      </c>
      <c r="AJ11" s="521">
        <v>0.95</v>
      </c>
      <c r="AK11" s="548">
        <f t="shared" ref="AK11" si="21">AJ11*Z11</f>
        <v>1716.2723749999998</v>
      </c>
      <c r="AL11" s="550"/>
      <c r="AM11" s="346" t="s">
        <v>337</v>
      </c>
      <c r="AN11" s="484">
        <f>SUMIF($A$4:$A$25,AM11,$AK$4:$AK$25)</f>
        <v>0</v>
      </c>
    </row>
    <row r="12" spans="1:40" ht="14.5">
      <c r="A12" s="468" t="s">
        <v>765</v>
      </c>
      <c r="B12" s="579" t="s">
        <v>764</v>
      </c>
      <c r="C12" s="479" t="s">
        <v>731</v>
      </c>
      <c r="D12" s="476">
        <v>97.058823529411768</v>
      </c>
      <c r="E12" s="478">
        <v>8.25</v>
      </c>
      <c r="F12" s="478" t="s">
        <v>455</v>
      </c>
      <c r="G12" s="477">
        <v>98.51</v>
      </c>
      <c r="H12" s="478">
        <v>119.22</v>
      </c>
      <c r="I12" s="478">
        <v>120.489</v>
      </c>
      <c r="J12" s="478">
        <v>120.197</v>
      </c>
      <c r="K12" s="739">
        <f t="shared" ref="K12:K25" si="22">IF(AF12="","",AF12/Z12)</f>
        <v>6.8637320399011631E-2</v>
      </c>
      <c r="L12" s="478">
        <v>5.0995894419534737</v>
      </c>
      <c r="M12" s="478">
        <v>6.1421473395675479</v>
      </c>
      <c r="N12" s="478" t="s">
        <v>434</v>
      </c>
      <c r="O12" s="478" t="s">
        <v>410</v>
      </c>
      <c r="P12" s="478" t="s">
        <v>407</v>
      </c>
      <c r="Q12" s="478" t="s">
        <v>454</v>
      </c>
      <c r="R12" s="478" t="s">
        <v>384</v>
      </c>
      <c r="S12" s="478" t="s">
        <v>349</v>
      </c>
      <c r="T12" s="477" t="s">
        <v>357</v>
      </c>
      <c r="U12" s="477"/>
      <c r="V12" s="477" t="s">
        <v>347</v>
      </c>
      <c r="W12" s="476">
        <f t="shared" ref="W12:W25" si="23">+D12*G12/100</f>
        <v>95.612647058823526</v>
      </c>
      <c r="X12" s="476">
        <f t="shared" ref="X12:X25" si="24">+D12*G12/100</f>
        <v>95.612647058823526</v>
      </c>
      <c r="Y12" s="468"/>
      <c r="Z12" s="474">
        <f t="shared" ref="Z12:Z25" si="25">+D12*J12/100</f>
        <v>116.66179411764706</v>
      </c>
      <c r="AA12" s="475">
        <f t="shared" ref="AA12:AA25" si="26">IF(+I12=0,AB12,D12*(J12-I12)/100)</f>
        <v>-0.28341176470588392</v>
      </c>
      <c r="AB12" s="475">
        <f t="shared" ref="AB12:AB25" si="27">+$D12*($J12-$G12)/100</f>
        <v>21.049147058823529</v>
      </c>
      <c r="AC12" s="468">
        <f t="shared" ref="AC12:AC25" si="28">+Z12*L12</f>
        <v>594.92725356170286</v>
      </c>
      <c r="AD12" s="468">
        <f t="shared" ref="AD12:AD25" si="29">+Z12*M12</f>
        <v>716.55392836888291</v>
      </c>
      <c r="AE12" s="716">
        <f t="shared" ref="AE12:AE22" si="30">+AA12/X12</f>
        <v>-2.9641660745102186E-3</v>
      </c>
      <c r="AF12" s="474">
        <f t="shared" ref="AF12:AF25" si="31">+D12*E12/100</f>
        <v>8.007352941176471</v>
      </c>
      <c r="AK12" s="548">
        <f t="shared" ref="AK12:AK23" si="32">AJ12*Z12</f>
        <v>0</v>
      </c>
      <c r="AL12" s="550"/>
    </row>
    <row r="13" spans="1:40" ht="14.5">
      <c r="A13" s="468" t="s">
        <v>765</v>
      </c>
      <c r="B13" s="579" t="s">
        <v>764</v>
      </c>
      <c r="C13" s="479" t="s">
        <v>732</v>
      </c>
      <c r="D13" s="476">
        <v>147.05882352941177</v>
      </c>
      <c r="E13" s="478">
        <v>6.95</v>
      </c>
      <c r="F13" s="478" t="s">
        <v>561</v>
      </c>
      <c r="G13" s="477">
        <v>101.6</v>
      </c>
      <c r="H13" s="478">
        <v>70.768000000000001</v>
      </c>
      <c r="I13" s="478">
        <v>100.773</v>
      </c>
      <c r="J13" s="478">
        <v>100.977</v>
      </c>
      <c r="K13" s="739">
        <f t="shared" si="22"/>
        <v>6.8827554789704579E-2</v>
      </c>
      <c r="L13" s="478">
        <v>6.0445878357429894</v>
      </c>
      <c r="M13" s="478">
        <v>1.3921987767961321</v>
      </c>
      <c r="N13" s="478" t="s">
        <v>423</v>
      </c>
      <c r="O13" s="478" t="s">
        <v>354</v>
      </c>
      <c r="P13" s="478" t="s">
        <v>422</v>
      </c>
      <c r="Q13" s="478" t="s">
        <v>351</v>
      </c>
      <c r="R13" s="478" t="s">
        <v>421</v>
      </c>
      <c r="S13" s="478" t="s">
        <v>349</v>
      </c>
      <c r="T13" s="477" t="s">
        <v>357</v>
      </c>
      <c r="U13" s="477"/>
      <c r="V13" s="477" t="s">
        <v>347</v>
      </c>
      <c r="W13" s="476">
        <f t="shared" si="23"/>
        <v>149.41176470588235</v>
      </c>
      <c r="X13" s="476">
        <f t="shared" si="24"/>
        <v>149.41176470588235</v>
      </c>
      <c r="Y13" s="468"/>
      <c r="Z13" s="474">
        <f t="shared" si="25"/>
        <v>148.49558823529412</v>
      </c>
      <c r="AA13" s="475">
        <f t="shared" si="26"/>
        <v>0.30000000000001137</v>
      </c>
      <c r="AB13" s="475">
        <f t="shared" si="27"/>
        <v>-0.91617647058822127</v>
      </c>
      <c r="AC13" s="468">
        <f t="shared" si="28"/>
        <v>897.59462630855865</v>
      </c>
      <c r="AD13" s="468">
        <f t="shared" si="29"/>
        <v>206.73537630079858</v>
      </c>
      <c r="AE13" s="716">
        <f t="shared" si="30"/>
        <v>2.0078740157481074E-3</v>
      </c>
      <c r="AF13" s="474">
        <f t="shared" si="31"/>
        <v>10.220588235294118</v>
      </c>
      <c r="AJ13" s="764">
        <v>0</v>
      </c>
      <c r="AK13" s="548">
        <f t="shared" si="32"/>
        <v>0</v>
      </c>
      <c r="AL13" s="550"/>
    </row>
    <row r="14" spans="1:40" ht="14.5">
      <c r="A14" s="468" t="s">
        <v>765</v>
      </c>
      <c r="B14" s="579" t="s">
        <v>764</v>
      </c>
      <c r="C14" s="479" t="s">
        <v>733</v>
      </c>
      <c r="D14" s="476">
        <v>1470.5882352941176</v>
      </c>
      <c r="E14" s="478">
        <v>5.75</v>
      </c>
      <c r="F14" s="715">
        <v>54001</v>
      </c>
      <c r="G14" s="477">
        <v>74.45</v>
      </c>
      <c r="H14" s="478"/>
      <c r="I14" s="478">
        <v>82.12</v>
      </c>
      <c r="J14" s="478">
        <v>82.099000000000004</v>
      </c>
      <c r="K14" s="739">
        <f t="shared" si="22"/>
        <v>7.0037393878122758E-2</v>
      </c>
      <c r="L14" s="478">
        <v>7.4247526049073382</v>
      </c>
      <c r="M14" s="478">
        <v>11.40029729867868</v>
      </c>
      <c r="N14" s="478"/>
      <c r="O14" s="478" t="s">
        <v>433</v>
      </c>
      <c r="P14" s="478" t="s">
        <v>432</v>
      </c>
      <c r="Q14" s="478" t="s">
        <v>358</v>
      </c>
      <c r="R14" s="478" t="s">
        <v>431</v>
      </c>
      <c r="S14" s="478" t="s">
        <v>349</v>
      </c>
      <c r="T14" s="477"/>
      <c r="U14" s="477"/>
      <c r="V14" s="477" t="s">
        <v>347</v>
      </c>
      <c r="W14" s="476">
        <f t="shared" si="23"/>
        <v>1094.8529411764707</v>
      </c>
      <c r="X14" s="476">
        <f t="shared" si="24"/>
        <v>1094.8529411764707</v>
      </c>
      <c r="Y14" s="468"/>
      <c r="Z14" s="474">
        <f t="shared" si="25"/>
        <v>1207.3382352941176</v>
      </c>
      <c r="AA14" s="475">
        <f t="shared" si="26"/>
        <v>-0.30882352941177638</v>
      </c>
      <c r="AB14" s="475">
        <f t="shared" si="27"/>
        <v>112.48529411764706</v>
      </c>
      <c r="AC14" s="468">
        <f t="shared" si="28"/>
        <v>8964.1877075042285</v>
      </c>
      <c r="AD14" s="468">
        <f t="shared" si="29"/>
        <v>13764.014822415013</v>
      </c>
      <c r="AE14" s="716">
        <f t="shared" si="30"/>
        <v>-2.820685023505815E-4</v>
      </c>
      <c r="AF14" s="474">
        <f t="shared" si="31"/>
        <v>84.558823529411768</v>
      </c>
      <c r="AJ14" s="764">
        <v>0</v>
      </c>
      <c r="AK14" s="548">
        <f t="shared" si="32"/>
        <v>0</v>
      </c>
      <c r="AL14" s="550"/>
    </row>
    <row r="15" spans="1:40" ht="14.5">
      <c r="A15" s="468" t="s">
        <v>765</v>
      </c>
      <c r="B15" s="579" t="s">
        <v>764</v>
      </c>
      <c r="C15" s="479" t="s">
        <v>734</v>
      </c>
      <c r="D15" s="476">
        <v>2941.1764705882351</v>
      </c>
      <c r="E15" s="478">
        <v>7.5</v>
      </c>
      <c r="F15" s="715" t="s">
        <v>592</v>
      </c>
      <c r="G15" s="477">
        <v>102.15</v>
      </c>
      <c r="H15" s="478"/>
      <c r="I15" s="478">
        <v>106.241</v>
      </c>
      <c r="J15" s="477">
        <v>106.786</v>
      </c>
      <c r="K15" s="739">
        <f t="shared" si="22"/>
        <v>7.0233925795516253E-2</v>
      </c>
      <c r="L15" s="478">
        <v>7.0608097166899428</v>
      </c>
      <c r="M15" s="478">
        <v>6.5089423714638048</v>
      </c>
      <c r="N15" s="478" t="s">
        <v>411</v>
      </c>
      <c r="O15" s="478" t="s">
        <v>430</v>
      </c>
      <c r="P15" s="478"/>
      <c r="Q15" s="478" t="s">
        <v>593</v>
      </c>
      <c r="R15" s="478" t="s">
        <v>382</v>
      </c>
      <c r="S15" s="478" t="s">
        <v>349</v>
      </c>
      <c r="T15" s="477" t="s">
        <v>381</v>
      </c>
      <c r="U15" s="477"/>
      <c r="V15" s="600" t="s">
        <v>371</v>
      </c>
      <c r="W15" s="476">
        <f t="shared" si="23"/>
        <v>3004.4117647058824</v>
      </c>
      <c r="X15" s="476">
        <f t="shared" si="24"/>
        <v>3004.4117647058824</v>
      </c>
      <c r="Y15" s="468"/>
      <c r="Z15" s="474">
        <f t="shared" si="25"/>
        <v>3140.7647058823532</v>
      </c>
      <c r="AA15" s="475">
        <f t="shared" si="26"/>
        <v>16.02941176470593</v>
      </c>
      <c r="AB15" s="475">
        <f t="shared" si="27"/>
        <v>136.35294117647044</v>
      </c>
      <c r="AC15" s="468">
        <f t="shared" si="28"/>
        <v>22176.341953130948</v>
      </c>
      <c r="AD15" s="468">
        <f t="shared" si="29"/>
        <v>20443.056472915705</v>
      </c>
      <c r="AE15" s="716">
        <f t="shared" si="30"/>
        <v>5.335291238374955E-3</v>
      </c>
      <c r="AF15" s="474">
        <f t="shared" si="31"/>
        <v>220.58823529411762</v>
      </c>
      <c r="AJ15" s="764">
        <v>0.6</v>
      </c>
      <c r="AK15" s="548">
        <f t="shared" si="32"/>
        <v>1884.4588235294118</v>
      </c>
      <c r="AL15" s="550"/>
    </row>
    <row r="16" spans="1:40" ht="14.5">
      <c r="A16" s="468" t="s">
        <v>765</v>
      </c>
      <c r="B16" s="579" t="s">
        <v>764</v>
      </c>
      <c r="C16" s="479" t="s">
        <v>735</v>
      </c>
      <c r="D16" s="476">
        <v>970.58823529411768</v>
      </c>
      <c r="E16" s="478">
        <v>8.25</v>
      </c>
      <c r="F16" s="478" t="s">
        <v>426</v>
      </c>
      <c r="G16" s="477">
        <v>127.625</v>
      </c>
      <c r="H16" s="478">
        <v>112.492</v>
      </c>
      <c r="I16" s="478">
        <v>116.286</v>
      </c>
      <c r="J16" s="478">
        <v>115.55800000000001</v>
      </c>
      <c r="K16" s="739">
        <f t="shared" si="22"/>
        <v>7.1392720538603988E-2</v>
      </c>
      <c r="L16" s="478">
        <v>5.7538903786486815</v>
      </c>
      <c r="M16" s="478">
        <v>6.1098107839813087</v>
      </c>
      <c r="N16" s="478" t="s">
        <v>424</v>
      </c>
      <c r="O16" s="478" t="s">
        <v>425</v>
      </c>
      <c r="P16" s="478" t="s">
        <v>424</v>
      </c>
      <c r="Q16" s="478" t="s">
        <v>358</v>
      </c>
      <c r="R16" s="478" t="s">
        <v>384</v>
      </c>
      <c r="S16" s="478" t="s">
        <v>349</v>
      </c>
      <c r="T16" s="477" t="s">
        <v>357</v>
      </c>
      <c r="U16" s="477"/>
      <c r="V16" s="477" t="s">
        <v>347</v>
      </c>
      <c r="W16" s="476">
        <f t="shared" si="23"/>
        <v>1238.7132352941176</v>
      </c>
      <c r="X16" s="476">
        <f t="shared" si="24"/>
        <v>1238.7132352941176</v>
      </c>
      <c r="Y16" s="468"/>
      <c r="Z16" s="474">
        <f t="shared" si="25"/>
        <v>1121.5923529411766</v>
      </c>
      <c r="AA16" s="475">
        <f t="shared" si="26"/>
        <v>-7.0658823529411219</v>
      </c>
      <c r="AB16" s="475">
        <f t="shared" si="27"/>
        <v>-117.12088235294112</v>
      </c>
      <c r="AC16" s="468">
        <f t="shared" si="28"/>
        <v>6453.5194483541727</v>
      </c>
      <c r="AD16" s="468">
        <f t="shared" si="29"/>
        <v>6852.717053230971</v>
      </c>
      <c r="AE16" s="716">
        <f t="shared" si="30"/>
        <v>-5.7042115572967242E-3</v>
      </c>
      <c r="AF16" s="474">
        <f t="shared" si="31"/>
        <v>80.07352941176471</v>
      </c>
      <c r="AJ16" s="764">
        <v>0.55000000000000004</v>
      </c>
      <c r="AK16" s="548">
        <f t="shared" si="32"/>
        <v>616.87579411764716</v>
      </c>
      <c r="AL16" s="550"/>
    </row>
    <row r="17" spans="1:38" ht="14.5">
      <c r="A17" s="468" t="s">
        <v>765</v>
      </c>
      <c r="B17" s="579" t="s">
        <v>764</v>
      </c>
      <c r="C17" s="479" t="s">
        <v>736</v>
      </c>
      <c r="D17" s="476">
        <v>1470.5882352941176</v>
      </c>
      <c r="E17" s="478">
        <v>7.625</v>
      </c>
      <c r="F17" s="715">
        <v>47855</v>
      </c>
      <c r="G17" s="477">
        <v>101.901</v>
      </c>
      <c r="H17" s="478"/>
      <c r="I17" s="478">
        <v>105.26</v>
      </c>
      <c r="J17" s="477">
        <v>105.045</v>
      </c>
      <c r="K17" s="739">
        <f t="shared" si="22"/>
        <v>7.2587938502546537E-2</v>
      </c>
      <c r="L17" s="478">
        <v>6.3821657720369354</v>
      </c>
      <c r="M17" s="478">
        <v>3.0507514989642872</v>
      </c>
      <c r="N17" s="478" t="s">
        <v>434</v>
      </c>
      <c r="O17" s="478" t="s">
        <v>425</v>
      </c>
      <c r="P17" s="478" t="s">
        <v>411</v>
      </c>
      <c r="Q17" s="478" t="s">
        <v>591</v>
      </c>
      <c r="R17" s="478" t="s">
        <v>382</v>
      </c>
      <c r="S17" s="478" t="s">
        <v>349</v>
      </c>
      <c r="T17" s="477" t="s">
        <v>381</v>
      </c>
      <c r="U17" s="477"/>
      <c r="V17" s="477" t="s">
        <v>386</v>
      </c>
      <c r="W17" s="476">
        <f t="shared" si="23"/>
        <v>1498.5441176470588</v>
      </c>
      <c r="X17" s="476">
        <f t="shared" si="24"/>
        <v>1498.5441176470588</v>
      </c>
      <c r="Y17" s="468"/>
      <c r="Z17" s="474">
        <f t="shared" si="25"/>
        <v>1544.7794117647056</v>
      </c>
      <c r="AA17" s="475">
        <f t="shared" si="26"/>
        <v>-3.161764705882403</v>
      </c>
      <c r="AB17" s="475">
        <f t="shared" si="27"/>
        <v>46.235294117647136</v>
      </c>
      <c r="AC17" s="468">
        <f t="shared" si="28"/>
        <v>9859.0382871120546</v>
      </c>
      <c r="AD17" s="468">
        <f t="shared" si="29"/>
        <v>4712.7381060103453</v>
      </c>
      <c r="AE17" s="716">
        <f t="shared" si="30"/>
        <v>-2.1098909726107048E-3</v>
      </c>
      <c r="AF17" s="474">
        <f t="shared" si="31"/>
        <v>112.13235294117646</v>
      </c>
      <c r="AJ17" s="764">
        <v>0.55000000000000004</v>
      </c>
      <c r="AK17" s="548">
        <f t="shared" si="32"/>
        <v>849.62867647058818</v>
      </c>
      <c r="AL17" s="550"/>
    </row>
    <row r="18" spans="1:38" ht="14.5">
      <c r="A18" s="468" t="s">
        <v>765</v>
      </c>
      <c r="B18" s="579" t="s">
        <v>764</v>
      </c>
      <c r="C18" s="479" t="s">
        <v>737</v>
      </c>
      <c r="D18" s="476">
        <v>194.11764705882354</v>
      </c>
      <c r="E18" s="478">
        <v>8.6</v>
      </c>
      <c r="F18" s="478" t="s">
        <v>440</v>
      </c>
      <c r="G18" s="477">
        <v>146</v>
      </c>
      <c r="H18" s="478">
        <v>121.59</v>
      </c>
      <c r="I18" s="478">
        <v>117.411</v>
      </c>
      <c r="J18" s="478">
        <v>117.539</v>
      </c>
      <c r="K18" s="739">
        <f t="shared" si="22"/>
        <v>7.3167204076944672E-2</v>
      </c>
      <c r="L18" s="478">
        <v>4.4734588592604672</v>
      </c>
      <c r="M18" s="478">
        <v>4.0866908113619873</v>
      </c>
      <c r="N18" s="478" t="s">
        <v>401</v>
      </c>
      <c r="O18" s="478" t="s">
        <v>416</v>
      </c>
      <c r="P18" s="478" t="s">
        <v>352</v>
      </c>
      <c r="Q18" s="478" t="s">
        <v>439</v>
      </c>
      <c r="R18" s="478" t="s">
        <v>438</v>
      </c>
      <c r="S18" s="478" t="s">
        <v>349</v>
      </c>
      <c r="T18" s="477" t="s">
        <v>357</v>
      </c>
      <c r="U18" s="477"/>
      <c r="V18" s="477" t="s">
        <v>365</v>
      </c>
      <c r="W18" s="476">
        <f t="shared" si="23"/>
        <v>283.41176470588238</v>
      </c>
      <c r="X18" s="476">
        <f t="shared" si="24"/>
        <v>283.41176470588238</v>
      </c>
      <c r="Y18" s="468"/>
      <c r="Z18" s="474">
        <f t="shared" si="25"/>
        <v>228.16394117647062</v>
      </c>
      <c r="AA18" s="475">
        <f t="shared" si="26"/>
        <v>0.24847058823529433</v>
      </c>
      <c r="AB18" s="475">
        <f t="shared" si="27"/>
        <v>-55.247823529411761</v>
      </c>
      <c r="AC18" s="468">
        <f t="shared" si="28"/>
        <v>1020.6820040196666</v>
      </c>
      <c r="AD18" s="468">
        <f t="shared" si="29"/>
        <v>932.43548189001945</v>
      </c>
      <c r="AE18" s="716">
        <f t="shared" si="30"/>
        <v>8.7671232876712396E-4</v>
      </c>
      <c r="AF18" s="474">
        <f t="shared" si="31"/>
        <v>16.694117647058825</v>
      </c>
      <c r="AK18" s="548">
        <f t="shared" si="32"/>
        <v>0</v>
      </c>
      <c r="AL18" s="550"/>
    </row>
    <row r="19" spans="1:38" ht="14.5">
      <c r="A19" s="468" t="s">
        <v>765</v>
      </c>
      <c r="B19" s="579" t="s">
        <v>764</v>
      </c>
      <c r="C19" s="479" t="s">
        <v>738</v>
      </c>
      <c r="D19" s="476">
        <v>882.35294117647061</v>
      </c>
      <c r="E19" s="478">
        <v>6.5</v>
      </c>
      <c r="F19" s="478" t="s">
        <v>443</v>
      </c>
      <c r="G19" s="477">
        <v>74.167000000000002</v>
      </c>
      <c r="H19" s="478">
        <v>65.697999999999993</v>
      </c>
      <c r="I19" s="478">
        <v>86.682000000000002</v>
      </c>
      <c r="J19" s="478">
        <v>88.498000000000005</v>
      </c>
      <c r="K19" s="739">
        <f t="shared" si="22"/>
        <v>7.3447987525141797E-2</v>
      </c>
      <c r="L19" s="478">
        <v>7.7798600687224768</v>
      </c>
      <c r="M19" s="478">
        <v>9.4231421005671265</v>
      </c>
      <c r="N19" s="478" t="s">
        <v>407</v>
      </c>
      <c r="O19" s="478" t="s">
        <v>442</v>
      </c>
      <c r="P19" s="478" t="s">
        <v>441</v>
      </c>
      <c r="Q19" s="478" t="s">
        <v>351</v>
      </c>
      <c r="R19" s="478" t="s">
        <v>113</v>
      </c>
      <c r="S19" s="478" t="s">
        <v>349</v>
      </c>
      <c r="T19" s="477" t="s">
        <v>357</v>
      </c>
      <c r="U19" s="477"/>
      <c r="V19" s="477" t="s">
        <v>347</v>
      </c>
      <c r="W19" s="476">
        <f t="shared" si="23"/>
        <v>654.41470588235291</v>
      </c>
      <c r="X19" s="476">
        <f t="shared" si="24"/>
        <v>654.41470588235291</v>
      </c>
      <c r="Y19" s="468"/>
      <c r="Z19" s="474">
        <f t="shared" si="25"/>
        <v>780.86470588235306</v>
      </c>
      <c r="AA19" s="475">
        <f t="shared" si="26"/>
        <v>16.023529411764727</v>
      </c>
      <c r="AB19" s="475">
        <f t="shared" si="27"/>
        <v>126.45000000000003</v>
      </c>
      <c r="AC19" s="468">
        <f t="shared" si="28"/>
        <v>6075.0181443688398</v>
      </c>
      <c r="AD19" s="468">
        <f t="shared" si="29"/>
        <v>7358.1990848469677</v>
      </c>
      <c r="AE19" s="716">
        <f t="shared" si="30"/>
        <v>2.4485283212210315E-2</v>
      </c>
      <c r="AF19" s="474">
        <f t="shared" si="31"/>
        <v>57.352941176470587</v>
      </c>
      <c r="AJ19" s="521">
        <v>0.5</v>
      </c>
      <c r="AK19" s="548">
        <f t="shared" si="32"/>
        <v>390.43235294117653</v>
      </c>
      <c r="AL19" s="550"/>
    </row>
    <row r="20" spans="1:38" ht="14.5">
      <c r="A20" s="468" t="s">
        <v>765</v>
      </c>
      <c r="B20" s="579" t="s">
        <v>764</v>
      </c>
      <c r="C20" s="479" t="s">
        <v>739</v>
      </c>
      <c r="D20" s="476">
        <v>294.11764705882354</v>
      </c>
      <c r="E20" s="478">
        <v>6.5</v>
      </c>
      <c r="F20" s="478" t="s">
        <v>443</v>
      </c>
      <c r="G20" s="477">
        <v>74.167000000000002</v>
      </c>
      <c r="H20" s="478">
        <v>65.697999999999993</v>
      </c>
      <c r="I20" s="478">
        <v>86.682000000000002</v>
      </c>
      <c r="J20" s="478">
        <v>88.498000000000005</v>
      </c>
      <c r="K20" s="739">
        <f t="shared" si="22"/>
        <v>7.3447987525141797E-2</v>
      </c>
      <c r="L20" s="478">
        <v>7.7798600687224768</v>
      </c>
      <c r="M20" s="478">
        <v>9.4231421005671265</v>
      </c>
      <c r="N20" s="478" t="s">
        <v>407</v>
      </c>
      <c r="O20" s="478" t="s">
        <v>442</v>
      </c>
      <c r="P20" s="478" t="s">
        <v>441</v>
      </c>
      <c r="Q20" s="478" t="s">
        <v>351</v>
      </c>
      <c r="R20" s="478" t="s">
        <v>113</v>
      </c>
      <c r="S20" s="478" t="s">
        <v>349</v>
      </c>
      <c r="T20" s="477" t="s">
        <v>357</v>
      </c>
      <c r="U20" s="477"/>
      <c r="V20" s="477" t="s">
        <v>347</v>
      </c>
      <c r="W20" s="476">
        <f t="shared" si="23"/>
        <v>218.13823529411766</v>
      </c>
      <c r="X20" s="476">
        <f t="shared" si="24"/>
        <v>218.13823529411766</v>
      </c>
      <c r="Y20" s="468"/>
      <c r="Z20" s="474">
        <f t="shared" si="25"/>
        <v>260.28823529411767</v>
      </c>
      <c r="AA20" s="475">
        <f t="shared" si="26"/>
        <v>5.341176470588243</v>
      </c>
      <c r="AB20" s="475">
        <f t="shared" si="27"/>
        <v>42.150000000000006</v>
      </c>
      <c r="AC20" s="468">
        <f t="shared" si="28"/>
        <v>2025.0060481229466</v>
      </c>
      <c r="AD20" s="468">
        <f t="shared" si="29"/>
        <v>2452.7330282823223</v>
      </c>
      <c r="AE20" s="716">
        <f t="shared" si="30"/>
        <v>2.4485283212210315E-2</v>
      </c>
      <c r="AF20" s="474">
        <f t="shared" si="31"/>
        <v>19.117647058823529</v>
      </c>
      <c r="AJ20" s="521">
        <v>0.55000000000000004</v>
      </c>
      <c r="AK20" s="548">
        <f t="shared" si="32"/>
        <v>143.15852941176473</v>
      </c>
      <c r="AL20" s="550"/>
    </row>
    <row r="21" spans="1:38" ht="14.5">
      <c r="A21" s="468" t="s">
        <v>765</v>
      </c>
      <c r="B21" s="579" t="s">
        <v>764</v>
      </c>
      <c r="C21" s="479" t="s">
        <v>740</v>
      </c>
      <c r="D21" s="476">
        <v>291.1764705882353</v>
      </c>
      <c r="E21" s="478">
        <v>6.5</v>
      </c>
      <c r="F21" s="478" t="s">
        <v>443</v>
      </c>
      <c r="G21" s="477">
        <v>100.65</v>
      </c>
      <c r="H21" s="478">
        <v>65.697999999999993</v>
      </c>
      <c r="I21" s="478">
        <v>86.682000000000002</v>
      </c>
      <c r="J21" s="478">
        <v>88.498000000000005</v>
      </c>
      <c r="K21" s="739">
        <f t="shared" si="22"/>
        <v>7.3447987525141797E-2</v>
      </c>
      <c r="L21" s="478">
        <v>7.7798600687224768</v>
      </c>
      <c r="M21" s="478">
        <v>9.4231421005671265</v>
      </c>
      <c r="N21" s="478" t="s">
        <v>407</v>
      </c>
      <c r="O21" s="478" t="s">
        <v>442</v>
      </c>
      <c r="P21" s="478" t="s">
        <v>441</v>
      </c>
      <c r="Q21" s="478" t="s">
        <v>351</v>
      </c>
      <c r="R21" s="478" t="s">
        <v>113</v>
      </c>
      <c r="S21" s="478" t="s">
        <v>349</v>
      </c>
      <c r="T21" s="477" t="s">
        <v>357</v>
      </c>
      <c r="U21" s="477"/>
      <c r="V21" s="477" t="s">
        <v>347</v>
      </c>
      <c r="W21" s="476">
        <f t="shared" si="23"/>
        <v>293.06911764705887</v>
      </c>
      <c r="X21" s="476">
        <f t="shared" si="24"/>
        <v>293.06911764705887</v>
      </c>
      <c r="Y21" s="468"/>
      <c r="Z21" s="474">
        <f t="shared" si="25"/>
        <v>257.68535294117652</v>
      </c>
      <c r="AA21" s="475">
        <f t="shared" si="26"/>
        <v>5.2877647058823607</v>
      </c>
      <c r="AB21" s="475">
        <f t="shared" si="27"/>
        <v>-35.383764705882356</v>
      </c>
      <c r="AC21" s="468">
        <f t="shared" si="28"/>
        <v>2004.7559876417172</v>
      </c>
      <c r="AD21" s="468">
        <f t="shared" si="29"/>
        <v>2428.2056979994995</v>
      </c>
      <c r="AE21" s="716">
        <f t="shared" si="30"/>
        <v>1.8042722305017411E-2</v>
      </c>
      <c r="AF21" s="474">
        <f t="shared" si="31"/>
        <v>18.926470588235293</v>
      </c>
      <c r="AK21" s="548">
        <f t="shared" si="32"/>
        <v>0</v>
      </c>
      <c r="AL21" s="550"/>
    </row>
    <row r="22" spans="1:38" ht="14.5">
      <c r="A22" s="468" t="s">
        <v>765</v>
      </c>
      <c r="B22" s="579" t="s">
        <v>764</v>
      </c>
      <c r="C22" s="479" t="s">
        <v>741</v>
      </c>
      <c r="D22" s="476">
        <v>429.41176470588238</v>
      </c>
      <c r="E22" s="478">
        <v>10.75</v>
      </c>
      <c r="F22" s="478" t="s">
        <v>453</v>
      </c>
      <c r="G22" s="477">
        <v>165.5</v>
      </c>
      <c r="H22" s="478">
        <v>133.03</v>
      </c>
      <c r="I22" s="478">
        <v>133.25399999999999</v>
      </c>
      <c r="J22" s="478">
        <v>133.125</v>
      </c>
      <c r="K22" s="739">
        <f t="shared" si="22"/>
        <v>8.0751173708920168E-2</v>
      </c>
      <c r="L22" s="478">
        <v>6.9017988910616408</v>
      </c>
      <c r="M22" s="478">
        <v>6.1441006183827085</v>
      </c>
      <c r="N22" s="478" t="s">
        <v>407</v>
      </c>
      <c r="O22" s="478" t="s">
        <v>408</v>
      </c>
      <c r="P22" s="478" t="s">
        <v>407</v>
      </c>
      <c r="Q22" s="478" t="s">
        <v>452</v>
      </c>
      <c r="R22" s="478" t="s">
        <v>393</v>
      </c>
      <c r="S22" s="478" t="s">
        <v>349</v>
      </c>
      <c r="T22" s="477" t="s">
        <v>451</v>
      </c>
      <c r="U22" s="477"/>
      <c r="V22" s="477" t="s">
        <v>371</v>
      </c>
      <c r="W22" s="476">
        <f t="shared" si="23"/>
        <v>710.67647058823536</v>
      </c>
      <c r="X22" s="476">
        <f t="shared" si="24"/>
        <v>710.67647058823536</v>
      </c>
      <c r="Y22" s="468"/>
      <c r="Z22" s="474">
        <f t="shared" si="25"/>
        <v>571.65441176470597</v>
      </c>
      <c r="AA22" s="475">
        <f t="shared" si="26"/>
        <v>-0.55394117647054819</v>
      </c>
      <c r="AB22" s="475">
        <f t="shared" si="27"/>
        <v>-139.02205882352942</v>
      </c>
      <c r="AC22" s="468">
        <f t="shared" si="28"/>
        <v>3945.4437851881421</v>
      </c>
      <c r="AD22" s="468">
        <f t="shared" si="29"/>
        <v>3512.3022248247335</v>
      </c>
      <c r="AE22" s="716">
        <f t="shared" si="30"/>
        <v>-7.794561933534179E-4</v>
      </c>
      <c r="AF22" s="474">
        <f t="shared" si="31"/>
        <v>46.161764705882348</v>
      </c>
      <c r="AK22" s="548">
        <f t="shared" si="32"/>
        <v>0</v>
      </c>
      <c r="AL22" s="550"/>
    </row>
    <row r="23" spans="1:38" ht="14.5">
      <c r="A23" s="468" t="s">
        <v>765</v>
      </c>
      <c r="B23" s="579" t="s">
        <v>764</v>
      </c>
      <c r="C23" s="479" t="s">
        <v>742</v>
      </c>
      <c r="D23" s="476">
        <v>588.23529411764707</v>
      </c>
      <c r="E23" s="478">
        <v>7.25</v>
      </c>
      <c r="F23" s="478" t="s">
        <v>429</v>
      </c>
      <c r="G23" s="477">
        <v>103.58199999999999</v>
      </c>
      <c r="H23" s="478">
        <v>82.581000000000003</v>
      </c>
      <c r="I23" s="478">
        <v>88.052000000000007</v>
      </c>
      <c r="J23" s="478">
        <v>84.706000000000003</v>
      </c>
      <c r="K23" s="739">
        <f t="shared" si="22"/>
        <v>8.5590158902557084E-2</v>
      </c>
      <c r="L23" s="478">
        <v>11.061984684231174</v>
      </c>
      <c r="M23" s="478">
        <v>3.7589709179769102</v>
      </c>
      <c r="N23" s="478" t="s">
        <v>354</v>
      </c>
      <c r="O23" s="478" t="s">
        <v>428</v>
      </c>
      <c r="P23" s="478" t="s">
        <v>424</v>
      </c>
      <c r="Q23" s="478" t="s">
        <v>427</v>
      </c>
      <c r="R23" s="478" t="s">
        <v>384</v>
      </c>
      <c r="S23" s="478" t="s">
        <v>349</v>
      </c>
      <c r="T23" s="477" t="s">
        <v>348</v>
      </c>
      <c r="U23" s="477"/>
      <c r="V23" s="477" t="s">
        <v>386</v>
      </c>
      <c r="W23" s="476">
        <f t="shared" si="23"/>
        <v>609.30588235294113</v>
      </c>
      <c r="X23" s="476">
        <f t="shared" si="24"/>
        <v>609.30588235294113</v>
      </c>
      <c r="Y23" s="468"/>
      <c r="Z23" s="474">
        <f t="shared" si="25"/>
        <v>498.2705882352941</v>
      </c>
      <c r="AA23" s="475">
        <f t="shared" si="26"/>
        <v>-19.682352941176493</v>
      </c>
      <c r="AB23" s="475">
        <f t="shared" si="27"/>
        <v>-111.03529411764701</v>
      </c>
      <c r="AC23" s="468">
        <f t="shared" si="28"/>
        <v>5511.8616156616808</v>
      </c>
      <c r="AD23" s="468">
        <f t="shared" si="29"/>
        <v>1872.9846504597185</v>
      </c>
      <c r="AE23" s="716"/>
      <c r="AF23" s="474">
        <f t="shared" si="31"/>
        <v>42.647058823529413</v>
      </c>
      <c r="AJ23" s="521">
        <v>0.6</v>
      </c>
      <c r="AK23" s="548">
        <f t="shared" si="32"/>
        <v>298.96235294117645</v>
      </c>
      <c r="AL23" s="550"/>
    </row>
    <row r="24" spans="1:38" ht="14.5">
      <c r="A24" s="468" t="s">
        <v>765</v>
      </c>
      <c r="B24" s="579" t="s">
        <v>764</v>
      </c>
      <c r="C24" s="479" t="s">
        <v>743</v>
      </c>
      <c r="D24" s="476">
        <v>291.1764705882353</v>
      </c>
      <c r="E24" s="478">
        <v>6.625</v>
      </c>
      <c r="F24" s="478" t="s">
        <v>373</v>
      </c>
      <c r="G24" s="477">
        <v>104.88</v>
      </c>
      <c r="H24" s="478">
        <v>57.39</v>
      </c>
      <c r="I24" s="478">
        <v>74.284000000000006</v>
      </c>
      <c r="J24" s="478">
        <v>75.03</v>
      </c>
      <c r="K24" s="739">
        <f t="shared" si="22"/>
        <v>8.8298014127682262E-2</v>
      </c>
      <c r="L24" s="478">
        <v>8.7924845995013055</v>
      </c>
      <c r="M24" s="478">
        <v>11.501220596788766</v>
      </c>
      <c r="N24" s="478" t="s">
        <v>407</v>
      </c>
      <c r="O24" s="478" t="s">
        <v>442</v>
      </c>
      <c r="P24" s="478" t="s">
        <v>441</v>
      </c>
      <c r="Q24" s="478" t="s">
        <v>351</v>
      </c>
      <c r="R24" s="478" t="s">
        <v>113</v>
      </c>
      <c r="S24" s="478" t="s">
        <v>349</v>
      </c>
      <c r="T24" s="477" t="s">
        <v>372</v>
      </c>
      <c r="U24" s="477"/>
      <c r="V24" s="477" t="s">
        <v>347</v>
      </c>
      <c r="W24" s="476">
        <f t="shared" si="23"/>
        <v>305.38588235294117</v>
      </c>
      <c r="X24" s="476">
        <f t="shared" si="24"/>
        <v>305.38588235294117</v>
      </c>
      <c r="Y24" s="468"/>
      <c r="Z24" s="474">
        <f t="shared" si="25"/>
        <v>218.46970588235294</v>
      </c>
      <c r="AA24" s="475">
        <f t="shared" si="26"/>
        <v>2.1721764705882212</v>
      </c>
      <c r="AB24" s="475">
        <f t="shared" si="27"/>
        <v>-86.916176470588212</v>
      </c>
      <c r="AC24" s="468">
        <f t="shared" si="28"/>
        <v>1920.8915244281679</v>
      </c>
      <c r="AD24" s="468">
        <f t="shared" si="29"/>
        <v>2512.6682810685015</v>
      </c>
      <c r="AE24" s="716">
        <f>+AA24/X24</f>
        <v>7.1128909229595267E-3</v>
      </c>
      <c r="AF24" s="474">
        <f t="shared" si="31"/>
        <v>19.290441176470587</v>
      </c>
      <c r="AG24" s="471">
        <v>45099</v>
      </c>
      <c r="AJ24" s="521">
        <v>0.5</v>
      </c>
      <c r="AK24" s="548">
        <f>AJ24*Z24</f>
        <v>109.23485294117647</v>
      </c>
      <c r="AL24" s="550"/>
    </row>
    <row r="25" spans="1:38" ht="14.5">
      <c r="A25" s="468" t="s">
        <v>765</v>
      </c>
      <c r="B25" s="579" t="s">
        <v>764</v>
      </c>
      <c r="C25" s="479" t="s">
        <v>744</v>
      </c>
      <c r="D25" s="476">
        <v>1470.5882352941176</v>
      </c>
      <c r="E25" s="478">
        <v>9.625</v>
      </c>
      <c r="F25" s="481">
        <v>47528</v>
      </c>
      <c r="G25" s="477">
        <v>97.3</v>
      </c>
      <c r="H25" s="478"/>
      <c r="I25" s="478">
        <v>100.312</v>
      </c>
      <c r="J25" s="477">
        <v>102.125</v>
      </c>
      <c r="K25" s="743">
        <f t="shared" si="22"/>
        <v>9.4247246022031828E-2</v>
      </c>
      <c r="L25" s="478">
        <v>8.961732508030936</v>
      </c>
      <c r="M25" s="478">
        <v>2.565044781859406</v>
      </c>
      <c r="N25" s="478"/>
      <c r="O25" s="478" t="s">
        <v>595</v>
      </c>
      <c r="P25" s="478"/>
      <c r="Q25" s="478" t="s">
        <v>591</v>
      </c>
      <c r="R25" s="478" t="s">
        <v>399</v>
      </c>
      <c r="S25" s="478" t="s">
        <v>349</v>
      </c>
      <c r="T25" s="477" t="s">
        <v>392</v>
      </c>
      <c r="U25" s="477"/>
      <c r="V25" s="477" t="s">
        <v>386</v>
      </c>
      <c r="W25" s="476">
        <f t="shared" si="23"/>
        <v>1430.8823529411761</v>
      </c>
      <c r="X25" s="476">
        <f t="shared" si="24"/>
        <v>1430.8823529411761</v>
      </c>
      <c r="Y25" s="468"/>
      <c r="Z25" s="474">
        <f t="shared" si="25"/>
        <v>1501.8382352941176</v>
      </c>
      <c r="AA25" s="475">
        <f t="shared" si="26"/>
        <v>26.661764705882387</v>
      </c>
      <c r="AB25" s="475">
        <f t="shared" si="27"/>
        <v>70.955882352941217</v>
      </c>
      <c r="AC25" s="468">
        <f t="shared" si="28"/>
        <v>13459.072535039108</v>
      </c>
      <c r="AD25" s="468">
        <f t="shared" si="29"/>
        <v>3852.2823286381149</v>
      </c>
      <c r="AE25" s="716">
        <f>+AA25/X25</f>
        <v>1.8633093525179886E-2</v>
      </c>
      <c r="AF25" s="474">
        <f t="shared" si="31"/>
        <v>141.54411764705881</v>
      </c>
      <c r="AG25" s="471">
        <v>45904</v>
      </c>
      <c r="AJ25" s="764">
        <v>0.4</v>
      </c>
      <c r="AK25" s="548">
        <f>AJ25*Z25</f>
        <v>600.73529411764707</v>
      </c>
      <c r="AL25" s="550"/>
    </row>
    <row r="26" spans="1:38" ht="14.5">
      <c r="A26" s="468"/>
      <c r="B26" s="579"/>
      <c r="C26" s="479"/>
      <c r="D26" s="476"/>
      <c r="E26" s="478"/>
      <c r="F26" s="481"/>
      <c r="G26" s="477"/>
      <c r="H26" s="478"/>
      <c r="I26" s="478"/>
      <c r="J26" s="477"/>
      <c r="K26" s="743"/>
      <c r="L26" s="478"/>
      <c r="M26" s="478"/>
      <c r="N26" s="478"/>
      <c r="O26" s="478"/>
      <c r="P26" s="478"/>
      <c r="Q26" s="478"/>
      <c r="R26" s="478"/>
      <c r="S26" s="478"/>
      <c r="T26" s="477"/>
      <c r="U26" s="477"/>
      <c r="V26" s="477"/>
      <c r="W26" s="476"/>
      <c r="X26" s="476"/>
      <c r="Y26" s="468"/>
      <c r="Z26" s="474"/>
      <c r="AA26" s="475"/>
      <c r="AB26" s="475"/>
      <c r="AC26" s="468"/>
      <c r="AD26" s="468"/>
      <c r="AE26" s="716"/>
      <c r="AF26" s="474"/>
      <c r="AJ26" s="521"/>
      <c r="AK26" s="548"/>
    </row>
    <row r="27" spans="1:38" ht="14.5">
      <c r="A27" s="468"/>
      <c r="B27" s="579"/>
      <c r="C27" s="479"/>
      <c r="D27" s="473">
        <f>SUM(D4:D26)</f>
        <v>68644.11764705884</v>
      </c>
      <c r="E27" s="478"/>
      <c r="F27" s="481"/>
      <c r="G27" s="477"/>
      <c r="H27" s="478"/>
      <c r="I27" s="478"/>
      <c r="J27" s="477"/>
      <c r="K27" s="743"/>
      <c r="L27" s="478"/>
      <c r="M27" s="478"/>
      <c r="N27" s="478"/>
      <c r="O27" s="478"/>
      <c r="P27" s="478"/>
      <c r="Q27" s="478"/>
      <c r="R27" s="478"/>
      <c r="S27" s="478"/>
      <c r="T27" s="477"/>
      <c r="U27" s="477"/>
      <c r="V27" s="477"/>
      <c r="W27" s="476"/>
      <c r="X27" s="476"/>
      <c r="Y27" s="468"/>
      <c r="Z27" s="473">
        <f>SUM(Z4:Z26)</f>
        <v>67826.195529411736</v>
      </c>
      <c r="AA27" s="473">
        <f>SUM(AA4:AA26)</f>
        <v>208.16607647058581</v>
      </c>
      <c r="AB27" s="473">
        <f>SUM(AB4:AB26)</f>
        <v>77.057354117646838</v>
      </c>
      <c r="AC27" s="473">
        <f>SUM(AC4:AC26)</f>
        <v>294119.05306814739</v>
      </c>
      <c r="AD27" s="473">
        <f>SUM(AD4:AD26)</f>
        <v>91320.783804193852</v>
      </c>
      <c r="AE27" s="716"/>
      <c r="AF27" s="473">
        <f>SUM(AF4:AF26)</f>
        <v>2955.5509028418637</v>
      </c>
      <c r="AJ27" s="521"/>
      <c r="AK27" s="548"/>
    </row>
    <row r="28" spans="1:38" ht="14.5">
      <c r="A28" s="468"/>
      <c r="B28" s="579"/>
      <c r="C28" s="479"/>
      <c r="D28" s="476"/>
      <c r="E28" s="478"/>
      <c r="F28" s="481"/>
      <c r="G28" s="477"/>
      <c r="H28" s="478"/>
      <c r="I28" s="478"/>
      <c r="J28" s="477"/>
      <c r="K28" s="743"/>
      <c r="L28" s="478"/>
      <c r="M28" s="478"/>
      <c r="N28" s="478"/>
      <c r="O28" s="478"/>
      <c r="P28" s="478"/>
      <c r="Q28" s="478"/>
      <c r="R28" s="478"/>
      <c r="S28" s="478"/>
      <c r="T28" s="477"/>
      <c r="U28" s="477"/>
      <c r="V28" s="477"/>
      <c r="W28" s="476"/>
      <c r="X28" s="476"/>
      <c r="Y28" s="468"/>
      <c r="Z28" s="473"/>
      <c r="AA28" s="473"/>
      <c r="AB28" s="473"/>
      <c r="AC28" s="473"/>
      <c r="AD28" s="473"/>
      <c r="AE28" s="716"/>
      <c r="AF28" s="473">
        <f ca="1">AF27/360*AE31</f>
        <v>845.61595275753314</v>
      </c>
      <c r="AJ28" s="521"/>
      <c r="AK28" s="548"/>
    </row>
    <row r="29" spans="1:38" ht="14.5">
      <c r="A29" s="468"/>
      <c r="B29" s="579"/>
      <c r="C29" s="479"/>
      <c r="D29" s="476"/>
      <c r="E29" s="478"/>
      <c r="F29" s="481"/>
      <c r="G29" s="477"/>
      <c r="H29" s="478"/>
      <c r="I29" s="478"/>
      <c r="J29" s="477"/>
      <c r="K29" s="743"/>
      <c r="L29" s="478"/>
      <c r="M29" s="478"/>
      <c r="N29" s="478"/>
      <c r="O29" s="478"/>
      <c r="P29" s="478"/>
      <c r="Q29" s="478"/>
      <c r="R29" s="478"/>
      <c r="S29" s="478"/>
      <c r="T29" s="477"/>
      <c r="U29" s="477"/>
      <c r="V29" s="477"/>
      <c r="W29" s="476"/>
      <c r="X29" s="476"/>
      <c r="Y29" s="468"/>
      <c r="Z29" s="473"/>
      <c r="AA29" s="473"/>
      <c r="AB29" s="595" t="s">
        <v>532</v>
      </c>
      <c r="AC29" s="596">
        <f>AC27/Z27</f>
        <v>4.3363637127576675</v>
      </c>
      <c r="AD29" s="473"/>
      <c r="AE29" s="819">
        <f ca="1">TODAY()</f>
        <v>46125</v>
      </c>
      <c r="AF29" s="473"/>
      <c r="AJ29" s="521"/>
      <c r="AK29" s="548"/>
    </row>
    <row r="30" spans="1:38" ht="14.5">
      <c r="A30" s="468"/>
      <c r="B30" s="579"/>
      <c r="C30" s="479"/>
      <c r="D30" s="476"/>
      <c r="E30" s="478"/>
      <c r="F30" s="481"/>
      <c r="G30" s="477"/>
      <c r="H30" s="478"/>
      <c r="I30" s="478"/>
      <c r="J30" s="477"/>
      <c r="K30" s="743"/>
      <c r="L30" s="478"/>
      <c r="M30" s="478"/>
      <c r="N30" s="478"/>
      <c r="O30" s="478"/>
      <c r="P30" s="478"/>
      <c r="Q30" s="478"/>
      <c r="R30" s="478"/>
      <c r="S30" s="478"/>
      <c r="T30" s="477"/>
      <c r="U30" s="477"/>
      <c r="V30" s="477"/>
      <c r="W30" s="476"/>
      <c r="X30" s="476"/>
      <c r="Y30" s="468"/>
      <c r="Z30" s="473"/>
      <c r="AA30" s="473"/>
      <c r="AB30" s="595" t="s">
        <v>531</v>
      </c>
      <c r="AC30" s="596">
        <f>AD27/Z27</f>
        <v>1.3463940162262833</v>
      </c>
      <c r="AD30" s="473"/>
      <c r="AE30" s="819">
        <v>46022</v>
      </c>
      <c r="AF30" s="473"/>
      <c r="AJ30" s="521"/>
      <c r="AK30" s="548"/>
    </row>
    <row r="31" spans="1:38" ht="14.5">
      <c r="A31" s="468"/>
      <c r="B31" s="579"/>
      <c r="C31" s="479"/>
      <c r="D31" s="476"/>
      <c r="E31" s="478"/>
      <c r="F31" s="481"/>
      <c r="G31" s="477"/>
      <c r="H31" s="478"/>
      <c r="I31" s="478"/>
      <c r="J31" s="477"/>
      <c r="K31" s="743"/>
      <c r="L31" s="478"/>
      <c r="M31" s="478"/>
      <c r="N31" s="478"/>
      <c r="O31" s="478"/>
      <c r="P31" s="478"/>
      <c r="Q31" s="478"/>
      <c r="R31" s="478"/>
      <c r="S31" s="478"/>
      <c r="T31" s="477"/>
      <c r="U31" s="477"/>
      <c r="V31" s="477"/>
      <c r="W31" s="476"/>
      <c r="X31" s="476"/>
      <c r="Y31" s="468"/>
      <c r="Z31" s="473"/>
      <c r="AA31" s="473"/>
      <c r="AB31" s="595"/>
      <c r="AC31" s="596"/>
      <c r="AD31" s="473"/>
      <c r="AE31" s="820">
        <f ca="1">AE29-AE30</f>
        <v>103</v>
      </c>
      <c r="AF31" s="473"/>
      <c r="AJ31" s="521"/>
      <c r="AK31" s="548"/>
    </row>
    <row r="32" spans="1:38" ht="14.5">
      <c r="A32" s="468"/>
      <c r="B32" s="579"/>
      <c r="C32" s="479"/>
      <c r="D32" s="476"/>
      <c r="E32" s="478"/>
      <c r="F32" s="481"/>
      <c r="G32" s="477"/>
      <c r="H32" s="478"/>
      <c r="I32" s="478"/>
      <c r="J32" s="477"/>
      <c r="K32" s="743"/>
      <c r="L32" s="478"/>
      <c r="M32" s="478"/>
      <c r="N32" s="478"/>
      <c r="O32" s="478"/>
      <c r="P32" s="478"/>
      <c r="Q32" s="478"/>
      <c r="R32" s="478"/>
      <c r="S32" s="478"/>
      <c r="T32" s="477"/>
      <c r="U32" s="477"/>
      <c r="V32" s="477"/>
      <c r="W32" s="476"/>
      <c r="X32" s="476"/>
      <c r="Y32" s="468"/>
      <c r="Z32" s="473"/>
      <c r="AA32" s="473"/>
      <c r="AB32" s="595"/>
      <c r="AC32" s="596"/>
      <c r="AD32" s="473"/>
      <c r="AE32" s="716"/>
      <c r="AF32" s="473"/>
      <c r="AJ32" s="521"/>
      <c r="AK32" s="548"/>
    </row>
    <row r="33" spans="1:38" ht="18">
      <c r="A33" s="859" t="s">
        <v>610</v>
      </c>
      <c r="B33" s="860"/>
      <c r="C33" s="860"/>
      <c r="D33" s="860"/>
      <c r="E33" s="860"/>
      <c r="F33" s="860"/>
      <c r="G33" s="860"/>
      <c r="H33" s="860"/>
      <c r="I33" s="860"/>
      <c r="J33" s="860"/>
      <c r="K33" s="861"/>
      <c r="AB33" s="595"/>
      <c r="AC33" s="596"/>
    </row>
    <row r="34" spans="1:38" ht="14.5">
      <c r="A34" s="482" t="s">
        <v>345</v>
      </c>
      <c r="B34" s="482" t="s">
        <v>343</v>
      </c>
      <c r="C34" s="578" t="s">
        <v>482</v>
      </c>
      <c r="D34" s="578" t="s">
        <v>466</v>
      </c>
      <c r="E34" s="483" t="s">
        <v>481</v>
      </c>
      <c r="F34" s="483" t="s">
        <v>480</v>
      </c>
      <c r="G34" s="482" t="s">
        <v>341</v>
      </c>
      <c r="H34" s="482" t="s">
        <v>479</v>
      </c>
      <c r="I34" s="482" t="s">
        <v>530</v>
      </c>
      <c r="J34" s="482" t="s">
        <v>478</v>
      </c>
      <c r="K34" s="482" t="s">
        <v>560</v>
      </c>
      <c r="L34" s="482" t="s">
        <v>477</v>
      </c>
      <c r="M34" s="483" t="s">
        <v>476</v>
      </c>
      <c r="N34" s="482" t="s">
        <v>475</v>
      </c>
      <c r="O34" s="482" t="s">
        <v>474</v>
      </c>
      <c r="P34" s="482" t="s">
        <v>473</v>
      </c>
      <c r="Q34" s="483" t="s">
        <v>472</v>
      </c>
      <c r="R34" s="483" t="s">
        <v>471</v>
      </c>
      <c r="S34" s="482" t="s">
        <v>470</v>
      </c>
      <c r="T34" s="482" t="s">
        <v>469</v>
      </c>
      <c r="U34" s="482" t="s">
        <v>468</v>
      </c>
      <c r="V34" s="482" t="s">
        <v>467</v>
      </c>
      <c r="W34" s="482" t="s">
        <v>466</v>
      </c>
      <c r="X34" s="482" t="s">
        <v>465</v>
      </c>
      <c r="Y34" s="482" t="s">
        <v>464</v>
      </c>
      <c r="Z34" s="482" t="s">
        <v>77</v>
      </c>
      <c r="AA34" s="482" t="s">
        <v>22</v>
      </c>
      <c r="AB34" s="482" t="s">
        <v>463</v>
      </c>
      <c r="AC34" s="482" t="s">
        <v>462</v>
      </c>
      <c r="AD34" s="482" t="s">
        <v>461</v>
      </c>
      <c r="AE34" s="482" t="s">
        <v>460</v>
      </c>
      <c r="AF34" s="482" t="s">
        <v>459</v>
      </c>
      <c r="AG34" s="482" t="s">
        <v>458</v>
      </c>
      <c r="AH34" s="346" t="s">
        <v>457</v>
      </c>
      <c r="AI34" s="346" t="s">
        <v>456</v>
      </c>
      <c r="AJ34" s="472" t="s">
        <v>555</v>
      </c>
      <c r="AK34" s="548"/>
    </row>
    <row r="35" spans="1:38" ht="14.5">
      <c r="A35" s="468" t="s">
        <v>765</v>
      </c>
      <c r="B35" s="579" t="s">
        <v>764</v>
      </c>
      <c r="C35" s="479" t="s">
        <v>744</v>
      </c>
      <c r="D35" s="476">
        <v>294.11764705882354</v>
      </c>
      <c r="E35" s="478">
        <v>12.75</v>
      </c>
      <c r="F35" s="478" t="s">
        <v>362</v>
      </c>
      <c r="G35" s="477">
        <v>61.455370000000002</v>
      </c>
      <c r="H35" s="478">
        <v>5.2460000000000004</v>
      </c>
      <c r="I35" s="478">
        <v>13.16</v>
      </c>
      <c r="J35" s="478">
        <v>41.35</v>
      </c>
      <c r="K35" s="774" t="str">
        <f t="shared" ref="K35:K54" si="33">IF(AF35="","",AF35/Z35)</f>
        <v/>
      </c>
      <c r="L35" s="478">
        <v>72.944676468905541</v>
      </c>
      <c r="M35" s="478">
        <v>0</v>
      </c>
      <c r="N35" s="478" t="s">
        <v>354</v>
      </c>
      <c r="O35" s="478" t="s">
        <v>354</v>
      </c>
      <c r="P35" s="478" t="s">
        <v>352</v>
      </c>
      <c r="Q35" s="478" t="s">
        <v>351</v>
      </c>
      <c r="R35" s="478" t="s">
        <v>350</v>
      </c>
      <c r="S35" s="478" t="s">
        <v>349</v>
      </c>
      <c r="T35" s="477" t="s">
        <v>348</v>
      </c>
      <c r="U35" s="477"/>
      <c r="V35" s="477" t="s">
        <v>347</v>
      </c>
      <c r="W35" s="476">
        <f>+D35*J35/100</f>
        <v>121.61764705882354</v>
      </c>
      <c r="X35" s="476">
        <f t="shared" ref="X35:X54" si="34">+D35*G35/100</f>
        <v>180.75108823529411</v>
      </c>
      <c r="Y35" s="468"/>
      <c r="Z35" s="474">
        <f t="shared" ref="Z35:Z53" si="35">+D35*J35/100</f>
        <v>121.61764705882354</v>
      </c>
      <c r="AA35" s="475">
        <f t="shared" ref="AA35:AA49" si="36">IF(+I35=0,AB35,W35*(J35-I35)/100)</f>
        <v>34.284014705882356</v>
      </c>
      <c r="AB35" s="475">
        <f t="shared" ref="AB35:AB49" si="37">+$W35*($J35-$G35)/100</f>
        <v>-24.451677926470587</v>
      </c>
      <c r="AC35" s="468">
        <f t="shared" ref="AC35:AC41" si="38">+Z35*L35</f>
        <v>8871.3599176154239</v>
      </c>
      <c r="AD35" s="468"/>
      <c r="AE35" s="716">
        <f t="shared" ref="AE35:AE41" si="39">+AA35/X35</f>
        <v>0.18967528793659533</v>
      </c>
      <c r="AF35" s="474"/>
      <c r="AJ35" s="521">
        <v>0</v>
      </c>
      <c r="AK35" s="548">
        <f t="shared" ref="AK35:AK54" si="40">AJ35*Z35</f>
        <v>0</v>
      </c>
      <c r="AL35" s="550"/>
    </row>
    <row r="36" spans="1:38" ht="14.5">
      <c r="A36" s="468" t="s">
        <v>765</v>
      </c>
      <c r="B36" s="579" t="s">
        <v>764</v>
      </c>
      <c r="C36" s="479" t="s">
        <v>745</v>
      </c>
      <c r="D36" s="476">
        <v>294.11764705882354</v>
      </c>
      <c r="E36" s="478">
        <v>8.25</v>
      </c>
      <c r="F36" s="478" t="s">
        <v>385</v>
      </c>
      <c r="G36" s="477">
        <v>85.405000000000001</v>
      </c>
      <c r="H36" s="478">
        <v>0.40400000000000003</v>
      </c>
      <c r="I36" s="478">
        <v>0.221</v>
      </c>
      <c r="J36" s="478">
        <v>0.113</v>
      </c>
      <c r="K36" s="774" t="str">
        <f t="shared" si="33"/>
        <v/>
      </c>
      <c r="L36" s="478">
        <v>4166.666666666667</v>
      </c>
      <c r="M36" s="478">
        <v>0</v>
      </c>
      <c r="N36" s="478" t="s">
        <v>360</v>
      </c>
      <c r="O36" s="478" t="s">
        <v>353</v>
      </c>
      <c r="P36" s="478" t="s">
        <v>354</v>
      </c>
      <c r="Q36" s="478" t="s">
        <v>367</v>
      </c>
      <c r="R36" s="478" t="s">
        <v>384</v>
      </c>
      <c r="S36" s="478" t="s">
        <v>349</v>
      </c>
      <c r="T36" s="477" t="s">
        <v>357</v>
      </c>
      <c r="U36" s="477"/>
      <c r="V36" s="477" t="s">
        <v>347</v>
      </c>
      <c r="W36" s="476">
        <f t="shared" ref="W36:W54" si="41">+D36*G36/100</f>
        <v>251.19117647058826</v>
      </c>
      <c r="X36" s="476">
        <f t="shared" si="34"/>
        <v>251.19117647058826</v>
      </c>
      <c r="Y36" s="468"/>
      <c r="Z36" s="474">
        <f t="shared" si="35"/>
        <v>0.33235294117647057</v>
      </c>
      <c r="AA36" s="475">
        <f t="shared" si="36"/>
        <v>-0.2712864705882353</v>
      </c>
      <c r="AB36" s="475">
        <f t="shared" si="37"/>
        <v>-214.24597823529413</v>
      </c>
      <c r="AC36" s="468">
        <f t="shared" si="38"/>
        <v>1384.8039215686274</v>
      </c>
      <c r="AD36" s="468">
        <f t="shared" ref="AD36:AD41" si="42">+Z36*M36</f>
        <v>0</v>
      </c>
      <c r="AE36" s="716">
        <f t="shared" si="39"/>
        <v>-1.0799999999999998E-3</v>
      </c>
      <c r="AF36" s="474"/>
      <c r="AK36" s="548">
        <f t="shared" si="40"/>
        <v>0</v>
      </c>
      <c r="AL36" s="550"/>
    </row>
    <row r="37" spans="1:38" ht="14.5">
      <c r="A37" s="468" t="s">
        <v>765</v>
      </c>
      <c r="B37" s="579" t="s">
        <v>764</v>
      </c>
      <c r="C37" s="479" t="s">
        <v>746</v>
      </c>
      <c r="D37" s="476">
        <v>588.23529411764707</v>
      </c>
      <c r="E37" s="478">
        <v>5.25</v>
      </c>
      <c r="F37" s="478" t="s">
        <v>368</v>
      </c>
      <c r="G37" s="477">
        <v>93.5</v>
      </c>
      <c r="H37" s="478">
        <v>14.102</v>
      </c>
      <c r="I37" s="478">
        <v>33.853999999999999</v>
      </c>
      <c r="J37" s="478">
        <v>6.875</v>
      </c>
      <c r="K37" s="774" t="str">
        <f t="shared" si="33"/>
        <v/>
      </c>
      <c r="L37" s="478">
        <v>59.456398640996596</v>
      </c>
      <c r="M37" s="478">
        <v>0</v>
      </c>
      <c r="N37" s="478" t="s">
        <v>354</v>
      </c>
      <c r="O37" s="478" t="s">
        <v>354</v>
      </c>
      <c r="P37" s="478" t="s">
        <v>352</v>
      </c>
      <c r="Q37" s="478" t="s">
        <v>367</v>
      </c>
      <c r="R37" s="478" t="s">
        <v>366</v>
      </c>
      <c r="S37" s="478" t="s">
        <v>349</v>
      </c>
      <c r="T37" s="477" t="s">
        <v>357</v>
      </c>
      <c r="U37" s="477"/>
      <c r="V37" s="477" t="s">
        <v>365</v>
      </c>
      <c r="W37" s="476">
        <f t="shared" si="41"/>
        <v>550</v>
      </c>
      <c r="X37" s="476">
        <f t="shared" si="34"/>
        <v>550</v>
      </c>
      <c r="Y37" s="468"/>
      <c r="Z37" s="474">
        <f t="shared" si="35"/>
        <v>40.441176470588232</v>
      </c>
      <c r="AA37" s="475">
        <f t="shared" si="36"/>
        <v>-148.3845</v>
      </c>
      <c r="AB37" s="475">
        <f t="shared" si="37"/>
        <v>-476.4375</v>
      </c>
      <c r="AC37" s="468">
        <f t="shared" si="38"/>
        <v>2404.4867097461856</v>
      </c>
      <c r="AD37" s="468">
        <f t="shared" si="42"/>
        <v>0</v>
      </c>
      <c r="AE37" s="716">
        <f t="shared" si="39"/>
        <v>-0.26979000000000003</v>
      </c>
      <c r="AF37" s="474"/>
      <c r="AJ37" s="521">
        <v>0</v>
      </c>
      <c r="AK37" s="548">
        <f t="shared" si="40"/>
        <v>0</v>
      </c>
      <c r="AL37" s="550"/>
    </row>
    <row r="38" spans="1:38" ht="14.5">
      <c r="A38" s="468" t="s">
        <v>765</v>
      </c>
      <c r="B38" s="579" t="s">
        <v>764</v>
      </c>
      <c r="C38" s="479" t="s">
        <v>747</v>
      </c>
      <c r="D38" s="476">
        <v>735.29411764705878</v>
      </c>
      <c r="E38" s="478">
        <v>6.75</v>
      </c>
      <c r="F38" s="478" t="s">
        <v>383</v>
      </c>
      <c r="G38" s="477">
        <v>95.558620000000005</v>
      </c>
      <c r="H38" s="478">
        <v>5.5579999999999998</v>
      </c>
      <c r="I38" s="478">
        <v>3.488</v>
      </c>
      <c r="J38" s="478">
        <v>3</v>
      </c>
      <c r="K38" s="774" t="str">
        <f t="shared" si="33"/>
        <v/>
      </c>
      <c r="L38" s="478">
        <v>162.65060240963854</v>
      </c>
      <c r="M38" s="478">
        <v>0</v>
      </c>
      <c r="N38" s="478" t="s">
        <v>360</v>
      </c>
      <c r="O38" s="478" t="s">
        <v>353</v>
      </c>
      <c r="P38" s="478" t="s">
        <v>354</v>
      </c>
      <c r="Q38" s="478" t="s">
        <v>367</v>
      </c>
      <c r="R38" s="478" t="s">
        <v>382</v>
      </c>
      <c r="S38" s="478" t="s">
        <v>349</v>
      </c>
      <c r="T38" s="477" t="s">
        <v>381</v>
      </c>
      <c r="U38" s="477"/>
      <c r="V38" s="477" t="s">
        <v>347</v>
      </c>
      <c r="W38" s="476">
        <f t="shared" si="41"/>
        <v>702.63691176470593</v>
      </c>
      <c r="X38" s="476">
        <f t="shared" si="34"/>
        <v>702.63691176470593</v>
      </c>
      <c r="Y38" s="468"/>
      <c r="Z38" s="474">
        <f t="shared" si="35"/>
        <v>22.058823529411764</v>
      </c>
      <c r="AA38" s="475">
        <f t="shared" si="36"/>
        <v>-3.4288681294117644</v>
      </c>
      <c r="AB38" s="475">
        <f t="shared" si="37"/>
        <v>-650.35102914002948</v>
      </c>
      <c r="AC38" s="468">
        <f t="shared" si="38"/>
        <v>3587.8809355067324</v>
      </c>
      <c r="AD38" s="468">
        <f t="shared" si="42"/>
        <v>0</v>
      </c>
      <c r="AE38" s="716">
        <f t="shared" si="39"/>
        <v>-4.8799999999999989E-3</v>
      </c>
      <c r="AF38" s="474"/>
      <c r="AJ38" s="521">
        <v>0</v>
      </c>
      <c r="AK38" s="548">
        <f t="shared" si="40"/>
        <v>0</v>
      </c>
      <c r="AL38" s="550"/>
    </row>
    <row r="39" spans="1:38" ht="14.5">
      <c r="A39" s="468" t="s">
        <v>765</v>
      </c>
      <c r="B39" s="579" t="s">
        <v>764</v>
      </c>
      <c r="C39" s="479" t="s">
        <v>748</v>
      </c>
      <c r="D39" s="476">
        <v>735.29411764705878</v>
      </c>
      <c r="E39" s="478">
        <v>6.75</v>
      </c>
      <c r="F39" s="478" t="s">
        <v>383</v>
      </c>
      <c r="G39" s="477">
        <v>96.15</v>
      </c>
      <c r="H39" s="478">
        <v>5.5579999999999998</v>
      </c>
      <c r="I39" s="478">
        <v>3.488</v>
      </c>
      <c r="J39" s="478">
        <v>3</v>
      </c>
      <c r="K39" s="774" t="str">
        <f t="shared" si="33"/>
        <v/>
      </c>
      <c r="L39" s="478">
        <v>162.65060240963854</v>
      </c>
      <c r="M39" s="478">
        <v>0</v>
      </c>
      <c r="N39" s="478" t="s">
        <v>360</v>
      </c>
      <c r="O39" s="478" t="s">
        <v>353</v>
      </c>
      <c r="P39" s="478" t="s">
        <v>354</v>
      </c>
      <c r="Q39" s="478" t="s">
        <v>367</v>
      </c>
      <c r="R39" s="478" t="s">
        <v>382</v>
      </c>
      <c r="S39" s="478" t="s">
        <v>349</v>
      </c>
      <c r="T39" s="477" t="s">
        <v>381</v>
      </c>
      <c r="U39" s="477"/>
      <c r="V39" s="477" t="s">
        <v>347</v>
      </c>
      <c r="W39" s="476">
        <f t="shared" si="41"/>
        <v>706.98529411764696</v>
      </c>
      <c r="X39" s="476">
        <f t="shared" si="34"/>
        <v>706.98529411764696</v>
      </c>
      <c r="Y39" s="468"/>
      <c r="Z39" s="474">
        <f t="shared" si="35"/>
        <v>22.058823529411764</v>
      </c>
      <c r="AA39" s="475">
        <f t="shared" si="36"/>
        <v>-3.4500882352941171</v>
      </c>
      <c r="AB39" s="475">
        <f t="shared" si="37"/>
        <v>-658.5568014705882</v>
      </c>
      <c r="AC39" s="468">
        <f t="shared" si="38"/>
        <v>3587.8809355067324</v>
      </c>
      <c r="AD39" s="468">
        <f t="shared" si="42"/>
        <v>0</v>
      </c>
      <c r="AE39" s="716">
        <f t="shared" si="39"/>
        <v>-4.8799999999999998E-3</v>
      </c>
      <c r="AF39" s="474"/>
      <c r="AJ39" s="521">
        <v>0</v>
      </c>
      <c r="AK39" s="548">
        <f t="shared" si="40"/>
        <v>0</v>
      </c>
      <c r="AL39" s="550"/>
    </row>
    <row r="40" spans="1:38" ht="14.5">
      <c r="A40" s="468" t="s">
        <v>765</v>
      </c>
      <c r="B40" s="579" t="s">
        <v>764</v>
      </c>
      <c r="C40" s="479" t="s">
        <v>749</v>
      </c>
      <c r="D40" s="476">
        <v>441.1764705882353</v>
      </c>
      <c r="E40" s="478">
        <v>12</v>
      </c>
      <c r="F40" s="478" t="s">
        <v>390</v>
      </c>
      <c r="G40" s="477">
        <v>0</v>
      </c>
      <c r="H40" s="478">
        <v>0.378</v>
      </c>
      <c r="I40" s="478">
        <v>0.378</v>
      </c>
      <c r="J40" s="478">
        <v>0.216</v>
      </c>
      <c r="K40" s="774" t="str">
        <f t="shared" si="33"/>
        <v/>
      </c>
      <c r="L40" s="478">
        <v>3174.6031746031749</v>
      </c>
      <c r="M40" s="478">
        <v>0</v>
      </c>
      <c r="N40" s="478" t="s">
        <v>354</v>
      </c>
      <c r="O40" s="478" t="s">
        <v>353</v>
      </c>
      <c r="P40" s="478" t="s">
        <v>354</v>
      </c>
      <c r="Q40" s="478" t="s">
        <v>389</v>
      </c>
      <c r="R40" s="478" t="s">
        <v>388</v>
      </c>
      <c r="S40" s="478" t="s">
        <v>387</v>
      </c>
      <c r="T40" s="477" t="s">
        <v>357</v>
      </c>
      <c r="U40" s="477"/>
      <c r="V40" s="477" t="s">
        <v>386</v>
      </c>
      <c r="W40" s="476">
        <f t="shared" si="41"/>
        <v>0</v>
      </c>
      <c r="X40" s="476">
        <f t="shared" si="34"/>
        <v>0</v>
      </c>
      <c r="Y40" s="468"/>
      <c r="Z40" s="474">
        <f t="shared" si="35"/>
        <v>0.95294117647058829</v>
      </c>
      <c r="AA40" s="475">
        <f t="shared" si="36"/>
        <v>0</v>
      </c>
      <c r="AB40" s="475">
        <f t="shared" si="37"/>
        <v>0</v>
      </c>
      <c r="AC40" s="468">
        <f t="shared" si="38"/>
        <v>3025.2100840336138</v>
      </c>
      <c r="AD40" s="468">
        <f t="shared" si="42"/>
        <v>0</v>
      </c>
      <c r="AE40" s="716" t="e">
        <f t="shared" si="39"/>
        <v>#DIV/0!</v>
      </c>
      <c r="AF40" s="474"/>
      <c r="AK40" s="548">
        <f t="shared" si="40"/>
        <v>0</v>
      </c>
      <c r="AL40" s="550"/>
    </row>
    <row r="41" spans="1:38" ht="14.5">
      <c r="A41" s="468" t="s">
        <v>765</v>
      </c>
      <c r="B41" s="579" t="s">
        <v>764</v>
      </c>
      <c r="C41" s="479" t="s">
        <v>750</v>
      </c>
      <c r="D41" s="476">
        <v>1470.5882352941176</v>
      </c>
      <c r="E41" s="478">
        <v>7.1210000000000004</v>
      </c>
      <c r="F41" s="478" t="s">
        <v>369</v>
      </c>
      <c r="G41" s="477">
        <v>104</v>
      </c>
      <c r="H41" s="478">
        <v>23.414999999999999</v>
      </c>
      <c r="I41" s="478">
        <v>23.722000000000001</v>
      </c>
      <c r="J41" s="478">
        <v>15.808999999999999</v>
      </c>
      <c r="K41" s="774" t="str">
        <f t="shared" si="33"/>
        <v/>
      </c>
      <c r="L41" s="478">
        <v>38.326157158234665</v>
      </c>
      <c r="M41" s="478">
        <v>0</v>
      </c>
      <c r="N41" s="478" t="s">
        <v>360</v>
      </c>
      <c r="O41" s="478" t="s">
        <v>354</v>
      </c>
      <c r="P41" s="478" t="s">
        <v>352</v>
      </c>
      <c r="Q41" s="478" t="s">
        <v>367</v>
      </c>
      <c r="R41" s="478" t="s">
        <v>366</v>
      </c>
      <c r="S41" s="478" t="s">
        <v>349</v>
      </c>
      <c r="T41" s="477" t="s">
        <v>357</v>
      </c>
      <c r="U41" s="477"/>
      <c r="V41" s="478" t="s">
        <v>347</v>
      </c>
      <c r="W41" s="476">
        <f t="shared" si="41"/>
        <v>1529.4117647058822</v>
      </c>
      <c r="X41" s="476">
        <f t="shared" si="34"/>
        <v>1529.4117647058822</v>
      </c>
      <c r="Y41" s="468"/>
      <c r="Z41" s="474">
        <f t="shared" si="35"/>
        <v>232.48529411764702</v>
      </c>
      <c r="AA41" s="475">
        <f t="shared" si="36"/>
        <v>-121.02235294117649</v>
      </c>
      <c r="AB41" s="475">
        <f t="shared" si="37"/>
        <v>-1348.8035294117647</v>
      </c>
      <c r="AC41" s="468">
        <f t="shared" si="38"/>
        <v>8910.2679193313488</v>
      </c>
      <c r="AD41" s="468">
        <f t="shared" si="42"/>
        <v>0</v>
      </c>
      <c r="AE41" s="716">
        <f t="shared" si="39"/>
        <v>-7.913000000000002E-2</v>
      </c>
      <c r="AF41" s="474"/>
      <c r="AJ41" s="521">
        <v>0</v>
      </c>
      <c r="AK41" s="548">
        <f t="shared" si="40"/>
        <v>0</v>
      </c>
      <c r="AL41" s="550"/>
    </row>
    <row r="42" spans="1:38" ht="14.5">
      <c r="A42" s="468" t="s">
        <v>765</v>
      </c>
      <c r="B42" s="579" t="s">
        <v>764</v>
      </c>
      <c r="C42" s="479" t="s">
        <v>751</v>
      </c>
      <c r="D42" s="476">
        <v>294.11764705882354</v>
      </c>
      <c r="E42" s="478">
        <v>9.75</v>
      </c>
      <c r="F42" s="478" t="s">
        <v>355</v>
      </c>
      <c r="G42" s="477">
        <v>48.994439999999997</v>
      </c>
      <c r="H42" s="478">
        <v>4.82</v>
      </c>
      <c r="I42" s="478">
        <v>12.670999999999999</v>
      </c>
      <c r="J42" s="478">
        <v>39.049999999999997</v>
      </c>
      <c r="K42" s="774" t="str">
        <f t="shared" si="33"/>
        <v/>
      </c>
      <c r="L42" s="478">
        <v>52.656709434791736</v>
      </c>
      <c r="M42" s="478">
        <v>2.927989453550031</v>
      </c>
      <c r="N42" s="478" t="s">
        <v>354</v>
      </c>
      <c r="O42" s="478" t="s">
        <v>353</v>
      </c>
      <c r="P42" s="478" t="s">
        <v>352</v>
      </c>
      <c r="Q42" s="478" t="s">
        <v>351</v>
      </c>
      <c r="R42" s="478" t="s">
        <v>350</v>
      </c>
      <c r="S42" s="478" t="s">
        <v>349</v>
      </c>
      <c r="T42" s="477" t="s">
        <v>348</v>
      </c>
      <c r="U42" s="477"/>
      <c r="V42" s="477" t="s">
        <v>347</v>
      </c>
      <c r="W42" s="476">
        <f t="shared" si="41"/>
        <v>144.10129411764706</v>
      </c>
      <c r="X42" s="476">
        <f t="shared" si="34"/>
        <v>144.10129411764706</v>
      </c>
      <c r="Y42" s="468"/>
      <c r="Z42" s="474">
        <f t="shared" si="35"/>
        <v>114.85294117647058</v>
      </c>
      <c r="AA42" s="475">
        <f t="shared" si="36"/>
        <v>38.012480375294111</v>
      </c>
      <c r="AB42" s="475">
        <f t="shared" si="37"/>
        <v>-14.330066732752941</v>
      </c>
      <c r="AC42" s="468"/>
      <c r="AD42" s="468"/>
      <c r="AE42" s="716"/>
      <c r="AF42" s="474"/>
      <c r="AJ42" s="521">
        <v>0</v>
      </c>
      <c r="AK42" s="548">
        <f t="shared" si="40"/>
        <v>0</v>
      </c>
      <c r="AL42" s="550"/>
    </row>
    <row r="43" spans="1:38" ht="14.5">
      <c r="A43" s="468" t="s">
        <v>765</v>
      </c>
      <c r="B43" s="579" t="s">
        <v>764</v>
      </c>
      <c r="C43" s="479" t="s">
        <v>752</v>
      </c>
      <c r="D43" s="476">
        <v>2941.1764705882351</v>
      </c>
      <c r="E43" s="478">
        <v>4.7</v>
      </c>
      <c r="F43" s="478" t="s">
        <v>370</v>
      </c>
      <c r="G43" s="477">
        <v>98.88</v>
      </c>
      <c r="H43" s="478">
        <v>22.724</v>
      </c>
      <c r="I43" s="478">
        <v>35.582999999999998</v>
      </c>
      <c r="J43" s="478" t="s">
        <v>354</v>
      </c>
      <c r="K43" s="774" t="str">
        <f t="shared" si="33"/>
        <v/>
      </c>
      <c r="L43" s="478">
        <v>0</v>
      </c>
      <c r="M43" s="478">
        <v>0</v>
      </c>
      <c r="N43" s="478" t="s">
        <v>360</v>
      </c>
      <c r="O43" s="478" t="s">
        <v>354</v>
      </c>
      <c r="P43" s="478" t="s">
        <v>352</v>
      </c>
      <c r="Q43" s="478" t="s">
        <v>367</v>
      </c>
      <c r="R43" s="478" t="s">
        <v>366</v>
      </c>
      <c r="S43" s="478" t="s">
        <v>349</v>
      </c>
      <c r="T43" s="477" t="s">
        <v>357</v>
      </c>
      <c r="U43" s="477"/>
      <c r="V43" s="477" t="s">
        <v>347</v>
      </c>
      <c r="W43" s="476">
        <f t="shared" si="41"/>
        <v>2908.2352941176468</v>
      </c>
      <c r="X43" s="476">
        <f t="shared" si="34"/>
        <v>2908.2352941176468</v>
      </c>
      <c r="Y43" s="468"/>
      <c r="Z43" s="474">
        <v>0</v>
      </c>
      <c r="AA43" s="475">
        <v>0</v>
      </c>
      <c r="AB43" s="475">
        <v>0</v>
      </c>
      <c r="AC43" s="468">
        <f t="shared" ref="AC43:AC49" si="43">+Z43*L43</f>
        <v>0</v>
      </c>
      <c r="AD43" s="468">
        <f t="shared" ref="AD43:AD53" si="44">+Z43*M43</f>
        <v>0</v>
      </c>
      <c r="AE43" s="716">
        <f t="shared" ref="AE43:AE53" si="45">+AA43/X43</f>
        <v>0</v>
      </c>
      <c r="AF43" s="474"/>
      <c r="AJ43" s="521">
        <v>0</v>
      </c>
      <c r="AK43" s="548">
        <f t="shared" si="40"/>
        <v>0</v>
      </c>
      <c r="AL43" s="550"/>
    </row>
    <row r="44" spans="1:38" ht="14.5">
      <c r="A44" s="468" t="s">
        <v>765</v>
      </c>
      <c r="B44" s="579" t="s">
        <v>764</v>
      </c>
      <c r="C44" s="479" t="s">
        <v>753</v>
      </c>
      <c r="D44" s="476">
        <v>1617.6470588235295</v>
      </c>
      <c r="E44" s="478">
        <v>9.375</v>
      </c>
      <c r="F44" s="478" t="s">
        <v>361</v>
      </c>
      <c r="G44" s="477">
        <v>48.95</v>
      </c>
      <c r="H44" s="478">
        <v>8.9320000000000004</v>
      </c>
      <c r="I44" s="478">
        <v>17.404</v>
      </c>
      <c r="J44" s="478">
        <v>44.405000000000001</v>
      </c>
      <c r="K44" s="774" t="str">
        <f t="shared" si="33"/>
        <v/>
      </c>
      <c r="L44" s="478">
        <v>35.908175839513781</v>
      </c>
      <c r="M44" s="478">
        <v>4.2422559174466921</v>
      </c>
      <c r="N44" s="478" t="s">
        <v>360</v>
      </c>
      <c r="O44" s="478" t="s">
        <v>359</v>
      </c>
      <c r="P44" s="478" t="s">
        <v>352</v>
      </c>
      <c r="Q44" s="478" t="s">
        <v>358</v>
      </c>
      <c r="R44" s="478" t="s">
        <v>350</v>
      </c>
      <c r="S44" s="478" t="s">
        <v>349</v>
      </c>
      <c r="T44" s="477" t="s">
        <v>357</v>
      </c>
      <c r="U44" s="477"/>
      <c r="V44" s="477" t="s">
        <v>347</v>
      </c>
      <c r="W44" s="476">
        <f t="shared" si="41"/>
        <v>791.83823529411779</v>
      </c>
      <c r="X44" s="476">
        <f t="shared" si="34"/>
        <v>791.83823529411779</v>
      </c>
      <c r="Y44" s="468"/>
      <c r="Z44" s="474">
        <f t="shared" si="35"/>
        <v>718.31617647058829</v>
      </c>
      <c r="AA44" s="475">
        <f t="shared" si="36"/>
        <v>213.80424191176476</v>
      </c>
      <c r="AB44" s="475">
        <f t="shared" si="37"/>
        <v>-35.989047794117667</v>
      </c>
      <c r="AC44" s="468">
        <f t="shared" si="43"/>
        <v>25793.423573073094</v>
      </c>
      <c r="AD44" s="468">
        <f t="shared" si="44"/>
        <v>3047.2810502300354</v>
      </c>
      <c r="AE44" s="716">
        <f t="shared" si="45"/>
        <v>0.27001000000000003</v>
      </c>
      <c r="AF44" s="474"/>
      <c r="AK44" s="548">
        <f t="shared" si="40"/>
        <v>0</v>
      </c>
      <c r="AL44" s="550"/>
    </row>
    <row r="45" spans="1:38" ht="14.5">
      <c r="A45" s="468" t="s">
        <v>765</v>
      </c>
      <c r="B45" s="579" t="s">
        <v>764</v>
      </c>
      <c r="C45" s="479" t="s">
        <v>754</v>
      </c>
      <c r="D45" s="476">
        <v>882.35294117647061</v>
      </c>
      <c r="E45" s="478">
        <v>9.5</v>
      </c>
      <c r="F45" s="478" t="s">
        <v>373</v>
      </c>
      <c r="G45" s="477">
        <v>92.65</v>
      </c>
      <c r="H45" s="478">
        <v>15.49</v>
      </c>
      <c r="I45" s="478">
        <v>17.913</v>
      </c>
      <c r="J45" s="478">
        <v>13.101000000000001</v>
      </c>
      <c r="K45" s="774" t="str">
        <f t="shared" si="33"/>
        <v/>
      </c>
      <c r="L45" s="478">
        <v>67.7585996646431</v>
      </c>
      <c r="M45" s="478">
        <v>2.231383035395611</v>
      </c>
      <c r="N45" s="478" t="s">
        <v>354</v>
      </c>
      <c r="O45" s="478" t="s">
        <v>360</v>
      </c>
      <c r="P45" s="478" t="s">
        <v>354</v>
      </c>
      <c r="Q45" s="478" t="s">
        <v>367</v>
      </c>
      <c r="R45" s="478" t="s">
        <v>366</v>
      </c>
      <c r="S45" s="478" t="s">
        <v>349</v>
      </c>
      <c r="T45" s="477" t="s">
        <v>372</v>
      </c>
      <c r="U45" s="477"/>
      <c r="V45" s="477" t="s">
        <v>371</v>
      </c>
      <c r="W45" s="476">
        <f t="shared" si="41"/>
        <v>817.5</v>
      </c>
      <c r="X45" s="476">
        <f t="shared" si="34"/>
        <v>817.5</v>
      </c>
      <c r="Y45" s="468"/>
      <c r="Z45" s="474">
        <f t="shared" si="35"/>
        <v>115.59705882352942</v>
      </c>
      <c r="AA45" s="475">
        <f t="shared" si="36"/>
        <v>-39.338099999999997</v>
      </c>
      <c r="AB45" s="475">
        <f t="shared" si="37"/>
        <v>-650.31307500000003</v>
      </c>
      <c r="AC45" s="468">
        <f t="shared" si="43"/>
        <v>7832.694831233729</v>
      </c>
      <c r="AD45" s="468">
        <f t="shared" si="44"/>
        <v>257.9413160004521</v>
      </c>
      <c r="AE45" s="716">
        <f t="shared" si="45"/>
        <v>-4.8119999999999996E-2</v>
      </c>
      <c r="AF45" s="474"/>
      <c r="AJ45" s="764">
        <v>0</v>
      </c>
      <c r="AK45" s="548">
        <f t="shared" si="40"/>
        <v>0</v>
      </c>
      <c r="AL45" s="550"/>
    </row>
    <row r="46" spans="1:38" ht="14.5">
      <c r="A46" s="468" t="s">
        <v>765</v>
      </c>
      <c r="B46" s="579" t="s">
        <v>764</v>
      </c>
      <c r="C46" s="479" t="s">
        <v>755</v>
      </c>
      <c r="D46" s="599">
        <v>588.23529411764707</v>
      </c>
      <c r="E46" s="600">
        <v>9.5</v>
      </c>
      <c r="F46" s="600" t="s">
        <v>373</v>
      </c>
      <c r="G46" s="600">
        <v>103.75</v>
      </c>
      <c r="H46" s="600">
        <v>15.49</v>
      </c>
      <c r="I46" s="600">
        <v>17.913</v>
      </c>
      <c r="J46" s="600">
        <v>13.101000000000001</v>
      </c>
      <c r="K46" s="775" t="str">
        <f t="shared" si="33"/>
        <v/>
      </c>
      <c r="L46" s="600">
        <v>67.7585996646431</v>
      </c>
      <c r="M46" s="600">
        <v>2.231383035395611</v>
      </c>
      <c r="N46" s="600" t="s">
        <v>354</v>
      </c>
      <c r="O46" s="600" t="s">
        <v>360</v>
      </c>
      <c r="P46" s="600" t="s">
        <v>354</v>
      </c>
      <c r="Q46" s="600" t="s">
        <v>367</v>
      </c>
      <c r="R46" s="600" t="s">
        <v>366</v>
      </c>
      <c r="S46" s="600" t="s">
        <v>349</v>
      </c>
      <c r="T46" s="600" t="s">
        <v>372</v>
      </c>
      <c r="U46" s="600"/>
      <c r="V46" s="600" t="s">
        <v>371</v>
      </c>
      <c r="W46" s="599">
        <f t="shared" si="41"/>
        <v>610.29411764705878</v>
      </c>
      <c r="X46" s="599">
        <f t="shared" si="34"/>
        <v>610.29411764705878</v>
      </c>
      <c r="Y46" s="598"/>
      <c r="Z46" s="601">
        <f t="shared" si="35"/>
        <v>77.064705882352939</v>
      </c>
      <c r="AA46" s="602">
        <f t="shared" si="36"/>
        <v>-29.367352941176463</v>
      </c>
      <c r="AB46" s="602">
        <f t="shared" si="37"/>
        <v>-553.22551470588235</v>
      </c>
      <c r="AC46" s="598">
        <f t="shared" si="43"/>
        <v>5221.7965541558187</v>
      </c>
      <c r="AD46" s="598">
        <f t="shared" si="44"/>
        <v>171.9608773336347</v>
      </c>
      <c r="AE46" s="717">
        <f t="shared" si="45"/>
        <v>-4.8119999999999989E-2</v>
      </c>
      <c r="AF46" s="601"/>
      <c r="AK46" s="548">
        <f t="shared" si="40"/>
        <v>0</v>
      </c>
      <c r="AL46" s="550"/>
    </row>
    <row r="47" spans="1:38" ht="14.5">
      <c r="A47" s="468" t="s">
        <v>765</v>
      </c>
      <c r="B47" s="579" t="s">
        <v>764</v>
      </c>
      <c r="C47" s="479" t="s">
        <v>756</v>
      </c>
      <c r="D47" s="476">
        <v>1126.4705882352941</v>
      </c>
      <c r="E47" s="478">
        <v>9.25</v>
      </c>
      <c r="F47" s="478" t="s">
        <v>363</v>
      </c>
      <c r="G47" s="477">
        <v>51.875</v>
      </c>
      <c r="H47" s="478">
        <v>8.9209999999999994</v>
      </c>
      <c r="I47" s="478">
        <v>19.39</v>
      </c>
      <c r="J47" s="478">
        <v>44.003999999999998</v>
      </c>
      <c r="K47" s="774" t="str">
        <f t="shared" si="33"/>
        <v/>
      </c>
      <c r="L47" s="478">
        <v>109.6266849371371</v>
      </c>
      <c r="M47" s="478">
        <v>1.7447820799003373</v>
      </c>
      <c r="N47" s="478" t="s">
        <v>360</v>
      </c>
      <c r="O47" s="478" t="s">
        <v>359</v>
      </c>
      <c r="P47" s="478" t="s">
        <v>352</v>
      </c>
      <c r="Q47" s="478" t="s">
        <v>358</v>
      </c>
      <c r="R47" s="478" t="s">
        <v>350</v>
      </c>
      <c r="S47" s="478" t="s">
        <v>349</v>
      </c>
      <c r="T47" s="477" t="s">
        <v>357</v>
      </c>
      <c r="U47" s="477"/>
      <c r="V47" s="477" t="s">
        <v>347</v>
      </c>
      <c r="W47" s="476">
        <f t="shared" si="41"/>
        <v>584.35661764705878</v>
      </c>
      <c r="X47" s="476">
        <f t="shared" si="34"/>
        <v>584.35661764705878</v>
      </c>
      <c r="Y47" s="468"/>
      <c r="Z47" s="474">
        <f t="shared" si="35"/>
        <v>495.69211764705886</v>
      </c>
      <c r="AA47" s="475">
        <f t="shared" si="36"/>
        <v>143.83353786764704</v>
      </c>
      <c r="AB47" s="475">
        <f t="shared" si="37"/>
        <v>-45.994709375000014</v>
      </c>
      <c r="AC47" s="468">
        <f t="shared" si="43"/>
        <v>54341.083607116416</v>
      </c>
      <c r="AD47" s="468">
        <f t="shared" si="44"/>
        <v>864.87472401843809</v>
      </c>
      <c r="AE47" s="716">
        <f t="shared" si="45"/>
        <v>0.24613999999999997</v>
      </c>
      <c r="AF47" s="474"/>
      <c r="AJ47" s="521">
        <v>0</v>
      </c>
      <c r="AK47" s="548">
        <f t="shared" si="40"/>
        <v>0</v>
      </c>
      <c r="AL47" s="550"/>
    </row>
    <row r="48" spans="1:38" ht="14.5">
      <c r="A48" s="468" t="s">
        <v>765</v>
      </c>
      <c r="B48" s="579" t="s">
        <v>764</v>
      </c>
      <c r="C48" s="479" t="s">
        <v>757</v>
      </c>
      <c r="D48" s="476">
        <v>1029.4117647058824</v>
      </c>
      <c r="E48" s="478" t="s">
        <v>38</v>
      </c>
      <c r="F48" s="478" t="s">
        <v>364</v>
      </c>
      <c r="G48" s="477">
        <v>43.375</v>
      </c>
      <c r="H48" s="478">
        <v>9.0030000000000001</v>
      </c>
      <c r="I48" s="478">
        <v>14.763</v>
      </c>
      <c r="J48" s="478">
        <v>38.789000000000001</v>
      </c>
      <c r="K48" s="774" t="str">
        <f t="shared" si="33"/>
        <v/>
      </c>
      <c r="L48" s="478">
        <v>34.004834047720742</v>
      </c>
      <c r="M48" s="478">
        <v>4.0934491070561396</v>
      </c>
      <c r="N48" s="478" t="s">
        <v>360</v>
      </c>
      <c r="O48" s="478" t="s">
        <v>353</v>
      </c>
      <c r="P48" s="478" t="s">
        <v>352</v>
      </c>
      <c r="Q48" s="478" t="s">
        <v>358</v>
      </c>
      <c r="R48" s="478" t="s">
        <v>350</v>
      </c>
      <c r="S48" s="478" t="s">
        <v>349</v>
      </c>
      <c r="T48" s="477" t="s">
        <v>357</v>
      </c>
      <c r="U48" s="477"/>
      <c r="V48" s="477" t="s">
        <v>347</v>
      </c>
      <c r="W48" s="476">
        <f t="shared" si="41"/>
        <v>446.50735294117652</v>
      </c>
      <c r="X48" s="476">
        <f t="shared" si="34"/>
        <v>446.50735294117652</v>
      </c>
      <c r="Y48" s="468"/>
      <c r="Z48" s="474">
        <f t="shared" si="35"/>
        <v>399.29852941176478</v>
      </c>
      <c r="AA48" s="475">
        <f t="shared" si="36"/>
        <v>107.27785661764709</v>
      </c>
      <c r="AB48" s="475">
        <f t="shared" si="37"/>
        <v>-20.476827205882348</v>
      </c>
      <c r="AC48" s="468">
        <f t="shared" si="43"/>
        <v>13578.080228146</v>
      </c>
      <c r="AD48" s="468">
        <f t="shared" si="44"/>
        <v>1634.5082086694183</v>
      </c>
      <c r="AE48" s="716">
        <f t="shared" si="45"/>
        <v>0.24026000000000003</v>
      </c>
      <c r="AF48" s="474"/>
      <c r="AK48" s="548">
        <f t="shared" si="40"/>
        <v>0</v>
      </c>
      <c r="AL48" s="550"/>
    </row>
    <row r="49" spans="1:38" ht="14.5">
      <c r="A49" s="468" t="s">
        <v>765</v>
      </c>
      <c r="B49" s="579" t="s">
        <v>764</v>
      </c>
      <c r="C49" s="479" t="s">
        <v>758</v>
      </c>
      <c r="D49" s="476">
        <v>2205.8823529411766</v>
      </c>
      <c r="E49" s="478">
        <v>4.95</v>
      </c>
      <c r="F49" s="478" t="s">
        <v>378</v>
      </c>
      <c r="G49" s="477">
        <v>93.99</v>
      </c>
      <c r="H49" s="478">
        <v>69.680999999999997</v>
      </c>
      <c r="I49" s="478">
        <v>75.736999999999995</v>
      </c>
      <c r="J49" s="478">
        <v>86.92</v>
      </c>
      <c r="K49" s="774" t="str">
        <f t="shared" si="33"/>
        <v/>
      </c>
      <c r="L49" s="478">
        <v>14.913887869343519</v>
      </c>
      <c r="M49" s="478">
        <v>1.4735964738693703</v>
      </c>
      <c r="N49" s="478" t="s">
        <v>360</v>
      </c>
      <c r="O49" s="478" t="s">
        <v>353</v>
      </c>
      <c r="P49" s="478" t="s">
        <v>352</v>
      </c>
      <c r="Q49" s="478" t="s">
        <v>376</v>
      </c>
      <c r="R49" s="478" t="s">
        <v>366</v>
      </c>
      <c r="S49" s="478" t="s">
        <v>349</v>
      </c>
      <c r="T49" s="477" t="s">
        <v>357</v>
      </c>
      <c r="U49" s="477"/>
      <c r="V49" s="477" t="s">
        <v>347</v>
      </c>
      <c r="W49" s="476">
        <f t="shared" si="41"/>
        <v>2073.3088235294117</v>
      </c>
      <c r="X49" s="476">
        <f t="shared" si="34"/>
        <v>2073.3088235294117</v>
      </c>
      <c r="Y49" s="468"/>
      <c r="Z49" s="474">
        <f t="shared" si="35"/>
        <v>1917.3529411764707</v>
      </c>
      <c r="AA49" s="475">
        <f t="shared" si="36"/>
        <v>231.85812573529427</v>
      </c>
      <c r="AB49" s="475">
        <f t="shared" si="37"/>
        <v>-146.58293382352929</v>
      </c>
      <c r="AC49" s="468">
        <f t="shared" si="43"/>
        <v>28595.186770661883</v>
      </c>
      <c r="AD49" s="468">
        <f t="shared" si="44"/>
        <v>2825.4045332807136</v>
      </c>
      <c r="AE49" s="716">
        <f t="shared" si="45"/>
        <v>0.11183000000000007</v>
      </c>
      <c r="AF49" s="474"/>
      <c r="AJ49" s="521">
        <v>0</v>
      </c>
      <c r="AK49" s="548">
        <f t="shared" si="40"/>
        <v>0</v>
      </c>
      <c r="AL49" s="550"/>
    </row>
    <row r="50" spans="1:38" ht="14.5">
      <c r="A50" s="468" t="s">
        <v>765</v>
      </c>
      <c r="B50" s="579" t="s">
        <v>764</v>
      </c>
      <c r="C50" s="479" t="s">
        <v>759</v>
      </c>
      <c r="D50" s="476">
        <v>588.23529411764707</v>
      </c>
      <c r="E50" s="478">
        <v>7.375</v>
      </c>
      <c r="F50" s="478" t="s">
        <v>450</v>
      </c>
      <c r="G50" s="477">
        <v>102.11</v>
      </c>
      <c r="H50" s="478">
        <v>19.585999999999999</v>
      </c>
      <c r="I50" s="478">
        <v>23</v>
      </c>
      <c r="J50" s="478" t="s">
        <v>354</v>
      </c>
      <c r="K50" s="774" t="str">
        <f t="shared" si="33"/>
        <v/>
      </c>
      <c r="L50" s="478">
        <v>0</v>
      </c>
      <c r="M50" s="478">
        <v>0</v>
      </c>
      <c r="N50" s="478" t="s">
        <v>423</v>
      </c>
      <c r="O50" s="478" t="s">
        <v>354</v>
      </c>
      <c r="P50" s="478" t="s">
        <v>449</v>
      </c>
      <c r="Q50" s="478" t="s">
        <v>358</v>
      </c>
      <c r="R50" s="478" t="s">
        <v>448</v>
      </c>
      <c r="S50" s="478" t="s">
        <v>349</v>
      </c>
      <c r="T50" s="477" t="s">
        <v>348</v>
      </c>
      <c r="U50" s="477"/>
      <c r="V50" s="477" t="s">
        <v>347</v>
      </c>
      <c r="W50" s="476">
        <f t="shared" si="41"/>
        <v>600.64705882352939</v>
      </c>
      <c r="X50" s="476">
        <f t="shared" si="34"/>
        <v>600.64705882352939</v>
      </c>
      <c r="Y50" s="468"/>
      <c r="Z50" s="474">
        <v>0</v>
      </c>
      <c r="AA50" s="475">
        <v>0</v>
      </c>
      <c r="AB50" s="475">
        <v>0</v>
      </c>
      <c r="AC50" s="468"/>
      <c r="AD50" s="468">
        <f t="shared" si="44"/>
        <v>0</v>
      </c>
      <c r="AE50" s="716">
        <f t="shared" si="45"/>
        <v>0</v>
      </c>
      <c r="AF50" s="474"/>
      <c r="AJ50" s="521">
        <v>0</v>
      </c>
      <c r="AK50" s="548">
        <f t="shared" si="40"/>
        <v>0</v>
      </c>
      <c r="AL50" s="550"/>
    </row>
    <row r="51" spans="1:38" ht="14.5">
      <c r="A51" s="468" t="s">
        <v>765</v>
      </c>
      <c r="B51" s="579" t="s">
        <v>764</v>
      </c>
      <c r="C51" s="479" t="s">
        <v>760</v>
      </c>
      <c r="D51" s="476">
        <v>1470.5882352941176</v>
      </c>
      <c r="E51" s="478">
        <v>4.95</v>
      </c>
      <c r="F51" s="478" t="s">
        <v>377</v>
      </c>
      <c r="G51" s="477">
        <v>103.45</v>
      </c>
      <c r="H51" s="478">
        <v>74.099999999999994</v>
      </c>
      <c r="I51" s="478">
        <v>72.802000000000007</v>
      </c>
      <c r="J51" s="478">
        <v>81.861999999999995</v>
      </c>
      <c r="K51" s="774" t="str">
        <f t="shared" si="33"/>
        <v/>
      </c>
      <c r="L51" s="478">
        <v>14.455844451791709</v>
      </c>
      <c r="M51" s="478">
        <v>2.2884170873970811</v>
      </c>
      <c r="N51" s="478" t="s">
        <v>360</v>
      </c>
      <c r="O51" s="478" t="s">
        <v>353</v>
      </c>
      <c r="P51" s="478" t="s">
        <v>352</v>
      </c>
      <c r="Q51" s="478" t="s">
        <v>376</v>
      </c>
      <c r="R51" s="478" t="s">
        <v>366</v>
      </c>
      <c r="S51" s="478" t="s">
        <v>349</v>
      </c>
      <c r="T51" s="477" t="s">
        <v>357</v>
      </c>
      <c r="U51" s="477"/>
      <c r="V51" s="477" t="s">
        <v>347</v>
      </c>
      <c r="W51" s="476">
        <f t="shared" si="41"/>
        <v>1521.3235294117649</v>
      </c>
      <c r="X51" s="476">
        <f t="shared" si="34"/>
        <v>1521.3235294117649</v>
      </c>
      <c r="Y51" s="468"/>
      <c r="Z51" s="474">
        <f t="shared" si="35"/>
        <v>1203.8529411764705</v>
      </c>
      <c r="AA51" s="475">
        <f>IF(+I51=0,AB51,W51*(J51-I51)/100)</f>
        <v>137.83191176470572</v>
      </c>
      <c r="AB51" s="475">
        <f>+$W51*($J51-$G51)/100</f>
        <v>-328.42332352941196</v>
      </c>
      <c r="AC51" s="468">
        <f>+Z51*L51</f>
        <v>17402.710860479012</v>
      </c>
      <c r="AD51" s="468">
        <f t="shared" si="44"/>
        <v>2754.9176413014679</v>
      </c>
      <c r="AE51" s="716">
        <f t="shared" si="45"/>
        <v>9.0599999999999889E-2</v>
      </c>
      <c r="AF51" s="474"/>
      <c r="AJ51" s="521">
        <v>0</v>
      </c>
      <c r="AK51" s="548">
        <f t="shared" si="40"/>
        <v>0</v>
      </c>
      <c r="AL51" s="550"/>
    </row>
    <row r="52" spans="1:38" ht="14.5">
      <c r="A52" s="468" t="s">
        <v>765</v>
      </c>
      <c r="B52" s="579" t="s">
        <v>764</v>
      </c>
      <c r="C52" s="479" t="s">
        <v>761</v>
      </c>
      <c r="D52" s="476">
        <v>882.35294117647061</v>
      </c>
      <c r="E52" s="478">
        <v>6.25</v>
      </c>
      <c r="F52" s="478" t="s">
        <v>375</v>
      </c>
      <c r="G52" s="477">
        <v>110</v>
      </c>
      <c r="H52" s="478">
        <v>24.036000000000001</v>
      </c>
      <c r="I52" s="478">
        <v>24.463999999999999</v>
      </c>
      <c r="J52" s="478">
        <v>21.875</v>
      </c>
      <c r="K52" s="774" t="str">
        <f t="shared" si="33"/>
        <v/>
      </c>
      <c r="L52" s="478">
        <v>29.740621266775431</v>
      </c>
      <c r="M52" s="478">
        <v>5.1641670497901364</v>
      </c>
      <c r="N52" s="478" t="s">
        <v>360</v>
      </c>
      <c r="O52" s="478" t="s">
        <v>353</v>
      </c>
      <c r="P52" s="478" t="s">
        <v>352</v>
      </c>
      <c r="Q52" s="478" t="s">
        <v>367</v>
      </c>
      <c r="R52" s="478" t="s">
        <v>366</v>
      </c>
      <c r="S52" s="478" t="s">
        <v>349</v>
      </c>
      <c r="T52" s="477" t="s">
        <v>374</v>
      </c>
      <c r="U52" s="477"/>
      <c r="V52" s="477" t="s">
        <v>347</v>
      </c>
      <c r="W52" s="476">
        <f t="shared" si="41"/>
        <v>970.58823529411757</v>
      </c>
      <c r="X52" s="476">
        <f t="shared" si="34"/>
        <v>970.58823529411757</v>
      </c>
      <c r="Y52" s="468"/>
      <c r="Z52" s="474">
        <f t="shared" si="35"/>
        <v>193.01470588235293</v>
      </c>
      <c r="AA52" s="475">
        <f>IF(+I52=0,AB52,W52*(J52-I52)/100)</f>
        <v>-25.128529411764688</v>
      </c>
      <c r="AB52" s="475">
        <f>+$W52*($J52-$G52)/100</f>
        <v>-855.3308823529411</v>
      </c>
      <c r="AC52" s="468">
        <f>+Z52*L52</f>
        <v>5740.3772665651104</v>
      </c>
      <c r="AD52" s="468">
        <f t="shared" si="44"/>
        <v>996.76018424258143</v>
      </c>
      <c r="AE52" s="716">
        <f t="shared" si="45"/>
        <v>-2.5889999999999982E-2</v>
      </c>
      <c r="AF52" s="474"/>
      <c r="AJ52" s="521">
        <v>0</v>
      </c>
      <c r="AK52" s="548">
        <f t="shared" si="40"/>
        <v>0</v>
      </c>
      <c r="AL52" s="550"/>
    </row>
    <row r="53" spans="1:38" ht="14.5">
      <c r="A53" s="468" t="s">
        <v>765</v>
      </c>
      <c r="B53" s="579" t="s">
        <v>764</v>
      </c>
      <c r="C53" s="479" t="s">
        <v>762</v>
      </c>
      <c r="D53" s="476">
        <v>2647.0588235294117</v>
      </c>
      <c r="E53" s="478">
        <v>7.2880000000000003</v>
      </c>
      <c r="F53" s="478" t="s">
        <v>379</v>
      </c>
      <c r="G53" s="477">
        <v>109.9</v>
      </c>
      <c r="H53" s="478">
        <v>78.156999999999996</v>
      </c>
      <c r="I53" s="478">
        <v>80.234999999999999</v>
      </c>
      <c r="J53" s="478">
        <v>71.528999999999996</v>
      </c>
      <c r="K53" s="774" t="str">
        <f t="shared" si="33"/>
        <v/>
      </c>
      <c r="L53" s="478">
        <v>10.958297678269714</v>
      </c>
      <c r="M53" s="478">
        <v>7.520031892428551</v>
      </c>
      <c r="N53" s="478" t="s">
        <v>360</v>
      </c>
      <c r="O53" s="478" t="s">
        <v>353</v>
      </c>
      <c r="P53" s="478" t="s">
        <v>352</v>
      </c>
      <c r="Q53" s="478" t="s">
        <v>376</v>
      </c>
      <c r="R53" s="478" t="s">
        <v>366</v>
      </c>
      <c r="S53" s="478" t="s">
        <v>349</v>
      </c>
      <c r="T53" s="477" t="s">
        <v>357</v>
      </c>
      <c r="U53" s="477"/>
      <c r="V53" s="477" t="s">
        <v>347</v>
      </c>
      <c r="W53" s="476">
        <f t="shared" si="41"/>
        <v>2909.1176470588234</v>
      </c>
      <c r="X53" s="476">
        <f t="shared" si="34"/>
        <v>2909.1176470588234</v>
      </c>
      <c r="Y53" s="468"/>
      <c r="Z53" s="474">
        <f t="shared" si="35"/>
        <v>1893.4147058823528</v>
      </c>
      <c r="AA53" s="475">
        <f>IF(+I53=0,AB53,W53*(J53-I53)/100)</f>
        <v>-253.26778235294125</v>
      </c>
      <c r="AB53" s="475">
        <f>+$W53*($J53-$G53)/100</f>
        <v>-1116.2575323529413</v>
      </c>
      <c r="AC53" s="468">
        <f>+Z53*L53</f>
        <v>20748.60197547232</v>
      </c>
      <c r="AD53" s="468">
        <f t="shared" si="44"/>
        <v>14238.538973828518</v>
      </c>
      <c r="AE53" s="716">
        <f t="shared" si="45"/>
        <v>-8.7060000000000026E-2</v>
      </c>
      <c r="AF53" s="474"/>
      <c r="AJ53" s="764">
        <v>0</v>
      </c>
      <c r="AK53" s="548">
        <f t="shared" si="40"/>
        <v>0</v>
      </c>
      <c r="AL53" s="550"/>
    </row>
    <row r="54" spans="1:38" ht="14.5">
      <c r="A54" s="468" t="s">
        <v>765</v>
      </c>
      <c r="B54" s="579" t="s">
        <v>764</v>
      </c>
      <c r="C54" s="479" t="s">
        <v>763</v>
      </c>
      <c r="D54" s="476">
        <v>294.11764705882354</v>
      </c>
      <c r="E54" s="478">
        <v>11.75</v>
      </c>
      <c r="F54" s="478" t="s">
        <v>380</v>
      </c>
      <c r="G54" s="477">
        <v>100.005</v>
      </c>
      <c r="H54" s="478">
        <v>0</v>
      </c>
      <c r="I54" s="478">
        <v>0</v>
      </c>
      <c r="J54" s="478" t="s">
        <v>354</v>
      </c>
      <c r="K54" s="774" t="str">
        <f t="shared" si="33"/>
        <v/>
      </c>
      <c r="L54" s="478">
        <v>0</v>
      </c>
      <c r="M54" s="478">
        <v>0</v>
      </c>
      <c r="N54" s="478" t="s">
        <v>354</v>
      </c>
      <c r="O54" s="478" t="s">
        <v>354</v>
      </c>
      <c r="P54" s="478" t="s">
        <v>352</v>
      </c>
      <c r="Q54" s="478" t="s">
        <v>367</v>
      </c>
      <c r="R54" s="478" t="s">
        <v>366</v>
      </c>
      <c r="S54" s="478" t="s">
        <v>349</v>
      </c>
      <c r="T54" s="477" t="s">
        <v>357</v>
      </c>
      <c r="U54" s="477"/>
      <c r="V54" s="477" t="s">
        <v>365</v>
      </c>
      <c r="W54" s="476">
        <f t="shared" si="41"/>
        <v>294.13235294117646</v>
      </c>
      <c r="X54" s="476">
        <f t="shared" si="34"/>
        <v>294.13235294117646</v>
      </c>
      <c r="Y54" s="468"/>
      <c r="Z54" s="474">
        <v>0</v>
      </c>
      <c r="AA54" s="475"/>
      <c r="AB54" s="475"/>
      <c r="AC54" s="468"/>
      <c r="AD54" s="468"/>
      <c r="AE54" s="716"/>
      <c r="AF54" s="474"/>
      <c r="AG54" s="480"/>
      <c r="AK54" s="548">
        <f t="shared" si="40"/>
        <v>0</v>
      </c>
      <c r="AL54" s="550"/>
    </row>
    <row r="56" spans="1:38">
      <c r="D56" s="473">
        <f>SUM(D35:D54)</f>
        <v>21126.470588235297</v>
      </c>
      <c r="Y56" s="473"/>
      <c r="Z56" s="473">
        <f>SUM(Z35:Z54)</f>
        <v>7568.4038823529409</v>
      </c>
      <c r="AA56" s="473">
        <f>SUM(AA35:AA54)</f>
        <v>283.24330849588227</v>
      </c>
      <c r="AB56" s="473">
        <f>SUM(AB35:AB54)</f>
        <v>-7139.7704290566071</v>
      </c>
      <c r="AC56" s="473">
        <f>SUM(AC35:AC54)</f>
        <v>211025.84609021203</v>
      </c>
      <c r="AD56" s="473">
        <f>SUM(AD4:AD55)</f>
        <v>209433.75511729295</v>
      </c>
      <c r="AE56" s="473"/>
      <c r="AF56" s="473">
        <f>SUM(AF35:AF54)</f>
        <v>0</v>
      </c>
    </row>
    <row r="58" spans="1:38" ht="18">
      <c r="A58" s="859" t="s">
        <v>346</v>
      </c>
      <c r="B58" s="860"/>
      <c r="C58" s="860"/>
      <c r="D58" s="860"/>
      <c r="E58" s="860"/>
      <c r="F58" s="860"/>
      <c r="G58" s="860"/>
      <c r="H58" s="860"/>
      <c r="I58" s="860"/>
      <c r="J58" s="860"/>
      <c r="K58" s="861"/>
      <c r="AB58" s="595"/>
      <c r="AC58" s="596"/>
    </row>
    <row r="59" spans="1:38">
      <c r="AB59" s="595"/>
      <c r="AC59" s="596"/>
    </row>
    <row r="60" spans="1:38">
      <c r="A60" s="472" t="s">
        <v>345</v>
      </c>
      <c r="B60" s="472" t="s">
        <v>458</v>
      </c>
      <c r="C60" s="472" t="s">
        <v>344</v>
      </c>
      <c r="D60" s="472" t="s">
        <v>343</v>
      </c>
      <c r="F60" s="472" t="s">
        <v>342</v>
      </c>
      <c r="G60" s="472" t="s">
        <v>341</v>
      </c>
      <c r="H60" s="472" t="s">
        <v>642</v>
      </c>
      <c r="I60" s="472" t="s">
        <v>340</v>
      </c>
      <c r="J60" s="472" t="s">
        <v>77</v>
      </c>
      <c r="K60" s="472" t="s">
        <v>576</v>
      </c>
      <c r="L60" s="472" t="s">
        <v>22</v>
      </c>
      <c r="M60" s="472" t="s">
        <v>552</v>
      </c>
      <c r="P60" s="472" t="s">
        <v>555</v>
      </c>
      <c r="R60" s="472" t="s">
        <v>611</v>
      </c>
      <c r="S60" s="472"/>
    </row>
    <row r="61" spans="1:38">
      <c r="A61" s="346" t="s">
        <v>721</v>
      </c>
      <c r="B61" s="480">
        <v>44299</v>
      </c>
      <c r="C61" s="346" t="s">
        <v>766</v>
      </c>
      <c r="D61" s="346" t="s">
        <v>770</v>
      </c>
      <c r="F61" s="470">
        <v>49152.12</v>
      </c>
      <c r="G61" s="470">
        <v>40.69</v>
      </c>
      <c r="H61" s="470">
        <v>49.99</v>
      </c>
      <c r="I61" s="470">
        <v>50.13</v>
      </c>
      <c r="J61" s="470">
        <f>I61*F61</f>
        <v>2463995.7756000003</v>
      </c>
      <c r="L61" s="616">
        <f>(I61-H61)*F61</f>
        <v>6881.2968000000283</v>
      </c>
      <c r="M61" s="467">
        <f>(I61-G61)*F61</f>
        <v>463996.01280000026</v>
      </c>
      <c r="N61" s="346" t="s">
        <v>553</v>
      </c>
      <c r="O61" s="346" t="s">
        <v>554</v>
      </c>
      <c r="P61" s="521">
        <v>0.75</v>
      </c>
      <c r="Q61" s="548">
        <f>P61*J61</f>
        <v>1847996.8317000002</v>
      </c>
      <c r="R61" s="346" t="s">
        <v>612</v>
      </c>
    </row>
    <row r="62" spans="1:38">
      <c r="A62" s="346" t="s">
        <v>721</v>
      </c>
      <c r="B62" s="480">
        <v>45063</v>
      </c>
      <c r="C62" s="346" t="s">
        <v>767</v>
      </c>
      <c r="D62" s="346" t="s">
        <v>770</v>
      </c>
      <c r="F62" s="470">
        <v>213675.21400000001</v>
      </c>
      <c r="G62" s="588">
        <v>9.36</v>
      </c>
      <c r="H62" s="470">
        <v>9.6999999999999993</v>
      </c>
      <c r="I62" s="470">
        <v>9.73</v>
      </c>
      <c r="J62" s="470">
        <f>I62*F62</f>
        <v>2079059.8322200002</v>
      </c>
      <c r="K62" s="772">
        <v>114230.82</v>
      </c>
      <c r="L62" s="616">
        <f>(I62-H62)*F62</f>
        <v>6410.2564200002435</v>
      </c>
      <c r="M62" s="467">
        <f>(I62-G62)*F62</f>
        <v>79059.829180000219</v>
      </c>
      <c r="N62" s="346" t="s">
        <v>613</v>
      </c>
      <c r="O62" s="346" t="s">
        <v>554</v>
      </c>
      <c r="P62" s="521">
        <v>0.8</v>
      </c>
      <c r="Q62" s="548">
        <f>P62*J62</f>
        <v>1663247.8657760003</v>
      </c>
      <c r="R62" s="346" t="s">
        <v>612</v>
      </c>
    </row>
    <row r="63" spans="1:38">
      <c r="A63" s="346" t="s">
        <v>721</v>
      </c>
      <c r="B63" s="480">
        <v>45847</v>
      </c>
      <c r="C63" s="346" t="s">
        <v>768</v>
      </c>
      <c r="D63" s="346" t="s">
        <v>770</v>
      </c>
      <c r="F63" s="470">
        <v>61349.692999999999</v>
      </c>
      <c r="G63" s="470">
        <v>24.45</v>
      </c>
      <c r="H63" s="470">
        <v>24.73</v>
      </c>
      <c r="I63" s="470">
        <v>24.62</v>
      </c>
      <c r="J63" s="470">
        <f>I63*F63</f>
        <v>1510429.44166</v>
      </c>
      <c r="K63" s="772">
        <f>36796.8+33535.49+32638.18+32805.98</f>
        <v>135776.45000000001</v>
      </c>
      <c r="L63" s="616">
        <f>(I63-H63)*F63</f>
        <v>-6748.4662299999654</v>
      </c>
      <c r="M63" s="467">
        <f>(I63-G63)*F63</f>
        <v>10429.447810000105</v>
      </c>
      <c r="N63" s="346" t="s">
        <v>613</v>
      </c>
      <c r="O63" s="346" t="s">
        <v>554</v>
      </c>
      <c r="P63" s="521">
        <v>0.5</v>
      </c>
      <c r="Q63" s="548">
        <f t="shared" ref="Q63:Q64" si="46">P63*J63</f>
        <v>755214.72083000001</v>
      </c>
      <c r="R63" s="346" t="s">
        <v>612</v>
      </c>
      <c r="S63" s="577"/>
    </row>
    <row r="64" spans="1:38">
      <c r="A64" s="346" t="s">
        <v>721</v>
      </c>
      <c r="B64" s="480">
        <v>45848</v>
      </c>
      <c r="C64" s="346" t="s">
        <v>769</v>
      </c>
      <c r="D64" s="346" t="s">
        <v>770</v>
      </c>
      <c r="F64" s="470">
        <v>31276.06</v>
      </c>
      <c r="G64" s="470">
        <v>47.96</v>
      </c>
      <c r="H64" s="470">
        <v>49.99</v>
      </c>
      <c r="I64" s="470">
        <v>50.27</v>
      </c>
      <c r="J64" s="470">
        <f>I64*F64</f>
        <v>1572247.5362000002</v>
      </c>
      <c r="L64" s="616">
        <f>(I64-H64)*F64</f>
        <v>8757.2968000000365</v>
      </c>
      <c r="M64" s="467">
        <f>(I64-G64)*F64</f>
        <v>72247.698600000076</v>
      </c>
      <c r="N64" s="346" t="s">
        <v>553</v>
      </c>
      <c r="O64" s="346" t="s">
        <v>554</v>
      </c>
      <c r="P64" s="521">
        <v>0.75</v>
      </c>
      <c r="Q64" s="548">
        <f t="shared" si="46"/>
        <v>1179185.6521500002</v>
      </c>
      <c r="R64" s="346" t="s">
        <v>612</v>
      </c>
    </row>
    <row r="66" spans="1:25">
      <c r="J66" s="469">
        <f>SUM(J61:J65)</f>
        <v>7625732.5856800005</v>
      </c>
      <c r="K66" s="773">
        <f>SUM(K61:K65)</f>
        <v>250007.27000000002</v>
      </c>
      <c r="L66" s="469">
        <f>SUM(L61:L65)</f>
        <v>15300.383790000342</v>
      </c>
      <c r="M66" s="469">
        <f>SUM(M61:M65)</f>
        <v>625732.98839000077</v>
      </c>
    </row>
    <row r="67" spans="1:25">
      <c r="J67" s="469"/>
      <c r="K67" s="773"/>
    </row>
    <row r="68" spans="1:25">
      <c r="J68" s="469"/>
      <c r="K68" s="773"/>
    </row>
    <row r="69" spans="1:25">
      <c r="J69" s="469"/>
      <c r="K69" s="773"/>
    </row>
    <row r="71" spans="1:25" ht="18">
      <c r="A71" s="859" t="s">
        <v>682</v>
      </c>
      <c r="B71" s="860"/>
      <c r="C71" s="860"/>
      <c r="D71" s="860"/>
      <c r="E71" s="860"/>
      <c r="F71" s="860"/>
      <c r="G71" s="860"/>
      <c r="H71" s="860"/>
      <c r="I71" s="860"/>
      <c r="J71" s="860"/>
      <c r="K71" s="861"/>
    </row>
    <row r="72" spans="1:25">
      <c r="B72" s="467"/>
      <c r="E72" s="484"/>
      <c r="G72" s="838"/>
      <c r="V72" s="346" t="s">
        <v>681</v>
      </c>
      <c r="W72" s="346" t="s">
        <v>147</v>
      </c>
      <c r="X72" s="346" t="s">
        <v>498</v>
      </c>
      <c r="Y72" s="346" t="s">
        <v>687</v>
      </c>
    </row>
    <row r="73" spans="1:25">
      <c r="A73" s="472" t="s">
        <v>345</v>
      </c>
      <c r="B73" s="472" t="s">
        <v>138</v>
      </c>
      <c r="C73" s="472" t="s">
        <v>344</v>
      </c>
      <c r="D73" s="472" t="s">
        <v>280</v>
      </c>
      <c r="F73" s="472" t="s">
        <v>342</v>
      </c>
      <c r="G73" s="472" t="s">
        <v>341</v>
      </c>
      <c r="H73" s="472" t="s">
        <v>340</v>
      </c>
      <c r="I73" s="472" t="s">
        <v>492</v>
      </c>
      <c r="J73" s="472" t="s">
        <v>77</v>
      </c>
      <c r="K73" s="472" t="s">
        <v>22</v>
      </c>
      <c r="L73" s="472" t="s">
        <v>491</v>
      </c>
      <c r="M73" s="472" t="s">
        <v>539</v>
      </c>
      <c r="N73" s="472" t="s">
        <v>540</v>
      </c>
    </row>
    <row r="74" spans="1:25">
      <c r="A74" s="346" t="s">
        <v>765</v>
      </c>
      <c r="B74" s="471">
        <v>46099</v>
      </c>
      <c r="C74" s="346" t="s">
        <v>681</v>
      </c>
      <c r="D74" s="346" t="s">
        <v>683</v>
      </c>
      <c r="E74" s="467"/>
      <c r="F74" s="346">
        <v>23</v>
      </c>
      <c r="G74" s="827">
        <v>76.602800000000002</v>
      </c>
      <c r="H74" s="828">
        <v>76.77</v>
      </c>
      <c r="I74" s="467">
        <f t="shared" ref="I74" si="47">G74*F74</f>
        <v>1761.8643999999999</v>
      </c>
      <c r="J74" s="467">
        <f t="shared" ref="J74" si="48">H74*F74</f>
        <v>1765.7099999999998</v>
      </c>
      <c r="K74" s="771">
        <f t="shared" ref="K74" si="49">(H74-G74)*F74</f>
        <v>3.8455999999998625</v>
      </c>
      <c r="L74" s="718">
        <f t="shared" ref="L74" si="50">K74/(F74*G74)</f>
        <v>2.1826878390867441E-3</v>
      </c>
      <c r="M74" s="607">
        <f t="shared" ref="M74" ca="1" si="51">IF(N74="","",N74-TODAY())</f>
        <v>7</v>
      </c>
      <c r="N74" s="608">
        <v>46132</v>
      </c>
      <c r="Q74" s="346" t="s">
        <v>501</v>
      </c>
      <c r="R74" s="584" t="e">
        <f>+X88+Y88</f>
        <v>#VALUE!</v>
      </c>
      <c r="V74" s="346">
        <f t="shared" ref="V74" si="52">IF(V$72=$C74,$J74,0)</f>
        <v>1765.7099999999998</v>
      </c>
      <c r="W74" s="346">
        <f t="shared" ref="W74:Y86" si="53">IF(W$72=$C74,$J74,0)</f>
        <v>0</v>
      </c>
      <c r="X74" s="346">
        <f t="shared" si="53"/>
        <v>0</v>
      </c>
      <c r="Y74" s="346">
        <f t="shared" si="53"/>
        <v>0</v>
      </c>
    </row>
    <row r="75" spans="1:25">
      <c r="A75" s="346" t="s">
        <v>765</v>
      </c>
      <c r="B75" s="471">
        <v>46099</v>
      </c>
      <c r="C75" s="346" t="s">
        <v>147</v>
      </c>
      <c r="D75" s="346" t="s">
        <v>528</v>
      </c>
      <c r="E75" s="467"/>
      <c r="F75" s="346">
        <v>45</v>
      </c>
      <c r="G75" s="827">
        <v>4885.8860000000004</v>
      </c>
      <c r="H75" s="828">
        <f>Hoja1!$H$11</f>
        <v>4720.375</v>
      </c>
      <c r="I75" s="467">
        <f t="shared" ref="I75" si="54">G75*F75</f>
        <v>219864.87000000002</v>
      </c>
      <c r="J75" s="467">
        <f t="shared" ref="J75" si="55">H75*F75</f>
        <v>212416.875</v>
      </c>
      <c r="K75" s="771">
        <f t="shared" ref="K75" si="56">(H75-G75)*F75</f>
        <v>-7447.995000000019</v>
      </c>
      <c r="L75" s="718">
        <f t="shared" ref="L75" si="57">K75/(F75*G75)</f>
        <v>-3.3875329878756973E-2</v>
      </c>
      <c r="M75" s="607">
        <f t="shared" ref="M75" ca="1" si="58">IF(N75="","",N75-TODAY())</f>
        <v>7</v>
      </c>
      <c r="N75" s="608">
        <v>46132</v>
      </c>
    </row>
    <row r="76" spans="1:25">
      <c r="A76" s="346" t="s">
        <v>765</v>
      </c>
      <c r="B76" s="471">
        <v>46099</v>
      </c>
      <c r="C76" s="346" t="s">
        <v>147</v>
      </c>
      <c r="D76" s="346" t="s">
        <v>528</v>
      </c>
      <c r="E76" s="467"/>
      <c r="F76" s="346">
        <v>45</v>
      </c>
      <c r="G76" s="827">
        <v>4876.8527999999997</v>
      </c>
      <c r="H76" s="828">
        <f>Hoja1!$H$11</f>
        <v>4720.375</v>
      </c>
      <c r="I76" s="467">
        <f t="shared" ref="I76" si="59">G76*F76</f>
        <v>219458.37599999999</v>
      </c>
      <c r="J76" s="467">
        <f t="shared" ref="J76" si="60">H76*F76</f>
        <v>212416.875</v>
      </c>
      <c r="K76" s="771">
        <f t="shared" ref="K76" si="61">(H76-G76)*F76</f>
        <v>-7041.5009999999847</v>
      </c>
      <c r="L76" s="718">
        <f t="shared" ref="L76" si="62">K76/(F76*G76)</f>
        <v>-3.2085815671943116E-2</v>
      </c>
      <c r="M76" s="607">
        <f t="shared" ref="M76" ca="1" si="63">IF(N76="","",N76-TODAY())</f>
        <v>7</v>
      </c>
      <c r="N76" s="608">
        <v>46132</v>
      </c>
    </row>
    <row r="77" spans="1:25">
      <c r="A77" s="346" t="s">
        <v>765</v>
      </c>
      <c r="B77" s="471">
        <v>46051</v>
      </c>
      <c r="C77" s="346" t="s">
        <v>498</v>
      </c>
      <c r="D77" s="346" t="s">
        <v>688</v>
      </c>
      <c r="E77" s="467"/>
      <c r="F77" s="346">
        <v>45</v>
      </c>
      <c r="G77" s="827">
        <v>99.74</v>
      </c>
      <c r="H77" s="828">
        <f>Hoja1!$H$77</f>
        <v>83.12</v>
      </c>
      <c r="I77" s="467">
        <f t="shared" ref="I77:I82" si="64">G77*F77</f>
        <v>4488.3</v>
      </c>
      <c r="J77" s="467">
        <f t="shared" ref="J77:J82" si="65">H77*F77</f>
        <v>3740.4</v>
      </c>
      <c r="K77" s="771">
        <f t="shared" ref="K77:K82" si="66">(H77-G77)*F77</f>
        <v>-747.89999999999952</v>
      </c>
      <c r="L77" s="718">
        <f t="shared" ref="L77:L82" si="67">K77/(F77*G77)</f>
        <v>-0.16663324644074581</v>
      </c>
      <c r="M77" s="607" t="str">
        <f t="shared" ref="M77:M78" ca="1" si="68">IF(N77="","",N77-TODAY())</f>
        <v/>
      </c>
      <c r="N77" s="608"/>
      <c r="V77" s="346">
        <f t="shared" ref="V77:V86" si="69">IF(V$72=$C77,$J77,0)</f>
        <v>0</v>
      </c>
      <c r="W77" s="346">
        <f t="shared" si="53"/>
        <v>0</v>
      </c>
      <c r="X77" s="346">
        <f t="shared" si="53"/>
        <v>3740.4</v>
      </c>
      <c r="Y77" s="346">
        <f t="shared" si="53"/>
        <v>0</v>
      </c>
    </row>
    <row r="78" spans="1:25">
      <c r="A78" s="346" t="s">
        <v>765</v>
      </c>
      <c r="B78" s="471">
        <v>46052</v>
      </c>
      <c r="C78" s="346" t="s">
        <v>498</v>
      </c>
      <c r="D78" s="346" t="s">
        <v>688</v>
      </c>
      <c r="E78" s="467"/>
      <c r="F78" s="346">
        <v>45</v>
      </c>
      <c r="G78" s="827">
        <v>87.719899999999996</v>
      </c>
      <c r="H78" s="828">
        <f>Hoja1!$H$77</f>
        <v>83.12</v>
      </c>
      <c r="I78" s="467">
        <f t="shared" si="64"/>
        <v>3947.3954999999996</v>
      </c>
      <c r="J78" s="467">
        <f t="shared" si="65"/>
        <v>3740.4</v>
      </c>
      <c r="K78" s="771">
        <f t="shared" si="66"/>
        <v>-206.99549999999959</v>
      </c>
      <c r="L78" s="718">
        <f t="shared" si="67"/>
        <v>-5.2438500271888039E-2</v>
      </c>
      <c r="M78" s="607" t="str">
        <f t="shared" ca="1" si="68"/>
        <v/>
      </c>
      <c r="N78" s="608"/>
      <c r="V78" s="346">
        <f t="shared" si="69"/>
        <v>0</v>
      </c>
      <c r="W78" s="346">
        <f t="shared" si="53"/>
        <v>0</v>
      </c>
      <c r="X78" s="346">
        <f t="shared" si="53"/>
        <v>3740.4</v>
      </c>
      <c r="Y78" s="346">
        <f t="shared" si="53"/>
        <v>0</v>
      </c>
    </row>
    <row r="79" spans="1:25">
      <c r="A79" s="346" t="s">
        <v>765</v>
      </c>
      <c r="B79" s="471">
        <v>46055</v>
      </c>
      <c r="C79" s="346" t="s">
        <v>498</v>
      </c>
      <c r="D79" s="346" t="s">
        <v>688</v>
      </c>
      <c r="E79" s="467"/>
      <c r="F79" s="346">
        <v>45</v>
      </c>
      <c r="G79" s="827">
        <v>84.238699999999994</v>
      </c>
      <c r="H79" s="828">
        <f>Hoja1!$H$77</f>
        <v>83.12</v>
      </c>
      <c r="I79" s="467">
        <f t="shared" ref="I79" si="70">G79*F79</f>
        <v>3790.7414999999996</v>
      </c>
      <c r="J79" s="467">
        <f t="shared" ref="J79" si="71">H79*F79</f>
        <v>3740.4</v>
      </c>
      <c r="K79" s="771">
        <f t="shared" ref="K79" si="72">(H79-G79)*F79</f>
        <v>-50.341499999999542</v>
      </c>
      <c r="L79" s="718">
        <f t="shared" ref="L79" si="73">K79/(F79*G79)</f>
        <v>-1.3280119470029689E-2</v>
      </c>
      <c r="M79" s="607" t="str">
        <f t="shared" ref="M79" ca="1" si="74">IF(N79="","",N79-TODAY())</f>
        <v/>
      </c>
      <c r="N79" s="608"/>
      <c r="V79" s="346">
        <f t="shared" si="69"/>
        <v>0</v>
      </c>
      <c r="W79" s="346">
        <f t="shared" si="53"/>
        <v>0</v>
      </c>
      <c r="X79" s="346">
        <f t="shared" si="53"/>
        <v>3740.4</v>
      </c>
      <c r="Y79" s="346">
        <f t="shared" si="53"/>
        <v>0</v>
      </c>
    </row>
    <row r="80" spans="1:25">
      <c r="A80" s="346" t="s">
        <v>765</v>
      </c>
      <c r="B80" s="471">
        <v>46051</v>
      </c>
      <c r="C80" s="346" t="s">
        <v>687</v>
      </c>
      <c r="D80" s="346" t="s">
        <v>686</v>
      </c>
      <c r="E80" s="467"/>
      <c r="F80" s="346">
        <v>45</v>
      </c>
      <c r="G80" s="827">
        <v>39.869900000000001</v>
      </c>
      <c r="H80" s="828">
        <f>Hoja1!$H$82</f>
        <v>36.335000000000001</v>
      </c>
      <c r="I80" s="467">
        <f t="shared" si="64"/>
        <v>1794.1455000000001</v>
      </c>
      <c r="J80" s="467">
        <f t="shared" si="65"/>
        <v>1635.075</v>
      </c>
      <c r="K80" s="771">
        <f t="shared" si="66"/>
        <v>-159.07050000000001</v>
      </c>
      <c r="L80" s="718">
        <f t="shared" si="67"/>
        <v>-8.8660869477977119E-2</v>
      </c>
      <c r="M80" s="607"/>
      <c r="N80" s="608"/>
      <c r="V80" s="346">
        <f t="shared" si="69"/>
        <v>0</v>
      </c>
      <c r="W80" s="346">
        <f t="shared" si="53"/>
        <v>0</v>
      </c>
      <c r="X80" s="346">
        <f t="shared" si="53"/>
        <v>0</v>
      </c>
      <c r="Y80" s="346">
        <f t="shared" si="53"/>
        <v>1635.075</v>
      </c>
    </row>
    <row r="81" spans="1:52">
      <c r="A81" s="346" t="s">
        <v>765</v>
      </c>
      <c r="B81" s="471">
        <v>46052</v>
      </c>
      <c r="C81" s="346" t="s">
        <v>687</v>
      </c>
      <c r="D81" s="346" t="s">
        <v>686</v>
      </c>
      <c r="E81" s="467"/>
      <c r="F81" s="346">
        <v>45</v>
      </c>
      <c r="G81" s="827">
        <v>36.418999999999997</v>
      </c>
      <c r="H81" s="828">
        <f>Hoja1!$H$82</f>
        <v>36.335000000000001</v>
      </c>
      <c r="I81" s="467">
        <f t="shared" ref="I81" si="75">G81*F81</f>
        <v>1638.8549999999998</v>
      </c>
      <c r="J81" s="467">
        <f t="shared" ref="J81" si="76">H81*F81</f>
        <v>1635.075</v>
      </c>
      <c r="K81" s="771">
        <f t="shared" ref="K81" si="77">(H81-G81)*F81</f>
        <v>-3.7799999999998235</v>
      </c>
      <c r="L81" s="718">
        <f t="shared" ref="L81" si="78">K81/(F81*G81)</f>
        <v>-2.3064883714543532E-3</v>
      </c>
      <c r="M81" s="607"/>
      <c r="N81" s="608"/>
      <c r="V81" s="346">
        <f t="shared" si="69"/>
        <v>0</v>
      </c>
      <c r="W81" s="346">
        <f t="shared" si="53"/>
        <v>0</v>
      </c>
      <c r="X81" s="346">
        <f t="shared" si="53"/>
        <v>0</v>
      </c>
      <c r="Y81" s="346">
        <f t="shared" si="53"/>
        <v>1635.075</v>
      </c>
    </row>
    <row r="82" spans="1:52">
      <c r="A82" s="346" t="s">
        <v>765</v>
      </c>
      <c r="B82" s="471">
        <v>46052</v>
      </c>
      <c r="C82" s="346" t="s">
        <v>687</v>
      </c>
      <c r="D82" s="346" t="s">
        <v>686</v>
      </c>
      <c r="E82" s="467"/>
      <c r="F82" s="346">
        <v>45</v>
      </c>
      <c r="G82" s="827">
        <v>37.200000000000003</v>
      </c>
      <c r="H82" s="828">
        <f>Hoja1!$H$82</f>
        <v>36.335000000000001</v>
      </c>
      <c r="I82" s="467">
        <f t="shared" si="64"/>
        <v>1674.0000000000002</v>
      </c>
      <c r="J82" s="467">
        <f t="shared" si="65"/>
        <v>1635.075</v>
      </c>
      <c r="K82" s="771">
        <f t="shared" si="66"/>
        <v>-38.92500000000009</v>
      </c>
      <c r="L82" s="718">
        <f t="shared" si="67"/>
        <v>-2.3252688172043061E-2</v>
      </c>
      <c r="M82" s="607"/>
      <c r="N82" s="608"/>
      <c r="V82" s="346">
        <f t="shared" si="69"/>
        <v>0</v>
      </c>
      <c r="W82" s="346">
        <f t="shared" si="53"/>
        <v>0</v>
      </c>
      <c r="X82" s="346">
        <f t="shared" si="53"/>
        <v>0</v>
      </c>
      <c r="Y82" s="346">
        <f t="shared" si="53"/>
        <v>1635.075</v>
      </c>
    </row>
    <row r="83" spans="1:52">
      <c r="A83" s="346" t="s">
        <v>765</v>
      </c>
      <c r="B83" s="471">
        <v>46055</v>
      </c>
      <c r="C83" s="346" t="s">
        <v>687</v>
      </c>
      <c r="D83" s="346" t="s">
        <v>686</v>
      </c>
      <c r="E83" s="467"/>
      <c r="F83" s="346">
        <v>45</v>
      </c>
      <c r="G83" s="827">
        <f>(35.7206+35.7641)/2</f>
        <v>35.742350000000002</v>
      </c>
      <c r="H83" s="828">
        <f>Hoja1!$H$82</f>
        <v>36.335000000000001</v>
      </c>
      <c r="I83" s="467">
        <f t="shared" ref="I83" si="79">G83*F83</f>
        <v>1608.4057500000001</v>
      </c>
      <c r="J83" s="467">
        <f t="shared" ref="J83" si="80">H83*F83</f>
        <v>1635.075</v>
      </c>
      <c r="K83" s="771">
        <f t="shared" ref="K83" si="81">(H83-G83)*F83</f>
        <v>26.669249999999955</v>
      </c>
      <c r="L83" s="718">
        <f t="shared" ref="L83" si="82">K83/(F83*G83)</f>
        <v>1.6581170516208336E-2</v>
      </c>
      <c r="M83" s="607"/>
      <c r="N83" s="608"/>
      <c r="V83" s="346">
        <f t="shared" si="69"/>
        <v>0</v>
      </c>
      <c r="W83" s="346">
        <f t="shared" si="53"/>
        <v>0</v>
      </c>
      <c r="X83" s="346">
        <f t="shared" si="53"/>
        <v>0</v>
      </c>
      <c r="Y83" s="346">
        <f t="shared" si="53"/>
        <v>1635.075</v>
      </c>
    </row>
    <row r="84" spans="1:52">
      <c r="A84" s="346" t="s">
        <v>765</v>
      </c>
      <c r="B84" s="471">
        <v>46059</v>
      </c>
      <c r="C84" s="346" t="s">
        <v>498</v>
      </c>
      <c r="D84" s="346" t="s">
        <v>688</v>
      </c>
      <c r="E84" s="467"/>
      <c r="F84" s="346">
        <v>45</v>
      </c>
      <c r="G84" s="827">
        <v>84.469499999999996</v>
      </c>
      <c r="H84" s="828">
        <f>Hoja1!$H$77</f>
        <v>83.12</v>
      </c>
      <c r="I84" s="467">
        <f t="shared" ref="I84:I85" si="83">G84*F84</f>
        <v>3801.1275000000001</v>
      </c>
      <c r="J84" s="467">
        <f t="shared" ref="J84:J85" si="84">H84*F84</f>
        <v>3740.4</v>
      </c>
      <c r="K84" s="771">
        <f t="shared" ref="K84:K85" si="85">(H84-G84)*F84</f>
        <v>-60.727499999999637</v>
      </c>
      <c r="L84" s="718">
        <f t="shared" ref="L84:L85" si="86">K84/(F84*G84)</f>
        <v>-1.5976180751632152E-2</v>
      </c>
      <c r="M84" s="607"/>
      <c r="N84" s="608"/>
      <c r="V84" s="346">
        <f t="shared" si="69"/>
        <v>0</v>
      </c>
      <c r="W84" s="346">
        <f t="shared" si="53"/>
        <v>0</v>
      </c>
      <c r="X84" s="346">
        <f t="shared" si="53"/>
        <v>3740.4</v>
      </c>
      <c r="Y84" s="346">
        <f t="shared" si="53"/>
        <v>0</v>
      </c>
    </row>
    <row r="85" spans="1:52">
      <c r="A85" s="346" t="s">
        <v>765</v>
      </c>
      <c r="B85" s="471">
        <v>46056</v>
      </c>
      <c r="C85" s="346" t="s">
        <v>687</v>
      </c>
      <c r="D85" s="346" t="s">
        <v>686</v>
      </c>
      <c r="E85" s="467"/>
      <c r="F85" s="346">
        <v>45</v>
      </c>
      <c r="G85" s="346">
        <v>37.249899999999997</v>
      </c>
      <c r="H85" s="828">
        <f>Hoja1!$H$82</f>
        <v>36.335000000000001</v>
      </c>
      <c r="I85" s="467">
        <f t="shared" si="83"/>
        <v>1676.2454999999998</v>
      </c>
      <c r="J85" s="467">
        <f t="shared" si="84"/>
        <v>1635.075</v>
      </c>
      <c r="K85" s="771">
        <f t="shared" si="85"/>
        <v>-41.170499999999812</v>
      </c>
      <c r="L85" s="718">
        <f t="shared" si="86"/>
        <v>-2.4561139761448917E-2</v>
      </c>
      <c r="M85" s="607"/>
      <c r="N85" s="608"/>
      <c r="V85" s="346">
        <f t="shared" si="69"/>
        <v>0</v>
      </c>
      <c r="W85" s="346">
        <f t="shared" si="53"/>
        <v>0</v>
      </c>
      <c r="X85" s="346">
        <f t="shared" si="53"/>
        <v>0</v>
      </c>
      <c r="Y85" s="346">
        <f t="shared" si="53"/>
        <v>1635.075</v>
      </c>
    </row>
    <row r="86" spans="1:52">
      <c r="B86" s="471"/>
      <c r="E86" s="467"/>
      <c r="I86" s="484"/>
      <c r="J86" s="484"/>
      <c r="K86" s="771"/>
      <c r="L86" s="718"/>
      <c r="N86" s="484"/>
      <c r="V86" s="346">
        <f t="shared" si="69"/>
        <v>0</v>
      </c>
      <c r="W86" s="346">
        <f t="shared" si="53"/>
        <v>0</v>
      </c>
      <c r="X86" s="346">
        <f t="shared" si="53"/>
        <v>0</v>
      </c>
      <c r="Y86" s="346">
        <f t="shared" si="53"/>
        <v>0</v>
      </c>
    </row>
    <row r="87" spans="1:52">
      <c r="B87" s="471"/>
      <c r="D87" s="484">
        <v>500000</v>
      </c>
      <c r="E87" s="829">
        <f>D87/H78</f>
        <v>6015.3994225216547</v>
      </c>
      <c r="F87" s="365">
        <f>SUM(F74:F86)</f>
        <v>518</v>
      </c>
      <c r="I87" s="365">
        <f>SUM(I74:I86)</f>
        <v>465504.32664999994</v>
      </c>
      <c r="J87" s="365">
        <f>SUM(J74:J86)</f>
        <v>449736.43500000011</v>
      </c>
      <c r="K87" s="771">
        <f>SUM(K74:K86)</f>
        <v>-15767.891650000001</v>
      </c>
      <c r="L87" s="718"/>
      <c r="N87" s="484"/>
      <c r="V87" s="346">
        <f>SUM(V74:V86)</f>
        <v>1765.7099999999998</v>
      </c>
      <c r="W87" s="346">
        <f>SUM(W74:W86)</f>
        <v>0</v>
      </c>
      <c r="X87" s="346">
        <f>SUM(X74:X86)</f>
        <v>14961.6</v>
      </c>
      <c r="Y87" s="346">
        <f>SUM(Y74:Y86)</f>
        <v>8175.375</v>
      </c>
    </row>
    <row r="88" spans="1:52">
      <c r="B88" s="471"/>
      <c r="D88" s="484">
        <v>500000</v>
      </c>
      <c r="E88" s="467">
        <f>D88/H82</f>
        <v>13760.836658868859</v>
      </c>
      <c r="F88" s="584"/>
      <c r="I88" s="484"/>
      <c r="J88" s="484"/>
      <c r="K88" s="771"/>
      <c r="L88" s="718"/>
      <c r="N88" s="484"/>
      <c r="V88" s="346" t="str">
        <f>+V72</f>
        <v>XAGUSD</v>
      </c>
      <c r="W88" s="346" t="str">
        <f>+W72</f>
        <v>XAUUSD</v>
      </c>
      <c r="X88" s="346" t="str">
        <f>+X72</f>
        <v>COPX</v>
      </c>
      <c r="Y88" s="346" t="str">
        <f>+Y72</f>
        <v>CPER</v>
      </c>
    </row>
    <row r="89" spans="1:52">
      <c r="B89" s="471"/>
      <c r="E89" s="467"/>
      <c r="F89" s="584"/>
      <c r="H89" s="346">
        <v>5000</v>
      </c>
      <c r="I89" s="484">
        <f>+H89*H82</f>
        <v>181675</v>
      </c>
      <c r="J89" s="484"/>
      <c r="K89" s="771"/>
      <c r="L89" s="718"/>
      <c r="N89" s="484"/>
      <c r="V89" s="484">
        <f>+V87</f>
        <v>1765.7099999999998</v>
      </c>
      <c r="W89" s="484">
        <f t="shared" ref="W89:Y89" si="87">+W87</f>
        <v>0</v>
      </c>
      <c r="X89" s="484">
        <f t="shared" si="87"/>
        <v>14961.6</v>
      </c>
      <c r="Y89" s="484">
        <f t="shared" si="87"/>
        <v>8175.375</v>
      </c>
    </row>
    <row r="90" spans="1:52">
      <c r="B90" s="471"/>
      <c r="E90" s="467"/>
      <c r="I90" s="484"/>
      <c r="J90" s="484"/>
      <c r="K90" s="771"/>
      <c r="L90" s="718"/>
      <c r="N90" s="484"/>
      <c r="V90" s="561">
        <f>+V89/$J87</f>
        <v>3.9260995164868053E-3</v>
      </c>
      <c r="W90" s="561">
        <f t="shared" ref="W90:Y90" si="88">+W89/$J87</f>
        <v>0</v>
      </c>
      <c r="X90" s="561">
        <f t="shared" si="88"/>
        <v>3.3267484765827339E-2</v>
      </c>
      <c r="Y90" s="561">
        <f t="shared" si="88"/>
        <v>1.817814694066314E-2</v>
      </c>
    </row>
    <row r="91" spans="1:52" ht="18">
      <c r="A91" s="859" t="s">
        <v>489</v>
      </c>
      <c r="B91" s="860"/>
      <c r="C91" s="860"/>
      <c r="D91" s="860"/>
      <c r="E91" s="860"/>
      <c r="F91" s="860"/>
      <c r="G91" s="860"/>
      <c r="H91" s="860"/>
      <c r="I91" s="860"/>
      <c r="J91" s="860"/>
      <c r="K91" s="861"/>
    </row>
    <row r="92" spans="1:52">
      <c r="B92" s="471"/>
      <c r="E92" s="467"/>
      <c r="I92" s="484"/>
      <c r="J92" s="484"/>
      <c r="K92" s="771"/>
      <c r="L92" s="718"/>
      <c r="N92" s="484"/>
      <c r="V92" s="346" t="s">
        <v>187</v>
      </c>
      <c r="W92" s="346" t="s">
        <v>533</v>
      </c>
      <c r="X92" s="346" t="s">
        <v>565</v>
      </c>
      <c r="Y92" s="346" t="s">
        <v>261</v>
      </c>
      <c r="Z92" s="346" t="s">
        <v>546</v>
      </c>
      <c r="AA92" s="346" t="s">
        <v>562</v>
      </c>
      <c r="AB92" s="346" t="s">
        <v>521</v>
      </c>
      <c r="AC92" s="346" t="s">
        <v>304</v>
      </c>
      <c r="AD92" s="346" t="s">
        <v>694</v>
      </c>
      <c r="AE92" s="346" t="s">
        <v>65</v>
      </c>
      <c r="AF92" s="346" t="s">
        <v>161</v>
      </c>
      <c r="AG92" s="346" t="s">
        <v>550</v>
      </c>
      <c r="AH92" s="346" t="s">
        <v>495</v>
      </c>
      <c r="AI92" s="346" t="s">
        <v>196</v>
      </c>
      <c r="AJ92" s="346" t="s">
        <v>275</v>
      </c>
      <c r="AK92" s="346" t="s">
        <v>515</v>
      </c>
      <c r="AL92" s="346" t="s">
        <v>536</v>
      </c>
      <c r="AM92" s="346" t="s">
        <v>589</v>
      </c>
      <c r="AN92" s="346" t="s">
        <v>596</v>
      </c>
      <c r="AO92" s="346" t="s">
        <v>597</v>
      </c>
      <c r="AP92" s="346" t="s">
        <v>598</v>
      </c>
      <c r="AQ92" s="346" t="s">
        <v>89</v>
      </c>
      <c r="AR92" s="346" t="s">
        <v>617</v>
      </c>
      <c r="AS92" s="346" t="s">
        <v>309</v>
      </c>
      <c r="AT92" s="346" t="s">
        <v>619</v>
      </c>
      <c r="AU92" s="346" t="s">
        <v>637</v>
      </c>
      <c r="AV92" s="346" t="s">
        <v>621</v>
      </c>
      <c r="AW92" s="346" t="s">
        <v>623</v>
      </c>
      <c r="AX92" s="346" t="s">
        <v>625</v>
      </c>
      <c r="AY92" s="346" t="s">
        <v>191</v>
      </c>
      <c r="AZ92" s="346" t="s">
        <v>628</v>
      </c>
    </row>
    <row r="93" spans="1:52">
      <c r="A93" s="472" t="s">
        <v>345</v>
      </c>
      <c r="B93" s="472" t="s">
        <v>138</v>
      </c>
      <c r="C93" s="472" t="s">
        <v>344</v>
      </c>
      <c r="D93" s="472" t="s">
        <v>280</v>
      </c>
      <c r="E93" s="472" t="s">
        <v>644</v>
      </c>
      <c r="F93" s="472" t="s">
        <v>342</v>
      </c>
      <c r="G93" s="472" t="s">
        <v>341</v>
      </c>
      <c r="H93" s="472" t="s">
        <v>340</v>
      </c>
      <c r="I93" s="472" t="s">
        <v>492</v>
      </c>
      <c r="J93" s="472" t="s">
        <v>77</v>
      </c>
      <c r="K93" s="472" t="s">
        <v>22</v>
      </c>
      <c r="L93" s="472" t="s">
        <v>463</v>
      </c>
      <c r="M93" s="472" t="s">
        <v>491</v>
      </c>
      <c r="N93" s="472" t="s">
        <v>646</v>
      </c>
      <c r="O93" s="365" t="s">
        <v>555</v>
      </c>
      <c r="P93" s="472" t="s">
        <v>645</v>
      </c>
    </row>
    <row r="94" spans="1:52">
      <c r="A94" s="346" t="s">
        <v>721</v>
      </c>
      <c r="B94" s="471">
        <v>46091</v>
      </c>
      <c r="C94" s="346" t="s">
        <v>189</v>
      </c>
      <c r="D94" s="346" t="s">
        <v>187</v>
      </c>
      <c r="E94" s="765">
        <v>230.82</v>
      </c>
      <c r="F94" s="346">
        <v>12</v>
      </c>
      <c r="G94" s="614">
        <v>213.91</v>
      </c>
      <c r="H94" s="614">
        <v>210.1601</v>
      </c>
      <c r="I94" s="467">
        <f t="shared" ref="I94:I104" si="89">G94*F94</f>
        <v>2566.92</v>
      </c>
      <c r="J94" s="467">
        <f t="shared" ref="J94:J104" si="90">H94*F94</f>
        <v>2521.9211999999998</v>
      </c>
      <c r="K94" s="467">
        <f>(H94-E94)*F94</f>
        <v>-247.91879999999992</v>
      </c>
      <c r="L94" s="770">
        <f t="shared" ref="L94:L107" si="91">(H94-G94)*F94</f>
        <v>-44.99879999999996</v>
      </c>
      <c r="M94" s="718">
        <f t="shared" ref="M94:M111" si="92">+(H94-E94)/E94</f>
        <v>-8.9506541894116595E-2</v>
      </c>
      <c r="N94" s="548">
        <f t="shared" ref="N94:N107" si="93">F94*E94</f>
        <v>2769.84</v>
      </c>
      <c r="O94" s="484"/>
      <c r="V94" s="346">
        <f>IF(V$92=$D94,$J94,0)</f>
        <v>2521.9211999999998</v>
      </c>
      <c r="W94" s="346">
        <f t="shared" ref="W94:AZ102" si="94">IF(W$92=$D94,$J94,0)</f>
        <v>0</v>
      </c>
      <c r="X94" s="346">
        <f t="shared" si="94"/>
        <v>0</v>
      </c>
      <c r="Y94" s="346">
        <f t="shared" si="94"/>
        <v>0</v>
      </c>
      <c r="Z94" s="346">
        <f t="shared" si="94"/>
        <v>0</v>
      </c>
      <c r="AA94" s="346">
        <f t="shared" si="94"/>
        <v>0</v>
      </c>
      <c r="AB94" s="346">
        <f t="shared" si="94"/>
        <v>0</v>
      </c>
      <c r="AC94" s="346">
        <f t="shared" si="94"/>
        <v>0</v>
      </c>
      <c r="AD94" s="346">
        <f t="shared" si="94"/>
        <v>0</v>
      </c>
      <c r="AE94" s="346">
        <f t="shared" si="94"/>
        <v>0</v>
      </c>
      <c r="AF94" s="346">
        <f t="shared" si="94"/>
        <v>0</v>
      </c>
      <c r="AG94" s="346">
        <f t="shared" si="94"/>
        <v>0</v>
      </c>
      <c r="AH94" s="346">
        <f t="shared" si="94"/>
        <v>0</v>
      </c>
      <c r="AI94" s="346">
        <f t="shared" si="94"/>
        <v>0</v>
      </c>
      <c r="AJ94" s="346">
        <f t="shared" si="94"/>
        <v>0</v>
      </c>
      <c r="AK94" s="346">
        <f t="shared" si="94"/>
        <v>0</v>
      </c>
      <c r="AL94" s="346">
        <f t="shared" si="94"/>
        <v>0</v>
      </c>
      <c r="AM94" s="346">
        <f t="shared" si="94"/>
        <v>0</v>
      </c>
      <c r="AN94" s="346">
        <f t="shared" si="94"/>
        <v>0</v>
      </c>
      <c r="AO94" s="346">
        <f t="shared" si="94"/>
        <v>0</v>
      </c>
      <c r="AP94" s="346">
        <f t="shared" si="94"/>
        <v>0</v>
      </c>
      <c r="AQ94" s="346">
        <f t="shared" si="94"/>
        <v>0</v>
      </c>
      <c r="AR94" s="346">
        <f t="shared" si="94"/>
        <v>0</v>
      </c>
      <c r="AS94" s="346">
        <f t="shared" si="94"/>
        <v>0</v>
      </c>
      <c r="AT94" s="346">
        <f t="shared" si="94"/>
        <v>0</v>
      </c>
      <c r="AU94" s="346">
        <f t="shared" si="94"/>
        <v>0</v>
      </c>
      <c r="AV94" s="346">
        <f t="shared" si="94"/>
        <v>0</v>
      </c>
      <c r="AW94" s="346">
        <f t="shared" si="94"/>
        <v>0</v>
      </c>
      <c r="AX94" s="346">
        <f t="shared" si="94"/>
        <v>0</v>
      </c>
      <c r="AY94" s="346">
        <f t="shared" si="94"/>
        <v>0</v>
      </c>
      <c r="AZ94" s="346">
        <f t="shared" si="94"/>
        <v>0</v>
      </c>
    </row>
    <row r="95" spans="1:52">
      <c r="A95" s="346" t="s">
        <v>721</v>
      </c>
      <c r="B95" s="471">
        <v>45883</v>
      </c>
      <c r="C95" s="346" t="s">
        <v>189</v>
      </c>
      <c r="D95" s="346" t="s">
        <v>187</v>
      </c>
      <c r="E95" s="765">
        <v>230.82</v>
      </c>
      <c r="F95" s="346">
        <v>2</v>
      </c>
      <c r="G95" s="614">
        <v>228.80070000000001</v>
      </c>
      <c r="H95" s="614">
        <f>Hoja1!H30</f>
        <v>236.98500000000001</v>
      </c>
      <c r="I95" s="467">
        <f>G95*F95</f>
        <v>457.60140000000001</v>
      </c>
      <c r="J95" s="467">
        <f>H95*F95</f>
        <v>473.97</v>
      </c>
      <c r="K95" s="467">
        <f t="shared" ref="K95:K147" si="95">(H95-E95)*F95</f>
        <v>12.330000000000041</v>
      </c>
      <c r="L95" s="770">
        <f t="shared" si="91"/>
        <v>16.368600000000015</v>
      </c>
      <c r="M95" s="718">
        <f t="shared" si="92"/>
        <v>2.6709123992721691E-2</v>
      </c>
      <c r="N95" s="548">
        <f t="shared" si="93"/>
        <v>461.64</v>
      </c>
      <c r="O95" s="618">
        <v>0.5</v>
      </c>
      <c r="P95" s="584">
        <f>O95*J95</f>
        <v>236.98500000000001</v>
      </c>
      <c r="V95" s="346">
        <f t="shared" ref="V95:AK118" si="96">IF(V$92=$D95,$J95,0)</f>
        <v>473.97</v>
      </c>
      <c r="W95" s="346">
        <f t="shared" si="94"/>
        <v>0</v>
      </c>
      <c r="X95" s="346">
        <f t="shared" si="94"/>
        <v>0</v>
      </c>
      <c r="Y95" s="346">
        <f t="shared" si="94"/>
        <v>0</v>
      </c>
      <c r="Z95" s="346">
        <f t="shared" si="94"/>
        <v>0</v>
      </c>
      <c r="AA95" s="346">
        <f t="shared" si="94"/>
        <v>0</v>
      </c>
      <c r="AB95" s="346">
        <f t="shared" si="94"/>
        <v>0</v>
      </c>
      <c r="AC95" s="346">
        <f t="shared" si="94"/>
        <v>0</v>
      </c>
      <c r="AD95" s="346">
        <f t="shared" si="94"/>
        <v>0</v>
      </c>
      <c r="AE95" s="346">
        <f t="shared" si="94"/>
        <v>0</v>
      </c>
      <c r="AF95" s="346">
        <f t="shared" si="94"/>
        <v>0</v>
      </c>
      <c r="AG95" s="346">
        <f t="shared" si="94"/>
        <v>0</v>
      </c>
      <c r="AH95" s="346">
        <f t="shared" si="94"/>
        <v>0</v>
      </c>
      <c r="AI95" s="346">
        <f t="shared" si="94"/>
        <v>0</v>
      </c>
      <c r="AJ95" s="346">
        <f t="shared" si="94"/>
        <v>0</v>
      </c>
      <c r="AK95" s="346">
        <f t="shared" si="94"/>
        <v>0</v>
      </c>
      <c r="AL95" s="346">
        <f t="shared" si="94"/>
        <v>0</v>
      </c>
      <c r="AM95" s="346">
        <f t="shared" si="94"/>
        <v>0</v>
      </c>
      <c r="AN95" s="346">
        <f t="shared" si="94"/>
        <v>0</v>
      </c>
      <c r="AO95" s="346">
        <f t="shared" si="94"/>
        <v>0</v>
      </c>
      <c r="AP95" s="346">
        <f t="shared" si="94"/>
        <v>0</v>
      </c>
      <c r="AQ95" s="346">
        <f t="shared" si="94"/>
        <v>0</v>
      </c>
      <c r="AR95" s="346">
        <f t="shared" si="94"/>
        <v>0</v>
      </c>
      <c r="AS95" s="346">
        <f t="shared" si="94"/>
        <v>0</v>
      </c>
      <c r="AT95" s="346">
        <f t="shared" si="94"/>
        <v>0</v>
      </c>
      <c r="AU95" s="346">
        <f t="shared" si="94"/>
        <v>0</v>
      </c>
      <c r="AV95" s="346">
        <f t="shared" si="94"/>
        <v>0</v>
      </c>
      <c r="AW95" s="346">
        <f t="shared" si="94"/>
        <v>0</v>
      </c>
      <c r="AX95" s="346">
        <f t="shared" si="94"/>
        <v>0</v>
      </c>
      <c r="AY95" s="346">
        <f t="shared" si="94"/>
        <v>0</v>
      </c>
      <c r="AZ95" s="346">
        <f t="shared" si="94"/>
        <v>0</v>
      </c>
    </row>
    <row r="96" spans="1:52">
      <c r="A96" s="346" t="s">
        <v>721</v>
      </c>
      <c r="B96" s="471"/>
      <c r="C96" s="346" t="s">
        <v>534</v>
      </c>
      <c r="D96" s="346" t="s">
        <v>533</v>
      </c>
      <c r="E96" s="830">
        <v>91.41</v>
      </c>
      <c r="F96" s="346">
        <v>-8</v>
      </c>
      <c r="G96" s="614">
        <v>90.3386</v>
      </c>
      <c r="H96" s="346">
        <v>87.179699999999997</v>
      </c>
      <c r="I96" s="467">
        <f t="shared" si="89"/>
        <v>-722.7088</v>
      </c>
      <c r="J96" s="467">
        <f t="shared" si="90"/>
        <v>-697.43759999999997</v>
      </c>
      <c r="K96" s="467">
        <f t="shared" si="95"/>
        <v>33.842399999999998</v>
      </c>
      <c r="L96" s="770">
        <f t="shared" si="91"/>
        <v>25.271200000000022</v>
      </c>
      <c r="M96" s="718">
        <f t="shared" si="92"/>
        <v>-4.6278306531014113E-2</v>
      </c>
      <c r="N96" s="548">
        <f t="shared" si="93"/>
        <v>-731.28</v>
      </c>
      <c r="O96" s="484"/>
      <c r="V96" s="346">
        <f t="shared" si="96"/>
        <v>0</v>
      </c>
      <c r="W96" s="346">
        <f t="shared" si="94"/>
        <v>-697.43759999999997</v>
      </c>
      <c r="X96" s="346">
        <f t="shared" si="94"/>
        <v>0</v>
      </c>
      <c r="Y96" s="346">
        <f t="shared" si="94"/>
        <v>0</v>
      </c>
      <c r="Z96" s="346">
        <f t="shared" si="94"/>
        <v>0</v>
      </c>
      <c r="AA96" s="346">
        <f t="shared" si="94"/>
        <v>0</v>
      </c>
      <c r="AB96" s="346">
        <f t="shared" si="94"/>
        <v>0</v>
      </c>
      <c r="AC96" s="346">
        <f t="shared" si="94"/>
        <v>0</v>
      </c>
      <c r="AD96" s="346">
        <f t="shared" si="94"/>
        <v>0</v>
      </c>
      <c r="AE96" s="346">
        <f t="shared" si="94"/>
        <v>0</v>
      </c>
      <c r="AF96" s="346">
        <f t="shared" si="94"/>
        <v>0</v>
      </c>
      <c r="AG96" s="346">
        <f t="shared" si="94"/>
        <v>0</v>
      </c>
      <c r="AH96" s="346">
        <f t="shared" si="94"/>
        <v>0</v>
      </c>
      <c r="AI96" s="346">
        <f t="shared" si="94"/>
        <v>0</v>
      </c>
      <c r="AJ96" s="346">
        <f t="shared" si="94"/>
        <v>0</v>
      </c>
      <c r="AK96" s="346">
        <f t="shared" si="94"/>
        <v>0</v>
      </c>
      <c r="AL96" s="346">
        <f t="shared" si="94"/>
        <v>0</v>
      </c>
      <c r="AM96" s="346">
        <f t="shared" si="94"/>
        <v>0</v>
      </c>
      <c r="AN96" s="346">
        <f t="shared" si="94"/>
        <v>0</v>
      </c>
      <c r="AO96" s="346">
        <f t="shared" si="94"/>
        <v>0</v>
      </c>
      <c r="AP96" s="346">
        <f t="shared" si="94"/>
        <v>0</v>
      </c>
      <c r="AQ96" s="346">
        <f t="shared" si="94"/>
        <v>0</v>
      </c>
      <c r="AR96" s="346">
        <f t="shared" si="94"/>
        <v>0</v>
      </c>
      <c r="AS96" s="346">
        <f t="shared" si="94"/>
        <v>0</v>
      </c>
      <c r="AT96" s="346">
        <f t="shared" si="94"/>
        <v>0</v>
      </c>
      <c r="AU96" s="346">
        <f t="shared" si="94"/>
        <v>0</v>
      </c>
      <c r="AV96" s="346">
        <f t="shared" si="94"/>
        <v>0</v>
      </c>
      <c r="AW96" s="346">
        <f t="shared" si="94"/>
        <v>0</v>
      </c>
      <c r="AX96" s="346">
        <f t="shared" si="94"/>
        <v>0</v>
      </c>
      <c r="AY96" s="346">
        <f t="shared" si="94"/>
        <v>0</v>
      </c>
      <c r="AZ96" s="346">
        <f t="shared" si="94"/>
        <v>0</v>
      </c>
    </row>
    <row r="97" spans="1:52">
      <c r="A97" s="346" t="s">
        <v>721</v>
      </c>
      <c r="B97" s="471">
        <v>45860</v>
      </c>
      <c r="C97" s="346" t="s">
        <v>564</v>
      </c>
      <c r="D97" s="346" t="s">
        <v>565</v>
      </c>
      <c r="E97" s="765">
        <v>38</v>
      </c>
      <c r="F97" s="346">
        <v>-18</v>
      </c>
      <c r="G97" s="614">
        <v>28.376799999999999</v>
      </c>
      <c r="H97" s="614">
        <f>Hoja1!H46</f>
        <v>38.29</v>
      </c>
      <c r="I97" s="467">
        <f t="shared" si="89"/>
        <v>-510.7824</v>
      </c>
      <c r="J97" s="467">
        <f t="shared" si="90"/>
        <v>-689.22</v>
      </c>
      <c r="K97" s="467">
        <f t="shared" si="95"/>
        <v>-5.2199999999999847</v>
      </c>
      <c r="L97" s="770">
        <f t="shared" si="91"/>
        <v>-178.4376</v>
      </c>
      <c r="M97" s="718">
        <f t="shared" si="92"/>
        <v>7.631578947368399E-3</v>
      </c>
      <c r="N97" s="548">
        <f t="shared" si="93"/>
        <v>-684</v>
      </c>
      <c r="O97" s="484"/>
      <c r="V97" s="346">
        <f t="shared" si="96"/>
        <v>0</v>
      </c>
      <c r="W97" s="346">
        <f t="shared" si="94"/>
        <v>0</v>
      </c>
      <c r="X97" s="346">
        <f t="shared" si="94"/>
        <v>-689.22</v>
      </c>
      <c r="Y97" s="346">
        <f t="shared" si="94"/>
        <v>0</v>
      </c>
      <c r="Z97" s="346">
        <f t="shared" si="94"/>
        <v>0</v>
      </c>
      <c r="AA97" s="346">
        <f t="shared" si="94"/>
        <v>0</v>
      </c>
      <c r="AB97" s="346">
        <f t="shared" si="94"/>
        <v>0</v>
      </c>
      <c r="AC97" s="346">
        <f t="shared" si="94"/>
        <v>0</v>
      </c>
      <c r="AD97" s="346">
        <f t="shared" si="94"/>
        <v>0</v>
      </c>
      <c r="AE97" s="346">
        <f t="shared" si="94"/>
        <v>0</v>
      </c>
      <c r="AF97" s="346">
        <f t="shared" si="94"/>
        <v>0</v>
      </c>
      <c r="AG97" s="346">
        <f t="shared" si="94"/>
        <v>0</v>
      </c>
      <c r="AH97" s="346">
        <f t="shared" si="94"/>
        <v>0</v>
      </c>
      <c r="AI97" s="346">
        <f t="shared" si="94"/>
        <v>0</v>
      </c>
      <c r="AJ97" s="346">
        <f t="shared" si="94"/>
        <v>0</v>
      </c>
      <c r="AK97" s="346">
        <f t="shared" si="94"/>
        <v>0</v>
      </c>
      <c r="AL97" s="346">
        <f t="shared" si="94"/>
        <v>0</v>
      </c>
      <c r="AM97" s="346">
        <f t="shared" si="94"/>
        <v>0</v>
      </c>
      <c r="AN97" s="346">
        <f t="shared" si="94"/>
        <v>0</v>
      </c>
      <c r="AO97" s="346">
        <f t="shared" si="94"/>
        <v>0</v>
      </c>
      <c r="AP97" s="346">
        <f t="shared" si="94"/>
        <v>0</v>
      </c>
      <c r="AQ97" s="346">
        <f t="shared" si="94"/>
        <v>0</v>
      </c>
      <c r="AR97" s="346">
        <f t="shared" si="94"/>
        <v>0</v>
      </c>
      <c r="AS97" s="346">
        <f t="shared" si="94"/>
        <v>0</v>
      </c>
      <c r="AT97" s="346">
        <f t="shared" si="94"/>
        <v>0</v>
      </c>
      <c r="AU97" s="346">
        <f t="shared" si="94"/>
        <v>0</v>
      </c>
      <c r="AV97" s="346">
        <f t="shared" si="94"/>
        <v>0</v>
      </c>
      <c r="AW97" s="346">
        <f t="shared" si="94"/>
        <v>0</v>
      </c>
      <c r="AX97" s="346">
        <f t="shared" si="94"/>
        <v>0</v>
      </c>
      <c r="AY97" s="346">
        <f t="shared" si="94"/>
        <v>0</v>
      </c>
      <c r="AZ97" s="346">
        <f t="shared" si="94"/>
        <v>0</v>
      </c>
    </row>
    <row r="98" spans="1:52">
      <c r="A98" s="346" t="s">
        <v>721</v>
      </c>
      <c r="B98" s="471">
        <v>45783</v>
      </c>
      <c r="C98" s="346" t="s">
        <v>549</v>
      </c>
      <c r="D98" s="346" t="s">
        <v>261</v>
      </c>
      <c r="E98" s="830">
        <v>1070.3399999999999</v>
      </c>
      <c r="F98" s="346">
        <v>-28</v>
      </c>
      <c r="G98" s="577">
        <v>917.83989999999994</v>
      </c>
      <c r="H98" s="577">
        <f>Hoja1!H183</f>
        <v>1002.635</v>
      </c>
      <c r="I98" s="467">
        <f t="shared" si="89"/>
        <v>-25699.517199999998</v>
      </c>
      <c r="J98" s="467">
        <f t="shared" si="90"/>
        <v>-28073.78</v>
      </c>
      <c r="K98" s="467">
        <f t="shared" si="95"/>
        <v>1895.739999999998</v>
      </c>
      <c r="L98" s="770">
        <f t="shared" si="91"/>
        <v>-2374.2628000000013</v>
      </c>
      <c r="M98" s="718">
        <f t="shared" si="92"/>
        <v>-6.3255601023973623E-2</v>
      </c>
      <c r="N98" s="548">
        <f t="shared" si="93"/>
        <v>-29969.519999999997</v>
      </c>
      <c r="O98" s="484"/>
      <c r="V98" s="346">
        <f t="shared" si="96"/>
        <v>0</v>
      </c>
      <c r="W98" s="346">
        <f t="shared" si="94"/>
        <v>0</v>
      </c>
      <c r="X98" s="346">
        <f t="shared" si="94"/>
        <v>0</v>
      </c>
      <c r="Y98" s="346">
        <f t="shared" si="94"/>
        <v>-28073.78</v>
      </c>
      <c r="Z98" s="346">
        <f t="shared" si="94"/>
        <v>0</v>
      </c>
      <c r="AA98" s="346">
        <f t="shared" si="94"/>
        <v>0</v>
      </c>
      <c r="AB98" s="346">
        <f t="shared" si="94"/>
        <v>0</v>
      </c>
      <c r="AC98" s="346">
        <f t="shared" si="94"/>
        <v>0</v>
      </c>
      <c r="AD98" s="346">
        <f t="shared" si="94"/>
        <v>0</v>
      </c>
      <c r="AE98" s="346">
        <f t="shared" si="94"/>
        <v>0</v>
      </c>
      <c r="AF98" s="346">
        <f t="shared" si="94"/>
        <v>0</v>
      </c>
      <c r="AG98" s="346">
        <f t="shared" si="94"/>
        <v>0</v>
      </c>
      <c r="AH98" s="346">
        <f t="shared" si="94"/>
        <v>0</v>
      </c>
      <c r="AI98" s="346">
        <f t="shared" si="94"/>
        <v>0</v>
      </c>
      <c r="AJ98" s="346">
        <f t="shared" si="94"/>
        <v>0</v>
      </c>
      <c r="AK98" s="346">
        <f t="shared" si="94"/>
        <v>0</v>
      </c>
      <c r="AL98" s="346">
        <f t="shared" si="94"/>
        <v>0</v>
      </c>
      <c r="AM98" s="346">
        <f t="shared" si="94"/>
        <v>0</v>
      </c>
      <c r="AN98" s="346">
        <f t="shared" si="94"/>
        <v>0</v>
      </c>
      <c r="AO98" s="346">
        <f t="shared" si="94"/>
        <v>0</v>
      </c>
      <c r="AP98" s="346">
        <f t="shared" si="94"/>
        <v>0</v>
      </c>
      <c r="AQ98" s="346">
        <f t="shared" si="94"/>
        <v>0</v>
      </c>
      <c r="AR98" s="346">
        <f t="shared" si="94"/>
        <v>0</v>
      </c>
      <c r="AS98" s="346">
        <f t="shared" si="94"/>
        <v>0</v>
      </c>
      <c r="AT98" s="346">
        <f t="shared" si="94"/>
        <v>0</v>
      </c>
      <c r="AU98" s="346">
        <f t="shared" si="94"/>
        <v>0</v>
      </c>
      <c r="AV98" s="346">
        <f t="shared" si="94"/>
        <v>0</v>
      </c>
      <c r="AW98" s="346">
        <f t="shared" si="94"/>
        <v>0</v>
      </c>
      <c r="AX98" s="346">
        <f t="shared" si="94"/>
        <v>0</v>
      </c>
      <c r="AY98" s="346">
        <f t="shared" si="94"/>
        <v>0</v>
      </c>
      <c r="AZ98" s="346">
        <f t="shared" si="94"/>
        <v>0</v>
      </c>
    </row>
    <row r="99" spans="1:52">
      <c r="A99" s="346" t="s">
        <v>721</v>
      </c>
      <c r="B99" s="471">
        <v>45782</v>
      </c>
      <c r="C99" s="346" t="s">
        <v>547</v>
      </c>
      <c r="D99" s="346" t="s">
        <v>546</v>
      </c>
      <c r="E99" s="830">
        <v>502.65</v>
      </c>
      <c r="F99" s="346">
        <v>-38</v>
      </c>
      <c r="G99" s="577">
        <f>(200*517.415+90*517.72+90*515.5444)/380</f>
        <v>517.04419999999993</v>
      </c>
      <c r="H99" s="577">
        <f>Hoja1!H182</f>
        <v>480.03999999999996</v>
      </c>
      <c r="I99" s="467">
        <f t="shared" si="89"/>
        <v>-19647.679599999996</v>
      </c>
      <c r="J99" s="467">
        <f t="shared" si="90"/>
        <v>-18241.519999999997</v>
      </c>
      <c r="K99" s="467">
        <f t="shared" si="95"/>
        <v>859.18000000000052</v>
      </c>
      <c r="L99" s="770">
        <f t="shared" si="91"/>
        <v>1406.1595999999988</v>
      </c>
      <c r="M99" s="718">
        <f t="shared" si="92"/>
        <v>-4.4981597533074735E-2</v>
      </c>
      <c r="N99" s="548">
        <f t="shared" si="93"/>
        <v>-19100.7</v>
      </c>
      <c r="O99" s="484"/>
      <c r="V99" s="346">
        <f t="shared" si="96"/>
        <v>0</v>
      </c>
      <c r="W99" s="346">
        <f t="shared" si="94"/>
        <v>0</v>
      </c>
      <c r="X99" s="346">
        <f t="shared" si="94"/>
        <v>0</v>
      </c>
      <c r="Y99" s="346">
        <f t="shared" si="94"/>
        <v>0</v>
      </c>
      <c r="Z99" s="346">
        <f t="shared" si="94"/>
        <v>-18241.519999999997</v>
      </c>
      <c r="AA99" s="346">
        <f t="shared" si="94"/>
        <v>0</v>
      </c>
      <c r="AB99" s="346">
        <f t="shared" si="94"/>
        <v>0</v>
      </c>
      <c r="AC99" s="346">
        <f t="shared" si="94"/>
        <v>0</v>
      </c>
      <c r="AD99" s="346">
        <f t="shared" si="94"/>
        <v>0</v>
      </c>
      <c r="AE99" s="346">
        <f t="shared" si="94"/>
        <v>0</v>
      </c>
      <c r="AF99" s="346">
        <f t="shared" si="94"/>
        <v>0</v>
      </c>
      <c r="AG99" s="346">
        <f t="shared" si="94"/>
        <v>0</v>
      </c>
      <c r="AH99" s="346">
        <f t="shared" si="94"/>
        <v>0</v>
      </c>
      <c r="AI99" s="346">
        <f t="shared" si="94"/>
        <v>0</v>
      </c>
      <c r="AJ99" s="346">
        <f t="shared" si="94"/>
        <v>0</v>
      </c>
      <c r="AK99" s="346">
        <f t="shared" si="94"/>
        <v>0</v>
      </c>
      <c r="AL99" s="346">
        <f t="shared" si="94"/>
        <v>0</v>
      </c>
      <c r="AM99" s="346">
        <f t="shared" si="94"/>
        <v>0</v>
      </c>
      <c r="AN99" s="346">
        <f t="shared" si="94"/>
        <v>0</v>
      </c>
      <c r="AO99" s="346">
        <f t="shared" si="94"/>
        <v>0</v>
      </c>
      <c r="AP99" s="346">
        <f t="shared" si="94"/>
        <v>0</v>
      </c>
      <c r="AQ99" s="346">
        <f t="shared" si="94"/>
        <v>0</v>
      </c>
      <c r="AR99" s="346">
        <f t="shared" si="94"/>
        <v>0</v>
      </c>
      <c r="AS99" s="346">
        <f t="shared" si="94"/>
        <v>0</v>
      </c>
      <c r="AT99" s="346">
        <f t="shared" si="94"/>
        <v>0</v>
      </c>
      <c r="AU99" s="346">
        <f t="shared" si="94"/>
        <v>0</v>
      </c>
      <c r="AV99" s="346">
        <f t="shared" si="94"/>
        <v>0</v>
      </c>
      <c r="AW99" s="346">
        <f t="shared" si="94"/>
        <v>0</v>
      </c>
      <c r="AX99" s="346">
        <f t="shared" si="94"/>
        <v>0</v>
      </c>
      <c r="AY99" s="346">
        <f t="shared" si="94"/>
        <v>0</v>
      </c>
      <c r="AZ99" s="346">
        <f t="shared" si="94"/>
        <v>0</v>
      </c>
    </row>
    <row r="100" spans="1:52">
      <c r="A100" s="346" t="s">
        <v>721</v>
      </c>
      <c r="B100" s="471"/>
      <c r="C100" s="346" t="s">
        <v>563</v>
      </c>
      <c r="D100" s="346" t="s">
        <v>562</v>
      </c>
      <c r="E100" s="765">
        <v>79.3</v>
      </c>
      <c r="F100" s="346">
        <v>-48</v>
      </c>
      <c r="G100" s="614">
        <v>229.7046</v>
      </c>
      <c r="H100" s="614">
        <v>118.77209999999999</v>
      </c>
      <c r="I100" s="467">
        <f t="shared" si="89"/>
        <v>-11025.8208</v>
      </c>
      <c r="J100" s="467">
        <f t="shared" si="90"/>
        <v>-5701.0607999999993</v>
      </c>
      <c r="K100" s="467">
        <f t="shared" si="95"/>
        <v>-1894.6607999999999</v>
      </c>
      <c r="L100" s="770">
        <f t="shared" si="91"/>
        <v>5324.76</v>
      </c>
      <c r="M100" s="718">
        <f t="shared" si="92"/>
        <v>0.49775662042875157</v>
      </c>
      <c r="N100" s="548">
        <f t="shared" si="93"/>
        <v>-3806.3999999999996</v>
      </c>
      <c r="O100" s="618">
        <v>0.5</v>
      </c>
      <c r="P100" s="584">
        <f t="shared" ref="P100:P142" si="97">O100*J100</f>
        <v>-2850.5303999999996</v>
      </c>
      <c r="V100" s="346">
        <f t="shared" si="96"/>
        <v>0</v>
      </c>
      <c r="W100" s="346">
        <f t="shared" si="94"/>
        <v>0</v>
      </c>
      <c r="X100" s="346">
        <f t="shared" si="94"/>
        <v>0</v>
      </c>
      <c r="Y100" s="346">
        <f t="shared" si="94"/>
        <v>0</v>
      </c>
      <c r="Z100" s="346">
        <f t="shared" si="94"/>
        <v>0</v>
      </c>
      <c r="AA100" s="346">
        <f t="shared" si="94"/>
        <v>-5701.0607999999993</v>
      </c>
      <c r="AB100" s="346">
        <f t="shared" si="94"/>
        <v>0</v>
      </c>
      <c r="AC100" s="346">
        <f t="shared" si="94"/>
        <v>0</v>
      </c>
      <c r="AD100" s="346">
        <f t="shared" si="94"/>
        <v>0</v>
      </c>
      <c r="AE100" s="346">
        <f t="shared" si="94"/>
        <v>0</v>
      </c>
      <c r="AF100" s="346">
        <f t="shared" si="94"/>
        <v>0</v>
      </c>
      <c r="AG100" s="346">
        <f t="shared" si="94"/>
        <v>0</v>
      </c>
      <c r="AH100" s="346">
        <f t="shared" si="94"/>
        <v>0</v>
      </c>
      <c r="AI100" s="346">
        <f t="shared" si="94"/>
        <v>0</v>
      </c>
      <c r="AJ100" s="346">
        <f t="shared" si="94"/>
        <v>0</v>
      </c>
      <c r="AK100" s="346">
        <f t="shared" si="94"/>
        <v>0</v>
      </c>
      <c r="AL100" s="346">
        <f t="shared" si="94"/>
        <v>0</v>
      </c>
      <c r="AM100" s="346">
        <f t="shared" si="94"/>
        <v>0</v>
      </c>
      <c r="AN100" s="346">
        <f t="shared" si="94"/>
        <v>0</v>
      </c>
      <c r="AO100" s="346">
        <f t="shared" si="94"/>
        <v>0</v>
      </c>
      <c r="AP100" s="346">
        <f t="shared" si="94"/>
        <v>0</v>
      </c>
      <c r="AQ100" s="346">
        <f t="shared" si="94"/>
        <v>0</v>
      </c>
      <c r="AR100" s="346">
        <f t="shared" si="94"/>
        <v>0</v>
      </c>
      <c r="AS100" s="346">
        <f t="shared" si="94"/>
        <v>0</v>
      </c>
      <c r="AT100" s="346">
        <f t="shared" si="94"/>
        <v>0</v>
      </c>
      <c r="AU100" s="346">
        <f t="shared" si="94"/>
        <v>0</v>
      </c>
      <c r="AV100" s="346">
        <f t="shared" si="94"/>
        <v>0</v>
      </c>
      <c r="AW100" s="346">
        <f t="shared" si="94"/>
        <v>0</v>
      </c>
      <c r="AX100" s="346">
        <f t="shared" si="94"/>
        <v>0</v>
      </c>
      <c r="AY100" s="346">
        <f t="shared" si="94"/>
        <v>0</v>
      </c>
      <c r="AZ100" s="346">
        <f t="shared" si="94"/>
        <v>0</v>
      </c>
    </row>
    <row r="101" spans="1:52">
      <c r="A101" s="346" t="s">
        <v>721</v>
      </c>
      <c r="B101" s="471">
        <v>45873</v>
      </c>
      <c r="C101" s="346" t="s">
        <v>511</v>
      </c>
      <c r="D101" s="346" t="s">
        <v>521</v>
      </c>
      <c r="E101" s="765">
        <v>50.86</v>
      </c>
      <c r="F101" s="346">
        <v>-58</v>
      </c>
      <c r="G101" s="614">
        <v>44.17</v>
      </c>
      <c r="H101" s="614">
        <f>Hoja1!H174</f>
        <v>49.635000000000005</v>
      </c>
      <c r="I101" s="467">
        <f t="shared" si="89"/>
        <v>-2561.86</v>
      </c>
      <c r="J101" s="467">
        <f t="shared" si="90"/>
        <v>-2878.8300000000004</v>
      </c>
      <c r="K101" s="467">
        <f t="shared" si="95"/>
        <v>71.04999999999967</v>
      </c>
      <c r="L101" s="770">
        <f t="shared" si="91"/>
        <v>-316.9700000000002</v>
      </c>
      <c r="M101" s="718">
        <f t="shared" si="92"/>
        <v>-2.4085725521038031E-2</v>
      </c>
      <c r="N101" s="548">
        <f t="shared" si="93"/>
        <v>-2949.88</v>
      </c>
      <c r="O101" s="618">
        <v>0.75</v>
      </c>
      <c r="P101" s="584">
        <f t="shared" si="97"/>
        <v>-2159.1225000000004</v>
      </c>
      <c r="V101" s="346">
        <f t="shared" si="96"/>
        <v>0</v>
      </c>
      <c r="W101" s="346">
        <f t="shared" si="94"/>
        <v>0</v>
      </c>
      <c r="X101" s="346">
        <f t="shared" si="94"/>
        <v>0</v>
      </c>
      <c r="Y101" s="346">
        <f t="shared" si="94"/>
        <v>0</v>
      </c>
      <c r="Z101" s="346">
        <f t="shared" si="94"/>
        <v>0</v>
      </c>
      <c r="AA101" s="346">
        <f t="shared" si="94"/>
        <v>0</v>
      </c>
      <c r="AB101" s="346">
        <f t="shared" si="94"/>
        <v>-2878.8300000000004</v>
      </c>
      <c r="AC101" s="346">
        <f t="shared" si="94"/>
        <v>0</v>
      </c>
      <c r="AD101" s="346">
        <f t="shared" si="94"/>
        <v>0</v>
      </c>
      <c r="AE101" s="346">
        <f t="shared" si="94"/>
        <v>0</v>
      </c>
      <c r="AF101" s="346">
        <f t="shared" si="94"/>
        <v>0</v>
      </c>
      <c r="AG101" s="346">
        <f t="shared" si="94"/>
        <v>0</v>
      </c>
      <c r="AH101" s="346">
        <f t="shared" si="94"/>
        <v>0</v>
      </c>
      <c r="AI101" s="346">
        <f t="shared" si="94"/>
        <v>0</v>
      </c>
      <c r="AJ101" s="346">
        <f t="shared" si="94"/>
        <v>0</v>
      </c>
      <c r="AK101" s="346">
        <f t="shared" si="94"/>
        <v>0</v>
      </c>
      <c r="AL101" s="346">
        <f t="shared" si="94"/>
        <v>0</v>
      </c>
      <c r="AM101" s="346">
        <f t="shared" si="94"/>
        <v>0</v>
      </c>
      <c r="AN101" s="346">
        <f t="shared" si="94"/>
        <v>0</v>
      </c>
      <c r="AO101" s="346">
        <f t="shared" si="94"/>
        <v>0</v>
      </c>
      <c r="AP101" s="346">
        <f t="shared" si="94"/>
        <v>0</v>
      </c>
      <c r="AQ101" s="346">
        <f t="shared" si="94"/>
        <v>0</v>
      </c>
      <c r="AR101" s="346">
        <f t="shared" si="94"/>
        <v>0</v>
      </c>
      <c r="AS101" s="346">
        <f t="shared" si="94"/>
        <v>0</v>
      </c>
      <c r="AT101" s="346">
        <f t="shared" si="94"/>
        <v>0</v>
      </c>
      <c r="AU101" s="346">
        <f t="shared" si="94"/>
        <v>0</v>
      </c>
      <c r="AV101" s="346">
        <f t="shared" si="94"/>
        <v>0</v>
      </c>
      <c r="AW101" s="346">
        <f t="shared" si="94"/>
        <v>0</v>
      </c>
      <c r="AX101" s="346">
        <f t="shared" si="94"/>
        <v>0</v>
      </c>
      <c r="AY101" s="346">
        <f t="shared" si="94"/>
        <v>0</v>
      </c>
      <c r="AZ101" s="346">
        <f t="shared" si="94"/>
        <v>0</v>
      </c>
    </row>
    <row r="102" spans="1:52">
      <c r="A102" s="346" t="s">
        <v>721</v>
      </c>
      <c r="B102" s="471">
        <v>45940</v>
      </c>
      <c r="C102" s="346" t="s">
        <v>511</v>
      </c>
      <c r="D102" s="346" t="s">
        <v>521</v>
      </c>
      <c r="E102" s="765">
        <v>50.86</v>
      </c>
      <c r="F102" s="346">
        <v>-68</v>
      </c>
      <c r="G102" s="614">
        <v>49.277200000000001</v>
      </c>
      <c r="H102" s="614">
        <f>Hoja1!H174</f>
        <v>49.635000000000005</v>
      </c>
      <c r="I102" s="467">
        <f t="shared" si="89"/>
        <v>-3350.8496</v>
      </c>
      <c r="J102" s="467">
        <f t="shared" si="90"/>
        <v>-3375.1800000000003</v>
      </c>
      <c r="K102" s="467">
        <f t="shared" si="95"/>
        <v>83.299999999999613</v>
      </c>
      <c r="L102" s="770">
        <f t="shared" si="91"/>
        <v>-24.33040000000031</v>
      </c>
      <c r="M102" s="718">
        <f t="shared" si="92"/>
        <v>-2.4085725521038031E-2</v>
      </c>
      <c r="N102" s="548">
        <f t="shared" si="93"/>
        <v>-3458.48</v>
      </c>
      <c r="O102" s="618">
        <v>0.5</v>
      </c>
      <c r="P102" s="584">
        <f t="shared" si="97"/>
        <v>-1687.5900000000001</v>
      </c>
      <c r="V102" s="346">
        <f t="shared" si="96"/>
        <v>0</v>
      </c>
      <c r="W102" s="346">
        <f t="shared" si="94"/>
        <v>0</v>
      </c>
      <c r="X102" s="346">
        <f t="shared" si="94"/>
        <v>0</v>
      </c>
      <c r="Y102" s="346">
        <f t="shared" si="94"/>
        <v>0</v>
      </c>
      <c r="Z102" s="346">
        <f t="shared" si="94"/>
        <v>0</v>
      </c>
      <c r="AA102" s="346">
        <f t="shared" si="94"/>
        <v>0</v>
      </c>
      <c r="AB102" s="346">
        <f t="shared" si="94"/>
        <v>-3375.1800000000003</v>
      </c>
      <c r="AC102" s="346">
        <f t="shared" si="94"/>
        <v>0</v>
      </c>
      <c r="AD102" s="346">
        <f t="shared" si="94"/>
        <v>0</v>
      </c>
      <c r="AE102" s="346">
        <f t="shared" si="94"/>
        <v>0</v>
      </c>
      <c r="AF102" s="346">
        <f t="shared" si="94"/>
        <v>0</v>
      </c>
      <c r="AG102" s="346">
        <f t="shared" si="94"/>
        <v>0</v>
      </c>
      <c r="AH102" s="346">
        <f t="shared" si="94"/>
        <v>0</v>
      </c>
      <c r="AI102" s="346">
        <f t="shared" si="94"/>
        <v>0</v>
      </c>
      <c r="AJ102" s="346">
        <f t="shared" si="94"/>
        <v>0</v>
      </c>
      <c r="AK102" s="346">
        <f t="shared" si="94"/>
        <v>0</v>
      </c>
      <c r="AL102" s="346">
        <f t="shared" ref="AL102:AZ119" si="98">IF(AL$92=$D102,$J102,0)</f>
        <v>0</v>
      </c>
      <c r="AM102" s="346">
        <f t="shared" si="98"/>
        <v>0</v>
      </c>
      <c r="AN102" s="346">
        <f t="shared" si="98"/>
        <v>0</v>
      </c>
      <c r="AO102" s="346">
        <f t="shared" si="98"/>
        <v>0</v>
      </c>
      <c r="AP102" s="346">
        <f t="shared" si="98"/>
        <v>0</v>
      </c>
      <c r="AQ102" s="346">
        <f t="shared" si="98"/>
        <v>0</v>
      </c>
      <c r="AR102" s="346">
        <f t="shared" si="98"/>
        <v>0</v>
      </c>
      <c r="AS102" s="346">
        <f t="shared" si="98"/>
        <v>0</v>
      </c>
      <c r="AT102" s="346">
        <f t="shared" si="98"/>
        <v>0</v>
      </c>
      <c r="AU102" s="346">
        <f t="shared" si="98"/>
        <v>0</v>
      </c>
      <c r="AV102" s="346">
        <f t="shared" si="98"/>
        <v>0</v>
      </c>
      <c r="AW102" s="346">
        <f t="shared" si="98"/>
        <v>0</v>
      </c>
      <c r="AX102" s="346">
        <f t="shared" si="98"/>
        <v>0</v>
      </c>
      <c r="AY102" s="346">
        <f t="shared" si="98"/>
        <v>0</v>
      </c>
      <c r="AZ102" s="346">
        <f t="shared" si="98"/>
        <v>0</v>
      </c>
    </row>
    <row r="103" spans="1:52">
      <c r="A103" s="346" t="s">
        <v>721</v>
      </c>
      <c r="B103" s="471">
        <v>45950</v>
      </c>
      <c r="C103" s="346" t="s">
        <v>511</v>
      </c>
      <c r="D103" s="346" t="s">
        <v>521</v>
      </c>
      <c r="E103" s="765">
        <v>50.86</v>
      </c>
      <c r="F103" s="346">
        <v>-78</v>
      </c>
      <c r="G103" s="614">
        <v>51.12</v>
      </c>
      <c r="H103" s="614">
        <f>Hoja1!H174</f>
        <v>49.635000000000005</v>
      </c>
      <c r="I103" s="467">
        <f t="shared" si="89"/>
        <v>-3987.3599999999997</v>
      </c>
      <c r="J103" s="467">
        <f t="shared" si="90"/>
        <v>-3871.53</v>
      </c>
      <c r="K103" s="467">
        <f t="shared" si="95"/>
        <v>95.549999999999557</v>
      </c>
      <c r="L103" s="770">
        <f t="shared" si="91"/>
        <v>115.8299999999994</v>
      </c>
      <c r="M103" s="718">
        <f t="shared" si="92"/>
        <v>-2.4085725521038031E-2</v>
      </c>
      <c r="N103" s="548">
        <f t="shared" si="93"/>
        <v>-3967.08</v>
      </c>
      <c r="O103" s="618">
        <v>0.5</v>
      </c>
      <c r="P103" s="584">
        <f t="shared" si="97"/>
        <v>-1935.7650000000001</v>
      </c>
      <c r="S103" s="346" t="s">
        <v>697</v>
      </c>
      <c r="V103" s="346">
        <f t="shared" si="96"/>
        <v>0</v>
      </c>
      <c r="W103" s="346">
        <f t="shared" si="96"/>
        <v>0</v>
      </c>
      <c r="X103" s="346">
        <f t="shared" si="96"/>
        <v>0</v>
      </c>
      <c r="Y103" s="346">
        <f t="shared" si="96"/>
        <v>0</v>
      </c>
      <c r="Z103" s="346">
        <f t="shared" si="96"/>
        <v>0</v>
      </c>
      <c r="AA103" s="346">
        <f t="shared" si="96"/>
        <v>0</v>
      </c>
      <c r="AB103" s="346">
        <f t="shared" si="96"/>
        <v>-3871.53</v>
      </c>
      <c r="AC103" s="346">
        <f t="shared" si="96"/>
        <v>0</v>
      </c>
      <c r="AD103" s="346">
        <f t="shared" si="96"/>
        <v>0</v>
      </c>
      <c r="AE103" s="346">
        <f t="shared" si="96"/>
        <v>0</v>
      </c>
      <c r="AF103" s="346">
        <f t="shared" si="96"/>
        <v>0</v>
      </c>
      <c r="AG103" s="346">
        <f t="shared" si="96"/>
        <v>0</v>
      </c>
      <c r="AH103" s="346">
        <f t="shared" si="96"/>
        <v>0</v>
      </c>
      <c r="AI103" s="346">
        <f t="shared" si="96"/>
        <v>0</v>
      </c>
      <c r="AJ103" s="346">
        <f t="shared" si="96"/>
        <v>0</v>
      </c>
      <c r="AK103" s="346">
        <f t="shared" si="96"/>
        <v>0</v>
      </c>
      <c r="AL103" s="346">
        <f t="shared" si="98"/>
        <v>0</v>
      </c>
      <c r="AM103" s="346">
        <f t="shared" si="98"/>
        <v>0</v>
      </c>
      <c r="AN103" s="346">
        <f t="shared" si="98"/>
        <v>0</v>
      </c>
      <c r="AO103" s="346">
        <f t="shared" si="98"/>
        <v>0</v>
      </c>
      <c r="AP103" s="346">
        <f t="shared" si="98"/>
        <v>0</v>
      </c>
      <c r="AQ103" s="346">
        <f t="shared" si="98"/>
        <v>0</v>
      </c>
      <c r="AR103" s="346">
        <f t="shared" si="98"/>
        <v>0</v>
      </c>
      <c r="AS103" s="346">
        <f t="shared" si="98"/>
        <v>0</v>
      </c>
      <c r="AT103" s="346">
        <f t="shared" si="98"/>
        <v>0</v>
      </c>
      <c r="AU103" s="346">
        <f t="shared" si="98"/>
        <v>0</v>
      </c>
      <c r="AV103" s="346">
        <f t="shared" si="98"/>
        <v>0</v>
      </c>
      <c r="AW103" s="346">
        <f t="shared" si="98"/>
        <v>0</v>
      </c>
      <c r="AX103" s="346">
        <f t="shared" si="98"/>
        <v>0</v>
      </c>
      <c r="AY103" s="346">
        <f t="shared" si="98"/>
        <v>0</v>
      </c>
      <c r="AZ103" s="346">
        <f t="shared" si="98"/>
        <v>0</v>
      </c>
    </row>
    <row r="104" spans="1:52">
      <c r="A104" s="346" t="s">
        <v>721</v>
      </c>
      <c r="B104" s="471">
        <v>45981</v>
      </c>
      <c r="C104" s="346" t="s">
        <v>490</v>
      </c>
      <c r="D104" s="346" t="s">
        <v>304</v>
      </c>
      <c r="E104" s="765">
        <v>614.30999999999995</v>
      </c>
      <c r="F104" s="346">
        <v>-88</v>
      </c>
      <c r="G104" s="614">
        <v>611.66</v>
      </c>
      <c r="H104" s="614">
        <f>Hoja1!H154</f>
        <v>611.13499999999999</v>
      </c>
      <c r="I104" s="467">
        <f t="shared" si="89"/>
        <v>-53826.079999999994</v>
      </c>
      <c r="J104" s="467">
        <f t="shared" si="90"/>
        <v>-53779.88</v>
      </c>
      <c r="K104" s="467">
        <f t="shared" si="95"/>
        <v>279.399999999996</v>
      </c>
      <c r="L104" s="770">
        <f t="shared" si="91"/>
        <v>46.199999999997999</v>
      </c>
      <c r="M104" s="718">
        <f t="shared" si="92"/>
        <v>-5.1684003190570803E-3</v>
      </c>
      <c r="N104" s="548">
        <f t="shared" si="93"/>
        <v>-54059.28</v>
      </c>
      <c r="O104" s="618">
        <v>0.75</v>
      </c>
      <c r="P104" s="584">
        <f t="shared" si="97"/>
        <v>-40334.909999999996</v>
      </c>
      <c r="R104" s="346" t="s">
        <v>1</v>
      </c>
      <c r="S104" s="484">
        <f>SUMIF($A$94:$A$147,R104,$P$94:$P$147)</f>
        <v>0</v>
      </c>
      <c r="V104" s="346">
        <f t="shared" si="96"/>
        <v>0</v>
      </c>
      <c r="W104" s="346">
        <f t="shared" si="96"/>
        <v>0</v>
      </c>
      <c r="X104" s="346">
        <f t="shared" si="96"/>
        <v>0</v>
      </c>
      <c r="Y104" s="346">
        <f t="shared" si="96"/>
        <v>0</v>
      </c>
      <c r="Z104" s="346">
        <f t="shared" si="96"/>
        <v>0</v>
      </c>
      <c r="AA104" s="346">
        <f t="shared" si="96"/>
        <v>0</v>
      </c>
      <c r="AB104" s="346">
        <f t="shared" si="96"/>
        <v>0</v>
      </c>
      <c r="AC104" s="346">
        <f t="shared" si="96"/>
        <v>-53779.88</v>
      </c>
      <c r="AD104" s="346">
        <f t="shared" si="96"/>
        <v>0</v>
      </c>
      <c r="AE104" s="346">
        <f t="shared" si="96"/>
        <v>0</v>
      </c>
      <c r="AF104" s="346">
        <f t="shared" si="96"/>
        <v>0</v>
      </c>
      <c r="AG104" s="346">
        <f t="shared" si="96"/>
        <v>0</v>
      </c>
      <c r="AH104" s="346">
        <f t="shared" si="96"/>
        <v>0</v>
      </c>
      <c r="AI104" s="346">
        <f t="shared" si="96"/>
        <v>0</v>
      </c>
      <c r="AJ104" s="346">
        <f t="shared" si="96"/>
        <v>0</v>
      </c>
      <c r="AK104" s="346">
        <f t="shared" si="96"/>
        <v>0</v>
      </c>
      <c r="AL104" s="346">
        <f t="shared" si="98"/>
        <v>0</v>
      </c>
      <c r="AM104" s="346">
        <f t="shared" si="98"/>
        <v>0</v>
      </c>
      <c r="AN104" s="346">
        <f t="shared" si="98"/>
        <v>0</v>
      </c>
      <c r="AO104" s="346">
        <f t="shared" si="98"/>
        <v>0</v>
      </c>
      <c r="AP104" s="346">
        <f t="shared" si="98"/>
        <v>0</v>
      </c>
      <c r="AQ104" s="346">
        <f t="shared" si="98"/>
        <v>0</v>
      </c>
      <c r="AR104" s="346">
        <f t="shared" si="98"/>
        <v>0</v>
      </c>
      <c r="AS104" s="346">
        <f t="shared" si="98"/>
        <v>0</v>
      </c>
      <c r="AT104" s="346">
        <f t="shared" si="98"/>
        <v>0</v>
      </c>
      <c r="AU104" s="346">
        <f t="shared" si="98"/>
        <v>0</v>
      </c>
      <c r="AV104" s="346">
        <f t="shared" si="98"/>
        <v>0</v>
      </c>
      <c r="AW104" s="346">
        <f t="shared" si="98"/>
        <v>0</v>
      </c>
      <c r="AX104" s="346">
        <f t="shared" si="98"/>
        <v>0</v>
      </c>
      <c r="AY104" s="346">
        <f t="shared" si="98"/>
        <v>0</v>
      </c>
      <c r="AZ104" s="346">
        <f t="shared" si="98"/>
        <v>0</v>
      </c>
    </row>
    <row r="105" spans="1:52">
      <c r="A105" s="346" t="s">
        <v>721</v>
      </c>
      <c r="B105" s="471">
        <v>45981</v>
      </c>
      <c r="C105" s="346" t="s">
        <v>490</v>
      </c>
      <c r="D105" s="346" t="s">
        <v>304</v>
      </c>
      <c r="E105" s="765">
        <v>614.30999999999995</v>
      </c>
      <c r="F105" s="346">
        <v>-98</v>
      </c>
      <c r="G105" s="614">
        <v>611.71900000000005</v>
      </c>
      <c r="H105" s="614">
        <f>Hoja1!H154</f>
        <v>611.13499999999999</v>
      </c>
      <c r="I105" s="467">
        <f>G105*F105</f>
        <v>-59948.462000000007</v>
      </c>
      <c r="J105" s="467">
        <f>H105*F105</f>
        <v>-59891.229999999996</v>
      </c>
      <c r="K105" s="467">
        <f t="shared" si="95"/>
        <v>311.14999999999554</v>
      </c>
      <c r="L105" s="770">
        <f t="shared" si="91"/>
        <v>57.232000000005883</v>
      </c>
      <c r="M105" s="718">
        <f t="shared" si="92"/>
        <v>-5.1684003190570803E-3</v>
      </c>
      <c r="N105" s="548">
        <f t="shared" si="93"/>
        <v>-60202.38</v>
      </c>
      <c r="O105" s="618">
        <v>0.5</v>
      </c>
      <c r="P105" s="584">
        <f t="shared" si="97"/>
        <v>-29945.614999999998</v>
      </c>
      <c r="R105" s="346" t="s">
        <v>339</v>
      </c>
      <c r="S105" s="484">
        <f t="shared" ref="S105:S107" si="99">SUMIF($A$94:$A$147,R105,$P$94:$P$147)</f>
        <v>0</v>
      </c>
      <c r="V105" s="346">
        <f t="shared" si="96"/>
        <v>0</v>
      </c>
      <c r="W105" s="346">
        <f t="shared" si="96"/>
        <v>0</v>
      </c>
      <c r="X105" s="346">
        <f t="shared" si="96"/>
        <v>0</v>
      </c>
      <c r="Y105" s="346">
        <f t="shared" si="96"/>
        <v>0</v>
      </c>
      <c r="Z105" s="346">
        <f t="shared" si="96"/>
        <v>0</v>
      </c>
      <c r="AA105" s="346">
        <f t="shared" si="96"/>
        <v>0</v>
      </c>
      <c r="AB105" s="346">
        <f t="shared" si="96"/>
        <v>0</v>
      </c>
      <c r="AC105" s="346">
        <f t="shared" si="96"/>
        <v>-59891.229999999996</v>
      </c>
      <c r="AD105" s="346">
        <f t="shared" si="96"/>
        <v>0</v>
      </c>
      <c r="AE105" s="346">
        <f t="shared" si="96"/>
        <v>0</v>
      </c>
      <c r="AF105" s="346">
        <f t="shared" si="96"/>
        <v>0</v>
      </c>
      <c r="AG105" s="346">
        <f t="shared" si="96"/>
        <v>0</v>
      </c>
      <c r="AH105" s="346">
        <f t="shared" si="96"/>
        <v>0</v>
      </c>
      <c r="AI105" s="346">
        <f t="shared" si="96"/>
        <v>0</v>
      </c>
      <c r="AJ105" s="346">
        <f t="shared" si="96"/>
        <v>0</v>
      </c>
      <c r="AK105" s="346">
        <f t="shared" si="96"/>
        <v>0</v>
      </c>
      <c r="AL105" s="346">
        <f t="shared" si="98"/>
        <v>0</v>
      </c>
      <c r="AM105" s="346">
        <f t="shared" si="98"/>
        <v>0</v>
      </c>
      <c r="AN105" s="346">
        <f t="shared" si="98"/>
        <v>0</v>
      </c>
      <c r="AO105" s="346">
        <f t="shared" si="98"/>
        <v>0</v>
      </c>
      <c r="AP105" s="346">
        <f t="shared" si="98"/>
        <v>0</v>
      </c>
      <c r="AQ105" s="346">
        <f t="shared" si="98"/>
        <v>0</v>
      </c>
      <c r="AR105" s="346">
        <f t="shared" si="98"/>
        <v>0</v>
      </c>
      <c r="AS105" s="346">
        <f t="shared" si="98"/>
        <v>0</v>
      </c>
      <c r="AT105" s="346">
        <f t="shared" si="98"/>
        <v>0</v>
      </c>
      <c r="AU105" s="346">
        <f t="shared" si="98"/>
        <v>0</v>
      </c>
      <c r="AV105" s="346">
        <f t="shared" si="98"/>
        <v>0</v>
      </c>
      <c r="AW105" s="346">
        <f t="shared" si="98"/>
        <v>0</v>
      </c>
      <c r="AX105" s="346">
        <f t="shared" si="98"/>
        <v>0</v>
      </c>
      <c r="AY105" s="346">
        <f t="shared" si="98"/>
        <v>0</v>
      </c>
      <c r="AZ105" s="346">
        <f t="shared" si="98"/>
        <v>0</v>
      </c>
    </row>
    <row r="106" spans="1:52">
      <c r="A106" s="346" t="s">
        <v>721</v>
      </c>
      <c r="B106" s="471">
        <v>45981</v>
      </c>
      <c r="C106" s="346" t="s">
        <v>490</v>
      </c>
      <c r="D106" s="346" t="s">
        <v>304</v>
      </c>
      <c r="E106" s="765">
        <v>614.30999999999995</v>
      </c>
      <c r="F106" s="346">
        <v>-108</v>
      </c>
      <c r="G106" s="614">
        <v>605.65</v>
      </c>
      <c r="H106" s="614">
        <f>Hoja1!H154</f>
        <v>611.13499999999999</v>
      </c>
      <c r="I106" s="467">
        <f>G106*F106</f>
        <v>-65410.2</v>
      </c>
      <c r="J106" s="467">
        <f>H106*F106</f>
        <v>-66002.58</v>
      </c>
      <c r="K106" s="467">
        <f t="shared" si="95"/>
        <v>342.89999999999509</v>
      </c>
      <c r="L106" s="770">
        <f t="shared" si="91"/>
        <v>-592.38000000000147</v>
      </c>
      <c r="M106" s="718">
        <f t="shared" si="92"/>
        <v>-5.1684003190570803E-3</v>
      </c>
      <c r="N106" s="548">
        <f t="shared" si="93"/>
        <v>-66345.48</v>
      </c>
      <c r="O106" s="618">
        <v>0.5</v>
      </c>
      <c r="P106" s="584">
        <f t="shared" si="97"/>
        <v>-33001.29</v>
      </c>
      <c r="R106" s="346" t="s">
        <v>203</v>
      </c>
      <c r="S106" s="484">
        <f t="shared" si="99"/>
        <v>0</v>
      </c>
      <c r="V106" s="346">
        <f t="shared" si="96"/>
        <v>0</v>
      </c>
      <c r="W106" s="346">
        <f t="shared" si="96"/>
        <v>0</v>
      </c>
      <c r="X106" s="346">
        <f t="shared" si="96"/>
        <v>0</v>
      </c>
      <c r="Y106" s="346">
        <f t="shared" si="96"/>
        <v>0</v>
      </c>
      <c r="Z106" s="346">
        <f t="shared" si="96"/>
        <v>0</v>
      </c>
      <c r="AA106" s="346">
        <f t="shared" si="96"/>
        <v>0</v>
      </c>
      <c r="AB106" s="346">
        <f t="shared" si="96"/>
        <v>0</v>
      </c>
      <c r="AC106" s="346">
        <f t="shared" si="96"/>
        <v>-66002.58</v>
      </c>
      <c r="AD106" s="346">
        <f t="shared" si="96"/>
        <v>0</v>
      </c>
      <c r="AE106" s="346">
        <f t="shared" si="96"/>
        <v>0</v>
      </c>
      <c r="AF106" s="346">
        <f t="shared" si="96"/>
        <v>0</v>
      </c>
      <c r="AG106" s="346">
        <f t="shared" si="96"/>
        <v>0</v>
      </c>
      <c r="AH106" s="346">
        <f t="shared" si="96"/>
        <v>0</v>
      </c>
      <c r="AI106" s="346">
        <f t="shared" si="96"/>
        <v>0</v>
      </c>
      <c r="AJ106" s="346">
        <f t="shared" si="96"/>
        <v>0</v>
      </c>
      <c r="AK106" s="346">
        <f t="shared" si="96"/>
        <v>0</v>
      </c>
      <c r="AL106" s="346">
        <f t="shared" si="98"/>
        <v>0</v>
      </c>
      <c r="AM106" s="346">
        <f t="shared" si="98"/>
        <v>0</v>
      </c>
      <c r="AN106" s="346">
        <f t="shared" si="98"/>
        <v>0</v>
      </c>
      <c r="AO106" s="346">
        <f t="shared" si="98"/>
        <v>0</v>
      </c>
      <c r="AP106" s="346">
        <f t="shared" si="98"/>
        <v>0</v>
      </c>
      <c r="AQ106" s="346">
        <f t="shared" si="98"/>
        <v>0</v>
      </c>
      <c r="AR106" s="346">
        <f t="shared" si="98"/>
        <v>0</v>
      </c>
      <c r="AS106" s="346">
        <f t="shared" si="98"/>
        <v>0</v>
      </c>
      <c r="AT106" s="346">
        <f t="shared" si="98"/>
        <v>0</v>
      </c>
      <c r="AU106" s="346">
        <f t="shared" si="98"/>
        <v>0</v>
      </c>
      <c r="AV106" s="346">
        <f t="shared" si="98"/>
        <v>0</v>
      </c>
      <c r="AW106" s="346">
        <f t="shared" si="98"/>
        <v>0</v>
      </c>
      <c r="AX106" s="346">
        <f t="shared" si="98"/>
        <v>0</v>
      </c>
      <c r="AY106" s="346">
        <f t="shared" si="98"/>
        <v>0</v>
      </c>
      <c r="AZ106" s="346">
        <f t="shared" si="98"/>
        <v>0</v>
      </c>
    </row>
    <row r="107" spans="1:52">
      <c r="A107" s="346" t="s">
        <v>721</v>
      </c>
      <c r="B107" s="471">
        <v>45981</v>
      </c>
      <c r="C107" s="346" t="s">
        <v>490</v>
      </c>
      <c r="D107" s="346" t="s">
        <v>304</v>
      </c>
      <c r="E107" s="765">
        <v>614.30999999999995</v>
      </c>
      <c r="F107" s="346">
        <v>-118</v>
      </c>
      <c r="G107" s="614">
        <v>605.88</v>
      </c>
      <c r="H107" s="614">
        <f>Hoja1!H154</f>
        <v>611.13499999999999</v>
      </c>
      <c r="I107" s="467">
        <f>G107*F107</f>
        <v>-71493.84</v>
      </c>
      <c r="J107" s="467">
        <f>H107*F107</f>
        <v>-72113.929999999993</v>
      </c>
      <c r="K107" s="467">
        <f t="shared" si="95"/>
        <v>374.64999999999463</v>
      </c>
      <c r="L107" s="770">
        <f t="shared" si="91"/>
        <v>-620.08999999999946</v>
      </c>
      <c r="M107" s="718">
        <f t="shared" si="92"/>
        <v>-5.1684003190570803E-3</v>
      </c>
      <c r="N107" s="548">
        <f t="shared" si="93"/>
        <v>-72488.579999999987</v>
      </c>
      <c r="O107" s="618">
        <v>0.5</v>
      </c>
      <c r="P107" s="584">
        <f t="shared" si="97"/>
        <v>-36056.964999999997</v>
      </c>
      <c r="R107" s="346" t="s">
        <v>337</v>
      </c>
      <c r="S107" s="484">
        <f t="shared" si="99"/>
        <v>0</v>
      </c>
      <c r="V107" s="346">
        <f t="shared" si="96"/>
        <v>0</v>
      </c>
      <c r="W107" s="346">
        <f t="shared" si="96"/>
        <v>0</v>
      </c>
      <c r="X107" s="346">
        <f t="shared" si="96"/>
        <v>0</v>
      </c>
      <c r="Y107" s="346">
        <f t="shared" si="96"/>
        <v>0</v>
      </c>
      <c r="Z107" s="346">
        <f t="shared" si="96"/>
        <v>0</v>
      </c>
      <c r="AA107" s="346">
        <f t="shared" si="96"/>
        <v>0</v>
      </c>
      <c r="AB107" s="346">
        <f t="shared" si="96"/>
        <v>0</v>
      </c>
      <c r="AC107" s="346">
        <f t="shared" si="96"/>
        <v>-72113.929999999993</v>
      </c>
      <c r="AD107" s="346">
        <f t="shared" si="96"/>
        <v>0</v>
      </c>
      <c r="AE107" s="346">
        <f t="shared" si="96"/>
        <v>0</v>
      </c>
      <c r="AF107" s="346">
        <f t="shared" si="96"/>
        <v>0</v>
      </c>
      <c r="AG107" s="346">
        <f t="shared" si="96"/>
        <v>0</v>
      </c>
      <c r="AH107" s="346">
        <f t="shared" si="96"/>
        <v>0</v>
      </c>
      <c r="AI107" s="346">
        <f t="shared" si="96"/>
        <v>0</v>
      </c>
      <c r="AJ107" s="346">
        <f t="shared" si="96"/>
        <v>0</v>
      </c>
      <c r="AK107" s="346">
        <f t="shared" si="96"/>
        <v>0</v>
      </c>
      <c r="AL107" s="346">
        <f t="shared" si="98"/>
        <v>0</v>
      </c>
      <c r="AM107" s="346">
        <f t="shared" si="98"/>
        <v>0</v>
      </c>
      <c r="AN107" s="346">
        <f t="shared" si="98"/>
        <v>0</v>
      </c>
      <c r="AO107" s="346">
        <f t="shared" si="98"/>
        <v>0</v>
      </c>
      <c r="AP107" s="346">
        <f t="shared" si="98"/>
        <v>0</v>
      </c>
      <c r="AQ107" s="346">
        <f t="shared" si="98"/>
        <v>0</v>
      </c>
      <c r="AR107" s="346">
        <f t="shared" si="98"/>
        <v>0</v>
      </c>
      <c r="AS107" s="346">
        <f t="shared" si="98"/>
        <v>0</v>
      </c>
      <c r="AT107" s="346">
        <f t="shared" si="98"/>
        <v>0</v>
      </c>
      <c r="AU107" s="346">
        <f t="shared" si="98"/>
        <v>0</v>
      </c>
      <c r="AV107" s="346">
        <f t="shared" si="98"/>
        <v>0</v>
      </c>
      <c r="AW107" s="346">
        <f t="shared" si="98"/>
        <v>0</v>
      </c>
      <c r="AX107" s="346">
        <f t="shared" si="98"/>
        <v>0</v>
      </c>
      <c r="AY107" s="346">
        <f t="shared" si="98"/>
        <v>0</v>
      </c>
      <c r="AZ107" s="346">
        <f t="shared" si="98"/>
        <v>0</v>
      </c>
    </row>
    <row r="108" spans="1:52">
      <c r="A108" s="346" t="s">
        <v>721</v>
      </c>
      <c r="B108" s="471">
        <v>46077</v>
      </c>
      <c r="C108" s="346" t="s">
        <v>586</v>
      </c>
      <c r="D108" s="346" t="s">
        <v>694</v>
      </c>
      <c r="E108" s="765">
        <v>6892.5</v>
      </c>
      <c r="F108" s="346">
        <v>-128</v>
      </c>
      <c r="G108" s="614">
        <v>6903.8833000000004</v>
      </c>
      <c r="H108" s="614">
        <f>Hoja1!H12*10.115</f>
        <v>6870.6137500000004</v>
      </c>
      <c r="I108" s="467">
        <f>G108*F108*50</f>
        <v>-44184853.120000005</v>
      </c>
      <c r="J108" s="467">
        <f>H108*F108*50</f>
        <v>-43971928</v>
      </c>
      <c r="K108" s="467">
        <f>(H108-E108)*F108*50</f>
        <v>140071.99999999721</v>
      </c>
      <c r="L108" s="770">
        <f>(H108-G108)*F108*50</f>
        <v>212925.11999999988</v>
      </c>
      <c r="M108" s="718">
        <f t="shared" si="92"/>
        <v>-3.175371780921228E-3</v>
      </c>
      <c r="N108" s="548">
        <f>F108*E108*50</f>
        <v>-44112000</v>
      </c>
      <c r="O108" s="618">
        <v>0.5</v>
      </c>
      <c r="P108" s="584">
        <f t="shared" si="97"/>
        <v>-21985964</v>
      </c>
      <c r="V108" s="346">
        <f t="shared" si="96"/>
        <v>0</v>
      </c>
      <c r="W108" s="346">
        <f t="shared" si="96"/>
        <v>0</v>
      </c>
      <c r="X108" s="346">
        <f t="shared" si="96"/>
        <v>0</v>
      </c>
      <c r="Y108" s="346">
        <f t="shared" si="96"/>
        <v>0</v>
      </c>
      <c r="Z108" s="346">
        <f t="shared" si="96"/>
        <v>0</v>
      </c>
      <c r="AA108" s="346">
        <f t="shared" si="96"/>
        <v>0</v>
      </c>
      <c r="AB108" s="346">
        <f t="shared" si="96"/>
        <v>0</v>
      </c>
      <c r="AC108" s="346">
        <f t="shared" si="96"/>
        <v>0</v>
      </c>
      <c r="AD108" s="346">
        <f t="shared" si="96"/>
        <v>-43971928</v>
      </c>
      <c r="AE108" s="346">
        <f t="shared" si="96"/>
        <v>0</v>
      </c>
      <c r="AF108" s="346">
        <f t="shared" si="96"/>
        <v>0</v>
      </c>
      <c r="AG108" s="346">
        <f t="shared" si="96"/>
        <v>0</v>
      </c>
      <c r="AH108" s="346">
        <f t="shared" si="96"/>
        <v>0</v>
      </c>
      <c r="AI108" s="346">
        <f t="shared" si="96"/>
        <v>0</v>
      </c>
      <c r="AJ108" s="346">
        <f t="shared" si="96"/>
        <v>0</v>
      </c>
      <c r="AK108" s="346">
        <f t="shared" si="96"/>
        <v>0</v>
      </c>
      <c r="AL108" s="346">
        <f t="shared" si="98"/>
        <v>0</v>
      </c>
      <c r="AM108" s="346">
        <f t="shared" si="98"/>
        <v>0</v>
      </c>
      <c r="AN108" s="346">
        <f t="shared" si="98"/>
        <v>0</v>
      </c>
      <c r="AO108" s="346">
        <f t="shared" si="98"/>
        <v>0</v>
      </c>
      <c r="AP108" s="346">
        <f t="shared" si="98"/>
        <v>0</v>
      </c>
      <c r="AQ108" s="346">
        <f t="shared" si="98"/>
        <v>0</v>
      </c>
      <c r="AR108" s="346">
        <f t="shared" si="98"/>
        <v>0</v>
      </c>
      <c r="AS108" s="346">
        <f t="shared" si="98"/>
        <v>0</v>
      </c>
      <c r="AT108" s="346">
        <f t="shared" si="98"/>
        <v>0</v>
      </c>
      <c r="AU108" s="346">
        <f t="shared" si="98"/>
        <v>0</v>
      </c>
      <c r="AV108" s="346">
        <f t="shared" si="98"/>
        <v>0</v>
      </c>
      <c r="AW108" s="346">
        <f t="shared" si="98"/>
        <v>0</v>
      </c>
      <c r="AX108" s="346">
        <f t="shared" si="98"/>
        <v>0</v>
      </c>
      <c r="AY108" s="346">
        <f t="shared" si="98"/>
        <v>0</v>
      </c>
      <c r="AZ108" s="346">
        <f t="shared" si="98"/>
        <v>0</v>
      </c>
    </row>
    <row r="109" spans="1:52">
      <c r="A109" s="346" t="s">
        <v>721</v>
      </c>
      <c r="B109" s="471">
        <v>45882</v>
      </c>
      <c r="C109" s="346" t="s">
        <v>588</v>
      </c>
      <c r="D109" s="346" t="s">
        <v>65</v>
      </c>
      <c r="E109" s="765">
        <v>681.92</v>
      </c>
      <c r="F109" s="346">
        <v>-138</v>
      </c>
      <c r="G109" s="614">
        <v>643.22979999999995</v>
      </c>
      <c r="H109" s="614">
        <f>Hoja1!H12</f>
        <v>679.25</v>
      </c>
      <c r="I109" s="467">
        <f>G109*F109</f>
        <v>-88765.712399999989</v>
      </c>
      <c r="J109" s="467">
        <f>H109*F109</f>
        <v>-93736.5</v>
      </c>
      <c r="K109" s="467">
        <f t="shared" si="95"/>
        <v>368.45999999999435</v>
      </c>
      <c r="L109" s="770">
        <f t="shared" ref="L109:L147" si="100">(H109-G109)*F109</f>
        <v>-4970.787600000006</v>
      </c>
      <c r="M109" s="718">
        <f t="shared" si="92"/>
        <v>-3.915415297982108E-3</v>
      </c>
      <c r="N109" s="548">
        <f t="shared" ref="N109:N147" si="101">F109*E109</f>
        <v>-94104.959999999992</v>
      </c>
      <c r="O109" s="618">
        <v>0.5</v>
      </c>
      <c r="P109" s="584">
        <f t="shared" si="97"/>
        <v>-46868.25</v>
      </c>
      <c r="V109" s="346">
        <f t="shared" si="96"/>
        <v>0</v>
      </c>
      <c r="W109" s="346">
        <f t="shared" si="96"/>
        <v>0</v>
      </c>
      <c r="X109" s="346">
        <f t="shared" si="96"/>
        <v>0</v>
      </c>
      <c r="Y109" s="346">
        <f t="shared" si="96"/>
        <v>0</v>
      </c>
      <c r="Z109" s="346">
        <f t="shared" si="96"/>
        <v>0</v>
      </c>
      <c r="AA109" s="346">
        <f t="shared" si="96"/>
        <v>0</v>
      </c>
      <c r="AB109" s="346">
        <f t="shared" si="96"/>
        <v>0</v>
      </c>
      <c r="AC109" s="346">
        <f t="shared" si="96"/>
        <v>0</v>
      </c>
      <c r="AD109" s="346">
        <f t="shared" si="96"/>
        <v>0</v>
      </c>
      <c r="AE109" s="346">
        <f t="shared" si="96"/>
        <v>-93736.5</v>
      </c>
      <c r="AF109" s="346">
        <f t="shared" si="96"/>
        <v>0</v>
      </c>
      <c r="AG109" s="346">
        <f t="shared" si="96"/>
        <v>0</v>
      </c>
      <c r="AH109" s="346">
        <f t="shared" si="96"/>
        <v>0</v>
      </c>
      <c r="AI109" s="346">
        <f t="shared" si="96"/>
        <v>0</v>
      </c>
      <c r="AJ109" s="346">
        <f t="shared" si="96"/>
        <v>0</v>
      </c>
      <c r="AK109" s="346">
        <f t="shared" si="96"/>
        <v>0</v>
      </c>
      <c r="AL109" s="346">
        <f t="shared" si="98"/>
        <v>0</v>
      </c>
      <c r="AM109" s="346">
        <f t="shared" si="98"/>
        <v>0</v>
      </c>
      <c r="AN109" s="346">
        <f t="shared" si="98"/>
        <v>0</v>
      </c>
      <c r="AO109" s="346">
        <f t="shared" si="98"/>
        <v>0</v>
      </c>
      <c r="AP109" s="346">
        <f t="shared" si="98"/>
        <v>0</v>
      </c>
      <c r="AQ109" s="346">
        <f t="shared" si="98"/>
        <v>0</v>
      </c>
      <c r="AR109" s="346">
        <f t="shared" si="98"/>
        <v>0</v>
      </c>
      <c r="AS109" s="346">
        <f t="shared" si="98"/>
        <v>0</v>
      </c>
      <c r="AT109" s="346">
        <f t="shared" si="98"/>
        <v>0</v>
      </c>
      <c r="AU109" s="346">
        <f t="shared" si="98"/>
        <v>0</v>
      </c>
      <c r="AV109" s="346">
        <f t="shared" si="98"/>
        <v>0</v>
      </c>
      <c r="AW109" s="346">
        <f t="shared" si="98"/>
        <v>0</v>
      </c>
      <c r="AX109" s="346">
        <f t="shared" si="98"/>
        <v>0</v>
      </c>
      <c r="AY109" s="346">
        <f t="shared" si="98"/>
        <v>0</v>
      </c>
      <c r="AZ109" s="346">
        <f t="shared" si="98"/>
        <v>0</v>
      </c>
    </row>
    <row r="110" spans="1:52">
      <c r="A110" s="346" t="s">
        <v>721</v>
      </c>
      <c r="B110" s="471">
        <v>45940</v>
      </c>
      <c r="C110" s="346" t="s">
        <v>588</v>
      </c>
      <c r="D110" s="346" t="s">
        <v>65</v>
      </c>
      <c r="E110" s="765">
        <v>681.92</v>
      </c>
      <c r="F110" s="346">
        <v>-148</v>
      </c>
      <c r="G110" s="614">
        <v>657.19500000000005</v>
      </c>
      <c r="H110" s="614">
        <f>H109</f>
        <v>679.25</v>
      </c>
      <c r="I110" s="467">
        <f>G110*F110</f>
        <v>-97264.86</v>
      </c>
      <c r="J110" s="467">
        <f>H110*F110</f>
        <v>-100529</v>
      </c>
      <c r="K110" s="467">
        <f t="shared" si="95"/>
        <v>395.15999999999394</v>
      </c>
      <c r="L110" s="770">
        <f t="shared" si="100"/>
        <v>-3264.1399999999926</v>
      </c>
      <c r="M110" s="718">
        <f t="shared" si="92"/>
        <v>-3.915415297982108E-3</v>
      </c>
      <c r="N110" s="548">
        <f t="shared" si="101"/>
        <v>-100924.15999999999</v>
      </c>
      <c r="O110" s="618">
        <v>0.5</v>
      </c>
      <c r="P110" s="584">
        <f t="shared" si="97"/>
        <v>-50264.5</v>
      </c>
      <c r="V110" s="346">
        <f t="shared" si="96"/>
        <v>0</v>
      </c>
      <c r="W110" s="346">
        <f t="shared" si="96"/>
        <v>0</v>
      </c>
      <c r="X110" s="346">
        <f t="shared" si="96"/>
        <v>0</v>
      </c>
      <c r="Y110" s="346">
        <f t="shared" si="96"/>
        <v>0</v>
      </c>
      <c r="Z110" s="346">
        <f t="shared" si="96"/>
        <v>0</v>
      </c>
      <c r="AA110" s="346">
        <f t="shared" si="96"/>
        <v>0</v>
      </c>
      <c r="AB110" s="346">
        <f t="shared" si="96"/>
        <v>0</v>
      </c>
      <c r="AC110" s="346">
        <f t="shared" si="96"/>
        <v>0</v>
      </c>
      <c r="AD110" s="346">
        <f t="shared" si="96"/>
        <v>0</v>
      </c>
      <c r="AE110" s="346">
        <f t="shared" si="96"/>
        <v>-100529</v>
      </c>
      <c r="AF110" s="346">
        <f t="shared" si="96"/>
        <v>0</v>
      </c>
      <c r="AG110" s="346">
        <f t="shared" si="96"/>
        <v>0</v>
      </c>
      <c r="AH110" s="346">
        <f t="shared" si="96"/>
        <v>0</v>
      </c>
      <c r="AI110" s="346">
        <f t="shared" si="96"/>
        <v>0</v>
      </c>
      <c r="AJ110" s="346">
        <f t="shared" si="96"/>
        <v>0</v>
      </c>
      <c r="AK110" s="346">
        <f t="shared" si="96"/>
        <v>0</v>
      </c>
      <c r="AL110" s="346">
        <f t="shared" si="98"/>
        <v>0</v>
      </c>
      <c r="AM110" s="346">
        <f t="shared" si="98"/>
        <v>0</v>
      </c>
      <c r="AN110" s="346">
        <f t="shared" si="98"/>
        <v>0</v>
      </c>
      <c r="AO110" s="346">
        <f t="shared" si="98"/>
        <v>0</v>
      </c>
      <c r="AP110" s="346">
        <f t="shared" si="98"/>
        <v>0</v>
      </c>
      <c r="AQ110" s="346">
        <f t="shared" si="98"/>
        <v>0</v>
      </c>
      <c r="AR110" s="346">
        <f t="shared" si="98"/>
        <v>0</v>
      </c>
      <c r="AS110" s="346">
        <f t="shared" si="98"/>
        <v>0</v>
      </c>
      <c r="AT110" s="346">
        <f t="shared" si="98"/>
        <v>0</v>
      </c>
      <c r="AU110" s="346">
        <f t="shared" si="98"/>
        <v>0</v>
      </c>
      <c r="AV110" s="346">
        <f t="shared" si="98"/>
        <v>0</v>
      </c>
      <c r="AW110" s="346">
        <f t="shared" si="98"/>
        <v>0</v>
      </c>
      <c r="AX110" s="346">
        <f t="shared" si="98"/>
        <v>0</v>
      </c>
      <c r="AY110" s="346">
        <f t="shared" si="98"/>
        <v>0</v>
      </c>
      <c r="AZ110" s="346">
        <f t="shared" si="98"/>
        <v>0</v>
      </c>
    </row>
    <row r="111" spans="1:52">
      <c r="A111" s="346" t="s">
        <v>721</v>
      </c>
      <c r="B111" s="471">
        <v>45883</v>
      </c>
      <c r="C111" s="346" t="s">
        <v>161</v>
      </c>
      <c r="D111" s="346" t="s">
        <v>161</v>
      </c>
      <c r="E111" s="765">
        <v>313.8</v>
      </c>
      <c r="F111" s="346">
        <v>-158</v>
      </c>
      <c r="G111" s="614">
        <v>204.44499999999999</v>
      </c>
      <c r="H111" s="614">
        <f>Hoja1!H23</f>
        <v>316.15999999999997</v>
      </c>
      <c r="I111" s="467">
        <f>G111*F111</f>
        <v>-32302.309999999998</v>
      </c>
      <c r="J111" s="467">
        <f>H111*F111</f>
        <v>-49953.279999999992</v>
      </c>
      <c r="K111" s="467">
        <f t="shared" si="95"/>
        <v>-372.87999999999317</v>
      </c>
      <c r="L111" s="770">
        <f t="shared" si="100"/>
        <v>-17650.969999999998</v>
      </c>
      <c r="M111" s="718">
        <f t="shared" si="92"/>
        <v>7.5207138304651264E-3</v>
      </c>
      <c r="N111" s="548">
        <f t="shared" si="101"/>
        <v>-49580.4</v>
      </c>
      <c r="O111" s="618">
        <v>0.5</v>
      </c>
      <c r="P111" s="584">
        <f t="shared" si="97"/>
        <v>-24976.639999999996</v>
      </c>
      <c r="V111" s="346">
        <f t="shared" si="96"/>
        <v>0</v>
      </c>
      <c r="W111" s="346">
        <f t="shared" si="96"/>
        <v>0</v>
      </c>
      <c r="X111" s="346">
        <f t="shared" si="96"/>
        <v>0</v>
      </c>
      <c r="Y111" s="346">
        <f t="shared" si="96"/>
        <v>0</v>
      </c>
      <c r="Z111" s="346">
        <f t="shared" si="96"/>
        <v>0</v>
      </c>
      <c r="AA111" s="346">
        <f t="shared" si="96"/>
        <v>0</v>
      </c>
      <c r="AB111" s="346">
        <f t="shared" si="96"/>
        <v>0</v>
      </c>
      <c r="AC111" s="346">
        <f t="shared" si="96"/>
        <v>0</v>
      </c>
      <c r="AD111" s="346">
        <f t="shared" si="96"/>
        <v>0</v>
      </c>
      <c r="AE111" s="346">
        <f t="shared" si="96"/>
        <v>0</v>
      </c>
      <c r="AF111" s="346">
        <f t="shared" si="96"/>
        <v>-49953.279999999992</v>
      </c>
      <c r="AG111" s="346">
        <f t="shared" si="96"/>
        <v>0</v>
      </c>
      <c r="AH111" s="346">
        <f t="shared" si="96"/>
        <v>0</v>
      </c>
      <c r="AI111" s="346">
        <f t="shared" si="96"/>
        <v>0</v>
      </c>
      <c r="AJ111" s="346">
        <f t="shared" si="96"/>
        <v>0</v>
      </c>
      <c r="AK111" s="346">
        <f t="shared" si="96"/>
        <v>0</v>
      </c>
      <c r="AL111" s="346">
        <f t="shared" si="98"/>
        <v>0</v>
      </c>
      <c r="AM111" s="346">
        <f t="shared" si="98"/>
        <v>0</v>
      </c>
      <c r="AN111" s="346">
        <f t="shared" si="98"/>
        <v>0</v>
      </c>
      <c r="AO111" s="346">
        <f t="shared" si="98"/>
        <v>0</v>
      </c>
      <c r="AP111" s="346">
        <f t="shared" si="98"/>
        <v>0</v>
      </c>
      <c r="AQ111" s="346">
        <f t="shared" si="98"/>
        <v>0</v>
      </c>
      <c r="AR111" s="346">
        <f t="shared" si="98"/>
        <v>0</v>
      </c>
      <c r="AS111" s="346">
        <f t="shared" si="98"/>
        <v>0</v>
      </c>
      <c r="AT111" s="346">
        <f t="shared" si="98"/>
        <v>0</v>
      </c>
      <c r="AU111" s="346">
        <f t="shared" si="98"/>
        <v>0</v>
      </c>
      <c r="AV111" s="346">
        <f t="shared" si="98"/>
        <v>0</v>
      </c>
      <c r="AW111" s="346">
        <f t="shared" si="98"/>
        <v>0</v>
      </c>
      <c r="AX111" s="346">
        <f t="shared" si="98"/>
        <v>0</v>
      </c>
      <c r="AY111" s="346">
        <f t="shared" si="98"/>
        <v>0</v>
      </c>
      <c r="AZ111" s="346">
        <f t="shared" si="98"/>
        <v>0</v>
      </c>
    </row>
    <row r="112" spans="1:52">
      <c r="A112" s="346" t="s">
        <v>721</v>
      </c>
      <c r="B112" s="471">
        <v>45783</v>
      </c>
      <c r="C112" s="346" t="s">
        <v>551</v>
      </c>
      <c r="D112" s="346" t="s">
        <v>550</v>
      </c>
      <c r="E112" s="830">
        <v>54.01</v>
      </c>
      <c r="F112" s="346">
        <v>-168</v>
      </c>
      <c r="G112" s="577">
        <v>32.848100000000002</v>
      </c>
      <c r="H112" s="577">
        <f>Hoja1!H184</f>
        <v>51.93</v>
      </c>
      <c r="I112" s="467">
        <f t="shared" ref="I112:I126" si="102">G112*F112</f>
        <v>-5518.4808000000003</v>
      </c>
      <c r="J112" s="467">
        <f t="shared" ref="J112:J126" si="103">H112*F112</f>
        <v>-8724.24</v>
      </c>
      <c r="K112" s="467">
        <f t="shared" si="95"/>
        <v>349.43999999999971</v>
      </c>
      <c r="L112" s="770">
        <f t="shared" si="100"/>
        <v>-3205.7591999999995</v>
      </c>
      <c r="M112" s="718">
        <f t="shared" ref="M112:M147" si="104">+(H112-E112)/E112</f>
        <v>-3.8511386780225851E-2</v>
      </c>
      <c r="N112" s="548">
        <f t="shared" si="101"/>
        <v>-9073.68</v>
      </c>
      <c r="O112" s="618">
        <v>0.5</v>
      </c>
      <c r="P112" s="584">
        <f t="shared" si="97"/>
        <v>-4362.12</v>
      </c>
      <c r="V112" s="346">
        <f t="shared" si="96"/>
        <v>0</v>
      </c>
      <c r="W112" s="346">
        <f t="shared" si="96"/>
        <v>0</v>
      </c>
      <c r="X112" s="346">
        <f t="shared" si="96"/>
        <v>0</v>
      </c>
      <c r="Y112" s="346">
        <f t="shared" si="96"/>
        <v>0</v>
      </c>
      <c r="Z112" s="346">
        <f t="shared" si="96"/>
        <v>0</v>
      </c>
      <c r="AA112" s="346">
        <f t="shared" si="96"/>
        <v>0</v>
      </c>
      <c r="AB112" s="346">
        <f t="shared" si="96"/>
        <v>0</v>
      </c>
      <c r="AC112" s="346">
        <f t="shared" si="96"/>
        <v>0</v>
      </c>
      <c r="AD112" s="346">
        <f t="shared" si="96"/>
        <v>0</v>
      </c>
      <c r="AE112" s="346">
        <f t="shared" si="96"/>
        <v>0</v>
      </c>
      <c r="AF112" s="346">
        <f t="shared" si="96"/>
        <v>0</v>
      </c>
      <c r="AG112" s="346">
        <f t="shared" si="96"/>
        <v>-8724.24</v>
      </c>
      <c r="AH112" s="346">
        <f t="shared" si="96"/>
        <v>0</v>
      </c>
      <c r="AI112" s="346">
        <f t="shared" si="96"/>
        <v>0</v>
      </c>
      <c r="AJ112" s="346">
        <f t="shared" si="96"/>
        <v>0</v>
      </c>
      <c r="AK112" s="346">
        <f t="shared" si="96"/>
        <v>0</v>
      </c>
      <c r="AL112" s="346">
        <f t="shared" si="98"/>
        <v>0</v>
      </c>
      <c r="AM112" s="346">
        <f t="shared" si="98"/>
        <v>0</v>
      </c>
      <c r="AN112" s="346">
        <f t="shared" si="98"/>
        <v>0</v>
      </c>
      <c r="AO112" s="346">
        <f t="shared" si="98"/>
        <v>0</v>
      </c>
      <c r="AP112" s="346">
        <f t="shared" si="98"/>
        <v>0</v>
      </c>
      <c r="AQ112" s="346">
        <f t="shared" si="98"/>
        <v>0</v>
      </c>
      <c r="AR112" s="346">
        <f t="shared" si="98"/>
        <v>0</v>
      </c>
      <c r="AS112" s="346">
        <f t="shared" si="98"/>
        <v>0</v>
      </c>
      <c r="AT112" s="346">
        <f t="shared" si="98"/>
        <v>0</v>
      </c>
      <c r="AU112" s="346">
        <f t="shared" si="98"/>
        <v>0</v>
      </c>
      <c r="AV112" s="346">
        <f t="shared" si="98"/>
        <v>0</v>
      </c>
      <c r="AW112" s="346">
        <f t="shared" si="98"/>
        <v>0</v>
      </c>
      <c r="AX112" s="346">
        <f t="shared" si="98"/>
        <v>0</v>
      </c>
      <c r="AY112" s="346">
        <f t="shared" si="98"/>
        <v>0</v>
      </c>
      <c r="AZ112" s="346">
        <f t="shared" si="98"/>
        <v>0</v>
      </c>
    </row>
    <row r="113" spans="1:52">
      <c r="A113" s="346" t="s">
        <v>721</v>
      </c>
      <c r="B113" s="471">
        <v>45797</v>
      </c>
      <c r="C113" s="346" t="s">
        <v>551</v>
      </c>
      <c r="D113" s="346" t="s">
        <v>550</v>
      </c>
      <c r="E113" s="830">
        <v>54.01</v>
      </c>
      <c r="F113" s="346">
        <v>-178</v>
      </c>
      <c r="G113" s="577">
        <v>36.719900000000003</v>
      </c>
      <c r="H113" s="577">
        <f>Hoja1!H184</f>
        <v>51.93</v>
      </c>
      <c r="I113" s="467">
        <f t="shared" si="102"/>
        <v>-6536.1422000000002</v>
      </c>
      <c r="J113" s="467">
        <f t="shared" si="103"/>
        <v>-9243.5399999999991</v>
      </c>
      <c r="K113" s="467">
        <f t="shared" si="95"/>
        <v>370.23999999999967</v>
      </c>
      <c r="L113" s="770">
        <f t="shared" si="100"/>
        <v>-2707.3977999999993</v>
      </c>
      <c r="M113" s="718">
        <f t="shared" si="104"/>
        <v>-3.8511386780225851E-2</v>
      </c>
      <c r="N113" s="548">
        <f t="shared" si="101"/>
        <v>-9613.7799999999988</v>
      </c>
      <c r="O113" s="618">
        <v>0.5</v>
      </c>
      <c r="P113" s="584">
        <f t="shared" si="97"/>
        <v>-4621.7699999999995</v>
      </c>
      <c r="V113" s="346">
        <f t="shared" si="96"/>
        <v>0</v>
      </c>
      <c r="W113" s="346">
        <f t="shared" si="96"/>
        <v>0</v>
      </c>
      <c r="X113" s="346">
        <f t="shared" si="96"/>
        <v>0</v>
      </c>
      <c r="Y113" s="346">
        <f t="shared" si="96"/>
        <v>0</v>
      </c>
      <c r="Z113" s="346">
        <f t="shared" si="96"/>
        <v>0</v>
      </c>
      <c r="AA113" s="346">
        <f t="shared" si="96"/>
        <v>0</v>
      </c>
      <c r="AB113" s="346">
        <f t="shared" si="96"/>
        <v>0</v>
      </c>
      <c r="AC113" s="346">
        <f t="shared" si="96"/>
        <v>0</v>
      </c>
      <c r="AD113" s="346">
        <f t="shared" si="96"/>
        <v>0</v>
      </c>
      <c r="AE113" s="346">
        <f t="shared" si="96"/>
        <v>0</v>
      </c>
      <c r="AF113" s="346">
        <f t="shared" si="96"/>
        <v>0</v>
      </c>
      <c r="AG113" s="346">
        <f t="shared" si="96"/>
        <v>-9243.5399999999991</v>
      </c>
      <c r="AH113" s="346">
        <f t="shared" si="96"/>
        <v>0</v>
      </c>
      <c r="AI113" s="346">
        <f t="shared" si="96"/>
        <v>0</v>
      </c>
      <c r="AJ113" s="346">
        <f t="shared" si="96"/>
        <v>0</v>
      </c>
      <c r="AK113" s="346">
        <f t="shared" si="96"/>
        <v>0</v>
      </c>
      <c r="AL113" s="346">
        <f t="shared" si="98"/>
        <v>0</v>
      </c>
      <c r="AM113" s="346">
        <f t="shared" si="98"/>
        <v>0</v>
      </c>
      <c r="AN113" s="346">
        <f t="shared" si="98"/>
        <v>0</v>
      </c>
      <c r="AO113" s="346">
        <f t="shared" si="98"/>
        <v>0</v>
      </c>
      <c r="AP113" s="346">
        <f t="shared" si="98"/>
        <v>0</v>
      </c>
      <c r="AQ113" s="346">
        <f t="shared" si="98"/>
        <v>0</v>
      </c>
      <c r="AR113" s="346">
        <f t="shared" si="98"/>
        <v>0</v>
      </c>
      <c r="AS113" s="346">
        <f t="shared" si="98"/>
        <v>0</v>
      </c>
      <c r="AT113" s="346">
        <f t="shared" si="98"/>
        <v>0</v>
      </c>
      <c r="AU113" s="346">
        <f t="shared" si="98"/>
        <v>0</v>
      </c>
      <c r="AV113" s="346">
        <f t="shared" si="98"/>
        <v>0</v>
      </c>
      <c r="AW113" s="346">
        <f t="shared" si="98"/>
        <v>0</v>
      </c>
      <c r="AX113" s="346">
        <f t="shared" si="98"/>
        <v>0</v>
      </c>
      <c r="AY113" s="346">
        <f t="shared" si="98"/>
        <v>0</v>
      </c>
      <c r="AZ113" s="346">
        <f t="shared" si="98"/>
        <v>0</v>
      </c>
    </row>
    <row r="114" spans="1:52">
      <c r="A114" s="346" t="s">
        <v>721</v>
      </c>
      <c r="B114" s="471">
        <v>45814</v>
      </c>
      <c r="C114" s="346" t="s">
        <v>551</v>
      </c>
      <c r="D114" s="346" t="s">
        <v>550</v>
      </c>
      <c r="E114" s="830">
        <v>54.01</v>
      </c>
      <c r="F114" s="346">
        <v>-188</v>
      </c>
      <c r="G114" s="577">
        <v>38.6143</v>
      </c>
      <c r="H114" s="577">
        <f>Hoja1!H184</f>
        <v>51.93</v>
      </c>
      <c r="I114" s="467">
        <f t="shared" si="102"/>
        <v>-7259.4884000000002</v>
      </c>
      <c r="J114" s="467">
        <f t="shared" si="103"/>
        <v>-9762.84</v>
      </c>
      <c r="K114" s="467">
        <f t="shared" si="95"/>
        <v>391.03999999999968</v>
      </c>
      <c r="L114" s="770">
        <f t="shared" si="100"/>
        <v>-2503.3516</v>
      </c>
      <c r="M114" s="718">
        <f t="shared" si="104"/>
        <v>-3.8511386780225851E-2</v>
      </c>
      <c r="N114" s="548">
        <f t="shared" si="101"/>
        <v>-10153.879999999999</v>
      </c>
      <c r="O114" s="618">
        <v>0.5</v>
      </c>
      <c r="P114" s="584">
        <f t="shared" si="97"/>
        <v>-4881.42</v>
      </c>
      <c r="V114" s="346">
        <f t="shared" si="96"/>
        <v>0</v>
      </c>
      <c r="W114" s="346">
        <f t="shared" si="96"/>
        <v>0</v>
      </c>
      <c r="X114" s="346">
        <f t="shared" si="96"/>
        <v>0</v>
      </c>
      <c r="Y114" s="346">
        <f t="shared" si="96"/>
        <v>0</v>
      </c>
      <c r="Z114" s="346">
        <f t="shared" si="96"/>
        <v>0</v>
      </c>
      <c r="AA114" s="346">
        <f t="shared" si="96"/>
        <v>0</v>
      </c>
      <c r="AB114" s="346">
        <f t="shared" si="96"/>
        <v>0</v>
      </c>
      <c r="AC114" s="346">
        <f t="shared" si="96"/>
        <v>0</v>
      </c>
      <c r="AD114" s="346">
        <f t="shared" si="96"/>
        <v>0</v>
      </c>
      <c r="AE114" s="346">
        <f t="shared" si="96"/>
        <v>0</v>
      </c>
      <c r="AF114" s="346">
        <f t="shared" si="96"/>
        <v>0</v>
      </c>
      <c r="AG114" s="346">
        <f t="shared" si="96"/>
        <v>-9762.84</v>
      </c>
      <c r="AH114" s="346">
        <f t="shared" si="96"/>
        <v>0</v>
      </c>
      <c r="AI114" s="346">
        <f t="shared" si="96"/>
        <v>0</v>
      </c>
      <c r="AJ114" s="346">
        <f t="shared" si="96"/>
        <v>0</v>
      </c>
      <c r="AK114" s="346">
        <f t="shared" si="96"/>
        <v>0</v>
      </c>
      <c r="AL114" s="346">
        <f t="shared" si="98"/>
        <v>0</v>
      </c>
      <c r="AM114" s="346">
        <f t="shared" si="98"/>
        <v>0</v>
      </c>
      <c r="AN114" s="346">
        <f t="shared" si="98"/>
        <v>0</v>
      </c>
      <c r="AO114" s="346">
        <f t="shared" si="98"/>
        <v>0</v>
      </c>
      <c r="AP114" s="346">
        <f t="shared" si="98"/>
        <v>0</v>
      </c>
      <c r="AQ114" s="346">
        <f t="shared" si="98"/>
        <v>0</v>
      </c>
      <c r="AR114" s="346">
        <f t="shared" si="98"/>
        <v>0</v>
      </c>
      <c r="AS114" s="346">
        <f t="shared" si="98"/>
        <v>0</v>
      </c>
      <c r="AT114" s="346">
        <f t="shared" si="98"/>
        <v>0</v>
      </c>
      <c r="AU114" s="346">
        <f t="shared" si="98"/>
        <v>0</v>
      </c>
      <c r="AV114" s="346">
        <f t="shared" si="98"/>
        <v>0</v>
      </c>
      <c r="AW114" s="346">
        <f t="shared" si="98"/>
        <v>0</v>
      </c>
      <c r="AX114" s="346">
        <f t="shared" si="98"/>
        <v>0</v>
      </c>
      <c r="AY114" s="346">
        <f t="shared" si="98"/>
        <v>0</v>
      </c>
      <c r="AZ114" s="346">
        <f t="shared" si="98"/>
        <v>0</v>
      </c>
    </row>
    <row r="115" spans="1:52">
      <c r="A115" s="346" t="s">
        <v>721</v>
      </c>
      <c r="B115" s="471">
        <v>45909</v>
      </c>
      <c r="C115" s="346" t="s">
        <v>551</v>
      </c>
      <c r="D115" s="346" t="s">
        <v>550</v>
      </c>
      <c r="E115" s="830">
        <v>54.01</v>
      </c>
      <c r="F115" s="346">
        <v>-198</v>
      </c>
      <c r="G115" s="577">
        <v>47.202599999999997</v>
      </c>
      <c r="H115" s="577">
        <f>Hoja1!H184</f>
        <v>51.93</v>
      </c>
      <c r="I115" s="467">
        <f>G115*F115</f>
        <v>-9346.1147999999994</v>
      </c>
      <c r="J115" s="467">
        <f>H115*F115</f>
        <v>-10282.14</v>
      </c>
      <c r="K115" s="467">
        <f t="shared" si="95"/>
        <v>411.83999999999969</v>
      </c>
      <c r="L115" s="770">
        <f t="shared" si="100"/>
        <v>-936.02520000000061</v>
      </c>
      <c r="M115" s="718">
        <f t="shared" si="104"/>
        <v>-3.8511386780225851E-2</v>
      </c>
      <c r="N115" s="548">
        <f t="shared" si="101"/>
        <v>-10693.98</v>
      </c>
      <c r="O115" s="618">
        <v>0.5</v>
      </c>
      <c r="P115" s="584">
        <f t="shared" si="97"/>
        <v>-5141.07</v>
      </c>
      <c r="V115" s="346">
        <f t="shared" si="96"/>
        <v>0</v>
      </c>
      <c r="W115" s="346">
        <f t="shared" si="96"/>
        <v>0</v>
      </c>
      <c r="X115" s="346">
        <f t="shared" si="96"/>
        <v>0</v>
      </c>
      <c r="Y115" s="346">
        <f t="shared" si="96"/>
        <v>0</v>
      </c>
      <c r="Z115" s="346">
        <f t="shared" si="96"/>
        <v>0</v>
      </c>
      <c r="AA115" s="346">
        <f t="shared" si="96"/>
        <v>0</v>
      </c>
      <c r="AB115" s="346">
        <f t="shared" si="96"/>
        <v>0</v>
      </c>
      <c r="AC115" s="346">
        <f t="shared" si="96"/>
        <v>0</v>
      </c>
      <c r="AD115" s="346">
        <f t="shared" si="96"/>
        <v>0</v>
      </c>
      <c r="AE115" s="346">
        <f t="shared" si="96"/>
        <v>0</v>
      </c>
      <c r="AF115" s="346">
        <f t="shared" si="96"/>
        <v>0</v>
      </c>
      <c r="AG115" s="346">
        <f t="shared" si="96"/>
        <v>-10282.14</v>
      </c>
      <c r="AH115" s="346">
        <f t="shared" si="96"/>
        <v>0</v>
      </c>
      <c r="AI115" s="346">
        <f t="shared" si="96"/>
        <v>0</v>
      </c>
      <c r="AJ115" s="346">
        <f t="shared" si="96"/>
        <v>0</v>
      </c>
      <c r="AK115" s="346">
        <f t="shared" si="96"/>
        <v>0</v>
      </c>
      <c r="AL115" s="346">
        <f t="shared" si="98"/>
        <v>0</v>
      </c>
      <c r="AM115" s="346">
        <f t="shared" si="98"/>
        <v>0</v>
      </c>
      <c r="AN115" s="346">
        <f t="shared" si="98"/>
        <v>0</v>
      </c>
      <c r="AO115" s="346">
        <f t="shared" si="98"/>
        <v>0</v>
      </c>
      <c r="AP115" s="346">
        <f t="shared" si="98"/>
        <v>0</v>
      </c>
      <c r="AQ115" s="346">
        <f t="shared" si="98"/>
        <v>0</v>
      </c>
      <c r="AR115" s="346">
        <f t="shared" si="98"/>
        <v>0</v>
      </c>
      <c r="AS115" s="346">
        <f t="shared" si="98"/>
        <v>0</v>
      </c>
      <c r="AT115" s="346">
        <f t="shared" si="98"/>
        <v>0</v>
      </c>
      <c r="AU115" s="346">
        <f t="shared" si="98"/>
        <v>0</v>
      </c>
      <c r="AV115" s="346">
        <f t="shared" si="98"/>
        <v>0</v>
      </c>
      <c r="AW115" s="346">
        <f t="shared" si="98"/>
        <v>0</v>
      </c>
      <c r="AX115" s="346">
        <f t="shared" si="98"/>
        <v>0</v>
      </c>
      <c r="AY115" s="346">
        <f t="shared" si="98"/>
        <v>0</v>
      </c>
      <c r="AZ115" s="346">
        <f t="shared" si="98"/>
        <v>0</v>
      </c>
    </row>
    <row r="116" spans="1:52">
      <c r="A116" s="346" t="s">
        <v>721</v>
      </c>
      <c r="B116" s="471">
        <v>46063</v>
      </c>
      <c r="C116" s="346" t="s">
        <v>551</v>
      </c>
      <c r="D116" s="346" t="s">
        <v>550</v>
      </c>
      <c r="E116" s="830">
        <v>54.01</v>
      </c>
      <c r="F116" s="346">
        <v>-208</v>
      </c>
      <c r="G116" s="577">
        <v>61.639899999999997</v>
      </c>
      <c r="H116" s="577">
        <f>Hoja1!H184</f>
        <v>51.93</v>
      </c>
      <c r="I116" s="467">
        <f>G116*F116</f>
        <v>-12821.099199999999</v>
      </c>
      <c r="J116" s="467">
        <f>H116*F116</f>
        <v>-10801.44</v>
      </c>
      <c r="K116" s="467">
        <f t="shared" ref="K116" si="105">(H116-E116)*F116</f>
        <v>432.63999999999965</v>
      </c>
      <c r="L116" s="770">
        <f t="shared" ref="L116" si="106">(H116-G116)*F116</f>
        <v>2019.6591999999996</v>
      </c>
      <c r="M116" s="718">
        <f t="shared" ref="M116" si="107">+(H116-E116)/E116</f>
        <v>-3.8511386780225851E-2</v>
      </c>
      <c r="N116" s="548">
        <f t="shared" ref="N116" si="108">F116*E116</f>
        <v>-11234.08</v>
      </c>
      <c r="O116" s="618">
        <v>0.5</v>
      </c>
      <c r="P116" s="584">
        <f t="shared" ref="P116" si="109">O116*J116</f>
        <v>-5400.72</v>
      </c>
      <c r="V116" s="346">
        <f t="shared" si="96"/>
        <v>0</v>
      </c>
      <c r="W116" s="346">
        <f t="shared" si="96"/>
        <v>0</v>
      </c>
      <c r="X116" s="346">
        <f t="shared" si="96"/>
        <v>0</v>
      </c>
      <c r="Y116" s="346">
        <f t="shared" si="96"/>
        <v>0</v>
      </c>
      <c r="Z116" s="346">
        <f t="shared" si="96"/>
        <v>0</v>
      </c>
      <c r="AA116" s="346">
        <f t="shared" si="96"/>
        <v>0</v>
      </c>
      <c r="AB116" s="346">
        <f t="shared" si="96"/>
        <v>0</v>
      </c>
      <c r="AC116" s="346">
        <f t="shared" si="96"/>
        <v>0</v>
      </c>
      <c r="AD116" s="346">
        <f t="shared" si="96"/>
        <v>0</v>
      </c>
      <c r="AE116" s="346">
        <f t="shared" si="96"/>
        <v>0</v>
      </c>
      <c r="AF116" s="346">
        <f t="shared" si="96"/>
        <v>0</v>
      </c>
      <c r="AG116" s="346">
        <f t="shared" si="96"/>
        <v>-10801.44</v>
      </c>
      <c r="AH116" s="346">
        <f t="shared" si="96"/>
        <v>0</v>
      </c>
      <c r="AI116" s="346">
        <f t="shared" si="96"/>
        <v>0</v>
      </c>
      <c r="AJ116" s="346">
        <f t="shared" si="96"/>
        <v>0</v>
      </c>
      <c r="AK116" s="346">
        <f t="shared" si="96"/>
        <v>0</v>
      </c>
      <c r="AL116" s="346">
        <f t="shared" si="98"/>
        <v>0</v>
      </c>
      <c r="AM116" s="346">
        <f t="shared" si="98"/>
        <v>0</v>
      </c>
      <c r="AN116" s="346">
        <f t="shared" si="98"/>
        <v>0</v>
      </c>
      <c r="AO116" s="346">
        <f t="shared" si="98"/>
        <v>0</v>
      </c>
      <c r="AP116" s="346">
        <f t="shared" si="98"/>
        <v>0</v>
      </c>
      <c r="AQ116" s="346">
        <f t="shared" si="98"/>
        <v>0</v>
      </c>
      <c r="AR116" s="346">
        <f t="shared" si="98"/>
        <v>0</v>
      </c>
      <c r="AS116" s="346">
        <f t="shared" si="98"/>
        <v>0</v>
      </c>
      <c r="AT116" s="346">
        <f t="shared" si="98"/>
        <v>0</v>
      </c>
      <c r="AU116" s="346">
        <f t="shared" si="98"/>
        <v>0</v>
      </c>
      <c r="AV116" s="346">
        <f t="shared" si="98"/>
        <v>0</v>
      </c>
      <c r="AW116" s="346">
        <f t="shared" si="98"/>
        <v>0</v>
      </c>
      <c r="AX116" s="346">
        <f t="shared" si="98"/>
        <v>0</v>
      </c>
      <c r="AY116" s="346">
        <f t="shared" si="98"/>
        <v>0</v>
      </c>
      <c r="AZ116" s="346">
        <f t="shared" si="98"/>
        <v>0</v>
      </c>
    </row>
    <row r="117" spans="1:52">
      <c r="A117" s="346" t="s">
        <v>721</v>
      </c>
      <c r="B117" s="471">
        <v>46091</v>
      </c>
      <c r="C117" s="346" t="s">
        <v>495</v>
      </c>
      <c r="D117" s="346" t="s">
        <v>495</v>
      </c>
      <c r="E117" s="765">
        <v>660.09</v>
      </c>
      <c r="F117" s="346">
        <v>-218</v>
      </c>
      <c r="G117" s="614">
        <v>653.66</v>
      </c>
      <c r="H117" s="614">
        <v>635.40499999999997</v>
      </c>
      <c r="I117" s="467">
        <f t="shared" si="102"/>
        <v>-142497.88</v>
      </c>
      <c r="J117" s="467">
        <f t="shared" si="103"/>
        <v>-138518.29</v>
      </c>
      <c r="K117" s="467">
        <f t="shared" si="95"/>
        <v>5381.3300000000127</v>
      </c>
      <c r="L117" s="770">
        <f t="shared" si="100"/>
        <v>3979.5899999999992</v>
      </c>
      <c r="M117" s="718">
        <f t="shared" si="104"/>
        <v>-3.7396415640291565E-2</v>
      </c>
      <c r="N117" s="548">
        <f t="shared" si="101"/>
        <v>-143899.62</v>
      </c>
      <c r="O117" s="618">
        <v>0.5</v>
      </c>
      <c r="P117" s="584">
        <f t="shared" si="97"/>
        <v>-69259.145000000004</v>
      </c>
      <c r="V117" s="346">
        <f t="shared" si="96"/>
        <v>0</v>
      </c>
      <c r="W117" s="346">
        <f t="shared" si="96"/>
        <v>0</v>
      </c>
      <c r="X117" s="346">
        <f t="shared" si="96"/>
        <v>0</v>
      </c>
      <c r="Y117" s="346">
        <f t="shared" si="96"/>
        <v>0</v>
      </c>
      <c r="Z117" s="346">
        <f t="shared" si="96"/>
        <v>0</v>
      </c>
      <c r="AA117" s="346">
        <f t="shared" si="96"/>
        <v>0</v>
      </c>
      <c r="AB117" s="346">
        <f t="shared" si="96"/>
        <v>0</v>
      </c>
      <c r="AC117" s="346">
        <f t="shared" si="96"/>
        <v>0</v>
      </c>
      <c r="AD117" s="346">
        <f t="shared" si="96"/>
        <v>0</v>
      </c>
      <c r="AE117" s="346">
        <f t="shared" si="96"/>
        <v>0</v>
      </c>
      <c r="AF117" s="346">
        <f t="shared" si="96"/>
        <v>0</v>
      </c>
      <c r="AG117" s="346">
        <f t="shared" si="96"/>
        <v>0</v>
      </c>
      <c r="AH117" s="346">
        <f t="shared" si="96"/>
        <v>-138518.29</v>
      </c>
      <c r="AI117" s="346">
        <f t="shared" si="96"/>
        <v>0</v>
      </c>
      <c r="AJ117" s="346">
        <f t="shared" si="96"/>
        <v>0</v>
      </c>
      <c r="AK117" s="346">
        <f t="shared" si="96"/>
        <v>0</v>
      </c>
      <c r="AL117" s="346">
        <f t="shared" si="98"/>
        <v>0</v>
      </c>
      <c r="AM117" s="346">
        <f t="shared" si="98"/>
        <v>0</v>
      </c>
      <c r="AN117" s="346">
        <f t="shared" si="98"/>
        <v>0</v>
      </c>
      <c r="AO117" s="346">
        <f t="shared" si="98"/>
        <v>0</v>
      </c>
      <c r="AP117" s="346">
        <f t="shared" si="98"/>
        <v>0</v>
      </c>
      <c r="AQ117" s="346">
        <f t="shared" si="98"/>
        <v>0</v>
      </c>
      <c r="AR117" s="346">
        <f t="shared" si="98"/>
        <v>0</v>
      </c>
      <c r="AS117" s="346">
        <f t="shared" si="98"/>
        <v>0</v>
      </c>
      <c r="AT117" s="346">
        <f t="shared" si="98"/>
        <v>0</v>
      </c>
      <c r="AU117" s="346">
        <f t="shared" si="98"/>
        <v>0</v>
      </c>
      <c r="AV117" s="346">
        <f t="shared" si="98"/>
        <v>0</v>
      </c>
      <c r="AW117" s="346">
        <f t="shared" si="98"/>
        <v>0</v>
      </c>
      <c r="AX117" s="346">
        <f t="shared" si="98"/>
        <v>0</v>
      </c>
      <c r="AY117" s="346">
        <f t="shared" si="98"/>
        <v>0</v>
      </c>
      <c r="AZ117" s="346">
        <f t="shared" si="98"/>
        <v>0</v>
      </c>
    </row>
    <row r="118" spans="1:52">
      <c r="A118" s="346" t="s">
        <v>721</v>
      </c>
      <c r="B118" s="471">
        <v>45875</v>
      </c>
      <c r="C118" s="346" t="s">
        <v>495</v>
      </c>
      <c r="D118" s="346" t="s">
        <v>495</v>
      </c>
      <c r="E118" s="765">
        <v>660.09</v>
      </c>
      <c r="F118" s="346">
        <v>-228</v>
      </c>
      <c r="G118" s="577">
        <v>766.56</v>
      </c>
      <c r="H118" s="614">
        <f>Hoja1!H28</f>
        <v>627.48</v>
      </c>
      <c r="I118" s="467">
        <f t="shared" si="102"/>
        <v>-174775.67999999999</v>
      </c>
      <c r="J118" s="467">
        <f t="shared" si="103"/>
        <v>-143065.44</v>
      </c>
      <c r="K118" s="467">
        <f t="shared" si="95"/>
        <v>7435.0800000000036</v>
      </c>
      <c r="L118" s="770">
        <f t="shared" si="100"/>
        <v>31710.239999999983</v>
      </c>
      <c r="M118" s="718">
        <f t="shared" si="104"/>
        <v>-4.9402354224423961E-2</v>
      </c>
      <c r="N118" s="548">
        <f t="shared" si="101"/>
        <v>-150500.52000000002</v>
      </c>
      <c r="O118" s="618">
        <v>0.75</v>
      </c>
      <c r="P118" s="584">
        <f t="shared" si="97"/>
        <v>-107299.08</v>
      </c>
      <c r="V118" s="346">
        <f t="shared" si="96"/>
        <v>0</v>
      </c>
      <c r="W118" s="346">
        <f t="shared" si="96"/>
        <v>0</v>
      </c>
      <c r="X118" s="346">
        <f t="shared" si="96"/>
        <v>0</v>
      </c>
      <c r="Y118" s="346">
        <f t="shared" si="96"/>
        <v>0</v>
      </c>
      <c r="Z118" s="346">
        <f t="shared" si="96"/>
        <v>0</v>
      </c>
      <c r="AA118" s="346">
        <f t="shared" si="96"/>
        <v>0</v>
      </c>
      <c r="AB118" s="346">
        <f t="shared" si="96"/>
        <v>0</v>
      </c>
      <c r="AC118" s="346">
        <f t="shared" ref="AC118:AR119" si="110">IF(AC$92=$D118,$J118,0)</f>
        <v>0</v>
      </c>
      <c r="AD118" s="346">
        <f t="shared" si="110"/>
        <v>0</v>
      </c>
      <c r="AE118" s="346">
        <f t="shared" si="110"/>
        <v>0</v>
      </c>
      <c r="AF118" s="346">
        <f t="shared" si="110"/>
        <v>0</v>
      </c>
      <c r="AG118" s="346">
        <f t="shared" si="110"/>
        <v>0</v>
      </c>
      <c r="AH118" s="346">
        <f t="shared" si="110"/>
        <v>-143065.44</v>
      </c>
      <c r="AI118" s="346">
        <f t="shared" si="110"/>
        <v>0</v>
      </c>
      <c r="AJ118" s="346">
        <f t="shared" si="110"/>
        <v>0</v>
      </c>
      <c r="AK118" s="346">
        <f t="shared" si="110"/>
        <v>0</v>
      </c>
      <c r="AL118" s="346">
        <f t="shared" si="110"/>
        <v>0</v>
      </c>
      <c r="AM118" s="346">
        <f t="shared" si="110"/>
        <v>0</v>
      </c>
      <c r="AN118" s="346">
        <f t="shared" si="110"/>
        <v>0</v>
      </c>
      <c r="AO118" s="346">
        <f t="shared" si="110"/>
        <v>0</v>
      </c>
      <c r="AP118" s="346">
        <f t="shared" si="110"/>
        <v>0</v>
      </c>
      <c r="AQ118" s="346">
        <f t="shared" si="110"/>
        <v>0</v>
      </c>
      <c r="AR118" s="346">
        <f t="shared" si="110"/>
        <v>0</v>
      </c>
      <c r="AS118" s="346">
        <f t="shared" si="98"/>
        <v>0</v>
      </c>
      <c r="AT118" s="346">
        <f t="shared" si="98"/>
        <v>0</v>
      </c>
      <c r="AU118" s="346">
        <f t="shared" si="98"/>
        <v>0</v>
      </c>
      <c r="AV118" s="346">
        <f t="shared" si="98"/>
        <v>0</v>
      </c>
      <c r="AW118" s="346">
        <f t="shared" si="98"/>
        <v>0</v>
      </c>
      <c r="AX118" s="346">
        <f t="shared" si="98"/>
        <v>0</v>
      </c>
      <c r="AY118" s="346">
        <f t="shared" si="98"/>
        <v>0</v>
      </c>
      <c r="AZ118" s="346">
        <f t="shared" si="98"/>
        <v>0</v>
      </c>
    </row>
    <row r="119" spans="1:52">
      <c r="A119" s="346" t="s">
        <v>721</v>
      </c>
      <c r="B119" s="471">
        <v>45875</v>
      </c>
      <c r="C119" s="346" t="s">
        <v>495</v>
      </c>
      <c r="D119" s="346" t="s">
        <v>495</v>
      </c>
      <c r="E119" s="765">
        <v>660.09</v>
      </c>
      <c r="F119" s="346">
        <v>-238</v>
      </c>
      <c r="G119" s="577">
        <v>783.10500000000002</v>
      </c>
      <c r="H119" s="614">
        <f>Hoja1!H28</f>
        <v>627.48</v>
      </c>
      <c r="I119" s="467">
        <f>G119*F119</f>
        <v>-186378.99</v>
      </c>
      <c r="J119" s="467">
        <f>H119*F119</f>
        <v>-149340.24</v>
      </c>
      <c r="K119" s="467">
        <f t="shared" si="95"/>
        <v>7761.180000000003</v>
      </c>
      <c r="L119" s="770">
        <f t="shared" si="100"/>
        <v>37038.75</v>
      </c>
      <c r="M119" s="718">
        <f t="shared" si="104"/>
        <v>-4.9402354224423961E-2</v>
      </c>
      <c r="N119" s="548">
        <f t="shared" si="101"/>
        <v>-157101.42000000001</v>
      </c>
      <c r="O119" s="618">
        <v>0.5</v>
      </c>
      <c r="P119" s="584">
        <f t="shared" si="97"/>
        <v>-74670.12</v>
      </c>
      <c r="V119" s="346">
        <f t="shared" ref="V119:AK143" si="111">IF(V$92=$D119,$J119,0)</f>
        <v>0</v>
      </c>
      <c r="W119" s="346">
        <f t="shared" si="111"/>
        <v>0</v>
      </c>
      <c r="X119" s="346">
        <f t="shared" si="111"/>
        <v>0</v>
      </c>
      <c r="Y119" s="346">
        <f t="shared" si="111"/>
        <v>0</v>
      </c>
      <c r="Z119" s="346">
        <f t="shared" si="111"/>
        <v>0</v>
      </c>
      <c r="AA119" s="346">
        <f t="shared" si="111"/>
        <v>0</v>
      </c>
      <c r="AB119" s="346">
        <f t="shared" si="111"/>
        <v>0</v>
      </c>
      <c r="AC119" s="346">
        <f t="shared" si="111"/>
        <v>0</v>
      </c>
      <c r="AD119" s="346">
        <f t="shared" si="111"/>
        <v>0</v>
      </c>
      <c r="AE119" s="346">
        <f t="shared" si="111"/>
        <v>0</v>
      </c>
      <c r="AF119" s="346">
        <f t="shared" si="111"/>
        <v>0</v>
      </c>
      <c r="AG119" s="346">
        <f t="shared" si="111"/>
        <v>0</v>
      </c>
      <c r="AH119" s="346">
        <f t="shared" si="111"/>
        <v>-149340.24</v>
      </c>
      <c r="AI119" s="346">
        <f t="shared" si="111"/>
        <v>0</v>
      </c>
      <c r="AJ119" s="346">
        <f t="shared" si="111"/>
        <v>0</v>
      </c>
      <c r="AK119" s="346">
        <f t="shared" si="111"/>
        <v>0</v>
      </c>
      <c r="AL119" s="346">
        <f t="shared" si="110"/>
        <v>0</v>
      </c>
      <c r="AM119" s="346">
        <f t="shared" si="110"/>
        <v>0</v>
      </c>
      <c r="AN119" s="346">
        <f t="shared" si="110"/>
        <v>0</v>
      </c>
      <c r="AO119" s="346">
        <f t="shared" si="110"/>
        <v>0</v>
      </c>
      <c r="AP119" s="346">
        <f t="shared" si="110"/>
        <v>0</v>
      </c>
      <c r="AQ119" s="346">
        <f t="shared" si="110"/>
        <v>0</v>
      </c>
      <c r="AR119" s="346">
        <f t="shared" si="110"/>
        <v>0</v>
      </c>
      <c r="AS119" s="346">
        <f t="shared" si="98"/>
        <v>0</v>
      </c>
      <c r="AT119" s="346">
        <f t="shared" si="98"/>
        <v>0</v>
      </c>
      <c r="AU119" s="346">
        <f t="shared" si="98"/>
        <v>0</v>
      </c>
      <c r="AV119" s="346">
        <f t="shared" si="98"/>
        <v>0</v>
      </c>
      <c r="AW119" s="346">
        <f t="shared" si="98"/>
        <v>0</v>
      </c>
      <c r="AX119" s="346">
        <f t="shared" si="98"/>
        <v>0</v>
      </c>
      <c r="AY119" s="346">
        <f t="shared" si="98"/>
        <v>0</v>
      </c>
      <c r="AZ119" s="346">
        <f t="shared" ref="W119:AZ128" si="112">IF(AZ$92=$D119,$J119,0)</f>
        <v>0</v>
      </c>
    </row>
    <row r="120" spans="1:52">
      <c r="A120" s="346" t="s">
        <v>721</v>
      </c>
      <c r="B120" s="471">
        <v>45875</v>
      </c>
      <c r="C120" s="346" t="s">
        <v>196</v>
      </c>
      <c r="D120" s="346" t="s">
        <v>196</v>
      </c>
      <c r="E120" s="765">
        <v>483.62</v>
      </c>
      <c r="F120" s="346">
        <v>-248</v>
      </c>
      <c r="G120" s="577">
        <v>527.12080000000003</v>
      </c>
      <c r="H120" s="577">
        <f>Hoja1!H35</f>
        <v>376.91999999999996</v>
      </c>
      <c r="I120" s="467">
        <f t="shared" si="102"/>
        <v>-130725.9584</v>
      </c>
      <c r="J120" s="467">
        <f t="shared" si="103"/>
        <v>-93476.159999999989</v>
      </c>
      <c r="K120" s="467">
        <f t="shared" si="95"/>
        <v>26461.600000000013</v>
      </c>
      <c r="L120" s="770">
        <f t="shared" si="100"/>
        <v>37249.798400000014</v>
      </c>
      <c r="M120" s="718">
        <f t="shared" si="104"/>
        <v>-0.22062776560109185</v>
      </c>
      <c r="N120" s="548">
        <f t="shared" si="101"/>
        <v>-119937.76</v>
      </c>
      <c r="O120" s="618">
        <v>0.75</v>
      </c>
      <c r="P120" s="584">
        <f t="shared" si="97"/>
        <v>-70107.12</v>
      </c>
      <c r="V120" s="346">
        <f t="shared" si="111"/>
        <v>0</v>
      </c>
      <c r="W120" s="346">
        <f t="shared" si="112"/>
        <v>0</v>
      </c>
      <c r="X120" s="346">
        <f t="shared" si="112"/>
        <v>0</v>
      </c>
      <c r="Y120" s="346">
        <f t="shared" si="112"/>
        <v>0</v>
      </c>
      <c r="Z120" s="346">
        <f t="shared" si="112"/>
        <v>0</v>
      </c>
      <c r="AA120" s="346">
        <f t="shared" si="112"/>
        <v>0</v>
      </c>
      <c r="AB120" s="346">
        <f t="shared" si="112"/>
        <v>0</v>
      </c>
      <c r="AC120" s="346">
        <f t="shared" si="112"/>
        <v>0</v>
      </c>
      <c r="AD120" s="346">
        <f t="shared" si="112"/>
        <v>0</v>
      </c>
      <c r="AE120" s="346">
        <f t="shared" si="112"/>
        <v>0</v>
      </c>
      <c r="AF120" s="346">
        <f t="shared" si="112"/>
        <v>0</v>
      </c>
      <c r="AG120" s="346">
        <f t="shared" si="112"/>
        <v>0</v>
      </c>
      <c r="AH120" s="346">
        <f t="shared" si="112"/>
        <v>0</v>
      </c>
      <c r="AI120" s="346">
        <f t="shared" si="112"/>
        <v>-93476.159999999989</v>
      </c>
      <c r="AJ120" s="346">
        <f t="shared" si="112"/>
        <v>0</v>
      </c>
      <c r="AK120" s="346">
        <f t="shared" si="112"/>
        <v>0</v>
      </c>
      <c r="AL120" s="346">
        <f t="shared" si="112"/>
        <v>0</v>
      </c>
      <c r="AM120" s="346">
        <f t="shared" si="112"/>
        <v>0</v>
      </c>
      <c r="AN120" s="346">
        <f t="shared" si="112"/>
        <v>0</v>
      </c>
      <c r="AO120" s="346">
        <f t="shared" si="112"/>
        <v>0</v>
      </c>
      <c r="AP120" s="346">
        <f t="shared" si="112"/>
        <v>0</v>
      </c>
      <c r="AQ120" s="346">
        <f t="shared" si="112"/>
        <v>0</v>
      </c>
      <c r="AR120" s="346">
        <f t="shared" si="112"/>
        <v>0</v>
      </c>
      <c r="AS120" s="346">
        <f t="shared" si="112"/>
        <v>0</v>
      </c>
      <c r="AT120" s="346">
        <f t="shared" si="112"/>
        <v>0</v>
      </c>
      <c r="AU120" s="346">
        <f t="shared" si="112"/>
        <v>0</v>
      </c>
      <c r="AV120" s="346">
        <f t="shared" si="112"/>
        <v>0</v>
      </c>
      <c r="AW120" s="346">
        <f t="shared" si="112"/>
        <v>0</v>
      </c>
      <c r="AX120" s="346">
        <f t="shared" si="112"/>
        <v>0</v>
      </c>
      <c r="AY120" s="346">
        <f t="shared" si="112"/>
        <v>0</v>
      </c>
      <c r="AZ120" s="346">
        <f t="shared" si="112"/>
        <v>0</v>
      </c>
    </row>
    <row r="121" spans="1:52">
      <c r="A121" s="346" t="s">
        <v>721</v>
      </c>
      <c r="B121" s="471">
        <v>46056</v>
      </c>
      <c r="C121" s="346" t="s">
        <v>196</v>
      </c>
      <c r="D121" s="346" t="s">
        <v>196</v>
      </c>
      <c r="E121" s="765"/>
      <c r="F121" s="346">
        <v>-258</v>
      </c>
      <c r="G121" s="577">
        <v>415.19079199999999</v>
      </c>
      <c r="H121" s="577">
        <f>Hoja1!H35</f>
        <v>376.91999999999996</v>
      </c>
      <c r="I121" s="467">
        <f t="shared" ref="I121" si="113">G121*F121</f>
        <v>-107119.224336</v>
      </c>
      <c r="J121" s="467">
        <f t="shared" ref="J121" si="114">H121*F121</f>
        <v>-97245.359999999986</v>
      </c>
      <c r="K121" s="467">
        <f t="shared" ref="K121" si="115">(H121-E121)*F121</f>
        <v>-97245.359999999986</v>
      </c>
      <c r="L121" s="770">
        <f t="shared" ref="L121" si="116">(H121-G121)*F121</f>
        <v>9873.8643360000078</v>
      </c>
      <c r="M121" s="718">
        <f>+(H121-G121)/G121</f>
        <v>-9.2176398748265179E-2</v>
      </c>
      <c r="N121" s="548">
        <f t="shared" ref="N121" si="117">F121*E121</f>
        <v>0</v>
      </c>
      <c r="O121" s="618">
        <v>0.5</v>
      </c>
      <c r="P121" s="584">
        <f t="shared" ref="P121" si="118">O121*J121</f>
        <v>-48622.679999999993</v>
      </c>
      <c r="V121" s="346">
        <f t="shared" si="111"/>
        <v>0</v>
      </c>
      <c r="W121" s="346">
        <f t="shared" si="112"/>
        <v>0</v>
      </c>
      <c r="X121" s="346">
        <f t="shared" si="112"/>
        <v>0</v>
      </c>
      <c r="Y121" s="346">
        <f t="shared" si="112"/>
        <v>0</v>
      </c>
      <c r="Z121" s="346">
        <f t="shared" si="112"/>
        <v>0</v>
      </c>
      <c r="AA121" s="346">
        <f t="shared" si="112"/>
        <v>0</v>
      </c>
      <c r="AB121" s="346">
        <f t="shared" si="112"/>
        <v>0</v>
      </c>
      <c r="AC121" s="346">
        <f t="shared" si="112"/>
        <v>0</v>
      </c>
      <c r="AD121" s="346">
        <f t="shared" si="112"/>
        <v>0</v>
      </c>
      <c r="AE121" s="346">
        <f t="shared" si="112"/>
        <v>0</v>
      </c>
      <c r="AF121" s="346">
        <f t="shared" si="112"/>
        <v>0</v>
      </c>
      <c r="AG121" s="346">
        <f t="shared" si="112"/>
        <v>0</v>
      </c>
      <c r="AH121" s="346">
        <f t="shared" si="112"/>
        <v>0</v>
      </c>
      <c r="AI121" s="346">
        <f t="shared" si="112"/>
        <v>-97245.359999999986</v>
      </c>
      <c r="AJ121" s="346">
        <f t="shared" si="112"/>
        <v>0</v>
      </c>
      <c r="AK121" s="346">
        <f t="shared" si="112"/>
        <v>0</v>
      </c>
      <c r="AL121" s="346">
        <f t="shared" si="112"/>
        <v>0</v>
      </c>
      <c r="AM121" s="346">
        <f t="shared" si="112"/>
        <v>0</v>
      </c>
      <c r="AN121" s="346">
        <f t="shared" si="112"/>
        <v>0</v>
      </c>
      <c r="AO121" s="346">
        <f t="shared" si="112"/>
        <v>0</v>
      </c>
      <c r="AP121" s="346">
        <f t="shared" si="112"/>
        <v>0</v>
      </c>
      <c r="AQ121" s="346">
        <f t="shared" si="112"/>
        <v>0</v>
      </c>
      <c r="AR121" s="346">
        <f t="shared" si="112"/>
        <v>0</v>
      </c>
      <c r="AS121" s="346">
        <f t="shared" si="112"/>
        <v>0</v>
      </c>
      <c r="AT121" s="346">
        <f t="shared" si="112"/>
        <v>0</v>
      </c>
      <c r="AU121" s="346">
        <f t="shared" si="112"/>
        <v>0</v>
      </c>
      <c r="AV121" s="346">
        <f t="shared" si="112"/>
        <v>0</v>
      </c>
      <c r="AW121" s="346">
        <f t="shared" si="112"/>
        <v>0</v>
      </c>
      <c r="AX121" s="346">
        <f t="shared" si="112"/>
        <v>0</v>
      </c>
      <c r="AY121" s="346">
        <f t="shared" si="112"/>
        <v>0</v>
      </c>
      <c r="AZ121" s="346">
        <f t="shared" si="112"/>
        <v>0</v>
      </c>
    </row>
    <row r="122" spans="1:52">
      <c r="A122" s="346" t="s">
        <v>721</v>
      </c>
      <c r="B122" s="471">
        <v>45870</v>
      </c>
      <c r="C122" s="346" t="s">
        <v>275</v>
      </c>
      <c r="D122" s="346" t="s">
        <v>275</v>
      </c>
      <c r="E122" s="765">
        <v>186.5</v>
      </c>
      <c r="F122" s="346">
        <v>-268</v>
      </c>
      <c r="G122" s="614">
        <v>172.36519999999999</v>
      </c>
      <c r="H122" s="614">
        <f>Hoja1!H133</f>
        <v>188.32999999999998</v>
      </c>
      <c r="I122" s="467">
        <f t="shared" si="102"/>
        <v>-46193.873599999999</v>
      </c>
      <c r="J122" s="467">
        <f t="shared" si="103"/>
        <v>-50472.439999999995</v>
      </c>
      <c r="K122" s="467">
        <f t="shared" si="95"/>
        <v>-490.43999999999573</v>
      </c>
      <c r="L122" s="770">
        <f t="shared" si="100"/>
        <v>-4278.5663999999988</v>
      </c>
      <c r="M122" s="718">
        <f t="shared" si="104"/>
        <v>9.8123324396781984E-3</v>
      </c>
      <c r="N122" s="548">
        <f t="shared" si="101"/>
        <v>-49982</v>
      </c>
      <c r="O122" s="618">
        <v>0.5</v>
      </c>
      <c r="P122" s="584">
        <f t="shared" si="97"/>
        <v>-25236.219999999998</v>
      </c>
      <c r="V122" s="346">
        <f t="shared" si="111"/>
        <v>0</v>
      </c>
      <c r="W122" s="346">
        <f t="shared" si="112"/>
        <v>0</v>
      </c>
      <c r="X122" s="346">
        <f t="shared" si="112"/>
        <v>0</v>
      </c>
      <c r="Y122" s="346">
        <f t="shared" si="112"/>
        <v>0</v>
      </c>
      <c r="Z122" s="346">
        <f t="shared" si="112"/>
        <v>0</v>
      </c>
      <c r="AA122" s="346">
        <f t="shared" si="112"/>
        <v>0</v>
      </c>
      <c r="AB122" s="346">
        <f t="shared" si="112"/>
        <v>0</v>
      </c>
      <c r="AC122" s="346">
        <f t="shared" si="112"/>
        <v>0</v>
      </c>
      <c r="AD122" s="346">
        <f t="shared" si="112"/>
        <v>0</v>
      </c>
      <c r="AE122" s="346">
        <f t="shared" si="112"/>
        <v>0</v>
      </c>
      <c r="AF122" s="346">
        <f t="shared" si="112"/>
        <v>0</v>
      </c>
      <c r="AG122" s="346">
        <f t="shared" si="112"/>
        <v>0</v>
      </c>
      <c r="AH122" s="346">
        <f t="shared" si="112"/>
        <v>0</v>
      </c>
      <c r="AI122" s="346">
        <f t="shared" si="112"/>
        <v>0</v>
      </c>
      <c r="AJ122" s="346">
        <f t="shared" si="112"/>
        <v>-50472.439999999995</v>
      </c>
      <c r="AK122" s="346">
        <f t="shared" si="112"/>
        <v>0</v>
      </c>
      <c r="AL122" s="346">
        <f t="shared" si="112"/>
        <v>0</v>
      </c>
      <c r="AM122" s="346">
        <f t="shared" si="112"/>
        <v>0</v>
      </c>
      <c r="AN122" s="346">
        <f t="shared" si="112"/>
        <v>0</v>
      </c>
      <c r="AO122" s="346">
        <f t="shared" si="112"/>
        <v>0</v>
      </c>
      <c r="AP122" s="346">
        <f t="shared" si="112"/>
        <v>0</v>
      </c>
      <c r="AQ122" s="346">
        <f t="shared" si="112"/>
        <v>0</v>
      </c>
      <c r="AR122" s="346">
        <f t="shared" si="112"/>
        <v>0</v>
      </c>
      <c r="AS122" s="346">
        <f t="shared" si="112"/>
        <v>0</v>
      </c>
      <c r="AT122" s="346">
        <f t="shared" si="112"/>
        <v>0</v>
      </c>
      <c r="AU122" s="346">
        <f t="shared" si="112"/>
        <v>0</v>
      </c>
      <c r="AV122" s="346">
        <f t="shared" si="112"/>
        <v>0</v>
      </c>
      <c r="AW122" s="346">
        <f t="shared" si="112"/>
        <v>0</v>
      </c>
      <c r="AX122" s="346">
        <f t="shared" si="112"/>
        <v>0</v>
      </c>
      <c r="AY122" s="346">
        <f t="shared" si="112"/>
        <v>0</v>
      </c>
      <c r="AZ122" s="346">
        <f t="shared" si="112"/>
        <v>0</v>
      </c>
    </row>
    <row r="123" spans="1:52">
      <c r="A123" s="346" t="s">
        <v>721</v>
      </c>
      <c r="B123" s="471">
        <v>45873</v>
      </c>
      <c r="C123" s="346" t="s">
        <v>275</v>
      </c>
      <c r="D123" s="346" t="s">
        <v>275</v>
      </c>
      <c r="E123" s="765">
        <v>186.5</v>
      </c>
      <c r="F123" s="346">
        <v>-278</v>
      </c>
      <c r="G123" s="614">
        <v>178.66990000000001</v>
      </c>
      <c r="H123" s="614">
        <f>Hoja1!H133</f>
        <v>188.32999999999998</v>
      </c>
      <c r="I123" s="467">
        <f t="shared" si="102"/>
        <v>-49670.232200000006</v>
      </c>
      <c r="J123" s="467">
        <f t="shared" si="103"/>
        <v>-52355.74</v>
      </c>
      <c r="K123" s="467">
        <f t="shared" si="95"/>
        <v>-508.73999999999558</v>
      </c>
      <c r="L123" s="770">
        <f t="shared" si="100"/>
        <v>-2685.5077999999921</v>
      </c>
      <c r="M123" s="718">
        <f t="shared" si="104"/>
        <v>9.8123324396781984E-3</v>
      </c>
      <c r="N123" s="548">
        <f t="shared" si="101"/>
        <v>-51847</v>
      </c>
      <c r="O123" s="618">
        <v>0.5</v>
      </c>
      <c r="P123" s="584">
        <f t="shared" si="97"/>
        <v>-26177.87</v>
      </c>
      <c r="V123" s="346">
        <f t="shared" si="111"/>
        <v>0</v>
      </c>
      <c r="W123" s="346">
        <f t="shared" si="112"/>
        <v>0</v>
      </c>
      <c r="X123" s="346">
        <f t="shared" si="112"/>
        <v>0</v>
      </c>
      <c r="Y123" s="346">
        <f t="shared" si="112"/>
        <v>0</v>
      </c>
      <c r="Z123" s="346">
        <f t="shared" si="112"/>
        <v>0</v>
      </c>
      <c r="AA123" s="346">
        <f t="shared" si="112"/>
        <v>0</v>
      </c>
      <c r="AB123" s="346">
        <f t="shared" si="112"/>
        <v>0</v>
      </c>
      <c r="AC123" s="346">
        <f t="shared" si="112"/>
        <v>0</v>
      </c>
      <c r="AD123" s="346">
        <f t="shared" si="112"/>
        <v>0</v>
      </c>
      <c r="AE123" s="346">
        <f t="shared" si="112"/>
        <v>0</v>
      </c>
      <c r="AF123" s="346">
        <f t="shared" si="112"/>
        <v>0</v>
      </c>
      <c r="AG123" s="346">
        <f t="shared" si="112"/>
        <v>0</v>
      </c>
      <c r="AH123" s="346">
        <f t="shared" si="112"/>
        <v>0</v>
      </c>
      <c r="AI123" s="346">
        <f t="shared" si="112"/>
        <v>0</v>
      </c>
      <c r="AJ123" s="346">
        <f t="shared" si="112"/>
        <v>-52355.74</v>
      </c>
      <c r="AK123" s="346">
        <f t="shared" si="112"/>
        <v>0</v>
      </c>
      <c r="AL123" s="346">
        <f t="shared" si="112"/>
        <v>0</v>
      </c>
      <c r="AM123" s="346">
        <f t="shared" si="112"/>
        <v>0</v>
      </c>
      <c r="AN123" s="346">
        <f t="shared" si="112"/>
        <v>0</v>
      </c>
      <c r="AO123" s="346">
        <f t="shared" si="112"/>
        <v>0</v>
      </c>
      <c r="AP123" s="346">
        <f t="shared" si="112"/>
        <v>0</v>
      </c>
      <c r="AQ123" s="346">
        <f t="shared" si="112"/>
        <v>0</v>
      </c>
      <c r="AR123" s="346">
        <f t="shared" si="112"/>
        <v>0</v>
      </c>
      <c r="AS123" s="346">
        <f t="shared" si="112"/>
        <v>0</v>
      </c>
      <c r="AT123" s="346">
        <f t="shared" si="112"/>
        <v>0</v>
      </c>
      <c r="AU123" s="346">
        <f t="shared" si="112"/>
        <v>0</v>
      </c>
      <c r="AV123" s="346">
        <f t="shared" si="112"/>
        <v>0</v>
      </c>
      <c r="AW123" s="346">
        <f t="shared" si="112"/>
        <v>0</v>
      </c>
      <c r="AX123" s="346">
        <f t="shared" si="112"/>
        <v>0</v>
      </c>
      <c r="AY123" s="346">
        <f t="shared" si="112"/>
        <v>0</v>
      </c>
      <c r="AZ123" s="346">
        <f t="shared" si="112"/>
        <v>0</v>
      </c>
    </row>
    <row r="124" spans="1:52">
      <c r="A124" s="346" t="s">
        <v>721</v>
      </c>
      <c r="B124" s="471">
        <v>45883</v>
      </c>
      <c r="C124" s="346" t="s">
        <v>275</v>
      </c>
      <c r="D124" s="346" t="s">
        <v>275</v>
      </c>
      <c r="E124" s="765">
        <v>186.5</v>
      </c>
      <c r="F124" s="346">
        <v>-288</v>
      </c>
      <c r="G124" s="614">
        <v>181.37979999999999</v>
      </c>
      <c r="H124" s="614">
        <f>Hoja1!H133</f>
        <v>188.32999999999998</v>
      </c>
      <c r="I124" s="467">
        <f>G124*F124</f>
        <v>-52237.382399999995</v>
      </c>
      <c r="J124" s="467">
        <f>H124*F124</f>
        <v>-54239.039999999994</v>
      </c>
      <c r="K124" s="467">
        <f t="shared" si="95"/>
        <v>-527.03999999999542</v>
      </c>
      <c r="L124" s="770">
        <f t="shared" si="100"/>
        <v>-2001.6575999999986</v>
      </c>
      <c r="M124" s="718">
        <f t="shared" si="104"/>
        <v>9.8123324396781984E-3</v>
      </c>
      <c r="N124" s="548">
        <f t="shared" si="101"/>
        <v>-53712</v>
      </c>
      <c r="O124" s="618">
        <v>0.5</v>
      </c>
      <c r="P124" s="584">
        <f t="shared" si="97"/>
        <v>-27119.519999999997</v>
      </c>
      <c r="V124" s="346">
        <f t="shared" si="111"/>
        <v>0</v>
      </c>
      <c r="W124" s="346">
        <f t="shared" si="112"/>
        <v>0</v>
      </c>
      <c r="X124" s="346">
        <f t="shared" si="112"/>
        <v>0</v>
      </c>
      <c r="Y124" s="346">
        <f t="shared" si="112"/>
        <v>0</v>
      </c>
      <c r="Z124" s="346">
        <f t="shared" si="112"/>
        <v>0</v>
      </c>
      <c r="AA124" s="346">
        <f t="shared" si="112"/>
        <v>0</v>
      </c>
      <c r="AB124" s="346">
        <f t="shared" si="112"/>
        <v>0</v>
      </c>
      <c r="AC124" s="346">
        <f t="shared" si="112"/>
        <v>0</v>
      </c>
      <c r="AD124" s="346">
        <f t="shared" si="112"/>
        <v>0</v>
      </c>
      <c r="AE124" s="346">
        <f t="shared" si="112"/>
        <v>0</v>
      </c>
      <c r="AF124" s="346">
        <f t="shared" si="112"/>
        <v>0</v>
      </c>
      <c r="AG124" s="346">
        <f t="shared" si="112"/>
        <v>0</v>
      </c>
      <c r="AH124" s="346">
        <f t="shared" si="112"/>
        <v>0</v>
      </c>
      <c r="AI124" s="346">
        <f t="shared" si="112"/>
        <v>0</v>
      </c>
      <c r="AJ124" s="346">
        <f t="shared" si="112"/>
        <v>-54239.039999999994</v>
      </c>
      <c r="AK124" s="346">
        <f t="shared" si="112"/>
        <v>0</v>
      </c>
      <c r="AL124" s="346">
        <f t="shared" si="112"/>
        <v>0</v>
      </c>
      <c r="AM124" s="346">
        <f t="shared" si="112"/>
        <v>0</v>
      </c>
      <c r="AN124" s="346">
        <f t="shared" si="112"/>
        <v>0</v>
      </c>
      <c r="AO124" s="346">
        <f t="shared" si="112"/>
        <v>0</v>
      </c>
      <c r="AP124" s="346">
        <f t="shared" si="112"/>
        <v>0</v>
      </c>
      <c r="AQ124" s="346">
        <f t="shared" si="112"/>
        <v>0</v>
      </c>
      <c r="AR124" s="346">
        <f t="shared" si="112"/>
        <v>0</v>
      </c>
      <c r="AS124" s="346">
        <f t="shared" si="112"/>
        <v>0</v>
      </c>
      <c r="AT124" s="346">
        <f t="shared" si="112"/>
        <v>0</v>
      </c>
      <c r="AU124" s="346">
        <f t="shared" si="112"/>
        <v>0</v>
      </c>
      <c r="AV124" s="346">
        <f t="shared" si="112"/>
        <v>0</v>
      </c>
      <c r="AW124" s="346">
        <f t="shared" si="112"/>
        <v>0</v>
      </c>
      <c r="AX124" s="346">
        <f t="shared" si="112"/>
        <v>0</v>
      </c>
      <c r="AY124" s="346">
        <f t="shared" si="112"/>
        <v>0</v>
      </c>
      <c r="AZ124" s="346">
        <f t="shared" si="112"/>
        <v>0</v>
      </c>
    </row>
    <row r="125" spans="1:52">
      <c r="A125" s="346" t="s">
        <v>721</v>
      </c>
      <c r="B125" s="471"/>
      <c r="C125" s="346" t="s">
        <v>514</v>
      </c>
      <c r="D125" s="346" t="s">
        <v>515</v>
      </c>
      <c r="E125" s="765">
        <v>31.09</v>
      </c>
      <c r="F125" s="346">
        <v>-298</v>
      </c>
      <c r="G125" s="577">
        <v>29.649000000000001</v>
      </c>
      <c r="H125" s="577">
        <f>Hoja1!H173</f>
        <v>33.32</v>
      </c>
      <c r="I125" s="467">
        <f t="shared" si="102"/>
        <v>-8835.402</v>
      </c>
      <c r="J125" s="467">
        <f t="shared" si="103"/>
        <v>-9929.36</v>
      </c>
      <c r="K125" s="467">
        <f t="shared" si="95"/>
        <v>-664.54000000000008</v>
      </c>
      <c r="L125" s="770">
        <f t="shared" si="100"/>
        <v>-1093.9579999999999</v>
      </c>
      <c r="M125" s="718">
        <f t="shared" si="104"/>
        <v>7.1727243486651673E-2</v>
      </c>
      <c r="N125" s="548">
        <f t="shared" si="101"/>
        <v>-9264.82</v>
      </c>
      <c r="O125" s="618">
        <v>0.5</v>
      </c>
      <c r="P125" s="584">
        <f t="shared" si="97"/>
        <v>-4964.68</v>
      </c>
      <c r="V125" s="346">
        <f t="shared" si="111"/>
        <v>0</v>
      </c>
      <c r="W125" s="346">
        <f t="shared" si="112"/>
        <v>0</v>
      </c>
      <c r="X125" s="346">
        <f t="shared" si="112"/>
        <v>0</v>
      </c>
      <c r="Y125" s="346">
        <f t="shared" si="112"/>
        <v>0</v>
      </c>
      <c r="Z125" s="346">
        <f t="shared" si="112"/>
        <v>0</v>
      </c>
      <c r="AA125" s="346">
        <f t="shared" si="112"/>
        <v>0</v>
      </c>
      <c r="AB125" s="346">
        <f t="shared" si="112"/>
        <v>0</v>
      </c>
      <c r="AC125" s="346">
        <f t="shared" si="112"/>
        <v>0</v>
      </c>
      <c r="AD125" s="346">
        <f t="shared" si="112"/>
        <v>0</v>
      </c>
      <c r="AE125" s="346">
        <f t="shared" si="112"/>
        <v>0</v>
      </c>
      <c r="AF125" s="346">
        <f t="shared" si="112"/>
        <v>0</v>
      </c>
      <c r="AG125" s="346">
        <f t="shared" si="112"/>
        <v>0</v>
      </c>
      <c r="AH125" s="346">
        <f t="shared" si="112"/>
        <v>0</v>
      </c>
      <c r="AI125" s="346">
        <f t="shared" si="112"/>
        <v>0</v>
      </c>
      <c r="AJ125" s="346">
        <f t="shared" si="112"/>
        <v>0</v>
      </c>
      <c r="AK125" s="346">
        <f t="shared" si="112"/>
        <v>-9929.36</v>
      </c>
      <c r="AL125" s="346">
        <f t="shared" si="112"/>
        <v>0</v>
      </c>
      <c r="AM125" s="346">
        <f t="shared" si="112"/>
        <v>0</v>
      </c>
      <c r="AN125" s="346">
        <f t="shared" si="112"/>
        <v>0</v>
      </c>
      <c r="AO125" s="346">
        <f t="shared" si="112"/>
        <v>0</v>
      </c>
      <c r="AP125" s="346">
        <f t="shared" si="112"/>
        <v>0</v>
      </c>
      <c r="AQ125" s="346">
        <f t="shared" si="112"/>
        <v>0</v>
      </c>
      <c r="AR125" s="346">
        <f t="shared" si="112"/>
        <v>0</v>
      </c>
      <c r="AS125" s="346">
        <f t="shared" si="112"/>
        <v>0</v>
      </c>
      <c r="AT125" s="346">
        <f t="shared" si="112"/>
        <v>0</v>
      </c>
      <c r="AU125" s="346">
        <f t="shared" si="112"/>
        <v>0</v>
      </c>
      <c r="AV125" s="346">
        <f t="shared" si="112"/>
        <v>0</v>
      </c>
      <c r="AW125" s="346">
        <f t="shared" si="112"/>
        <v>0</v>
      </c>
      <c r="AX125" s="346">
        <f t="shared" si="112"/>
        <v>0</v>
      </c>
      <c r="AY125" s="346">
        <f t="shared" si="112"/>
        <v>0</v>
      </c>
      <c r="AZ125" s="346">
        <f t="shared" si="112"/>
        <v>0</v>
      </c>
    </row>
    <row r="126" spans="1:52">
      <c r="A126" s="346" t="s">
        <v>721</v>
      </c>
      <c r="B126" s="471">
        <v>45701</v>
      </c>
      <c r="C126" s="346" t="s">
        <v>538</v>
      </c>
      <c r="D126" s="346" t="s">
        <v>536</v>
      </c>
      <c r="E126" s="830">
        <v>77.61</v>
      </c>
      <c r="F126" s="346">
        <v>-308</v>
      </c>
      <c r="G126" s="577">
        <v>70.819999999999993</v>
      </c>
      <c r="H126" s="577">
        <f>Hoja1!H176</f>
        <v>96.694999999999993</v>
      </c>
      <c r="I126" s="467">
        <f t="shared" si="102"/>
        <v>-21812.559999999998</v>
      </c>
      <c r="J126" s="467">
        <f t="shared" si="103"/>
        <v>-29782.059999999998</v>
      </c>
      <c r="K126" s="467">
        <f t="shared" si="95"/>
        <v>-5878.1799999999985</v>
      </c>
      <c r="L126" s="770">
        <f t="shared" si="100"/>
        <v>-7969.5</v>
      </c>
      <c r="M126" s="718">
        <f t="shared" si="104"/>
        <v>0.24590903234119307</v>
      </c>
      <c r="N126" s="548">
        <f t="shared" si="101"/>
        <v>-23903.88</v>
      </c>
      <c r="O126" s="618">
        <v>0.5</v>
      </c>
      <c r="P126" s="584">
        <f t="shared" si="97"/>
        <v>-14891.029999999999</v>
      </c>
      <c r="V126" s="346">
        <f t="shared" si="111"/>
        <v>0</v>
      </c>
      <c r="W126" s="346">
        <f t="shared" si="112"/>
        <v>0</v>
      </c>
      <c r="X126" s="346">
        <f t="shared" si="112"/>
        <v>0</v>
      </c>
      <c r="Y126" s="346">
        <f t="shared" si="112"/>
        <v>0</v>
      </c>
      <c r="Z126" s="346">
        <f t="shared" si="112"/>
        <v>0</v>
      </c>
      <c r="AA126" s="346">
        <f t="shared" si="112"/>
        <v>0</v>
      </c>
      <c r="AB126" s="346">
        <f t="shared" si="112"/>
        <v>0</v>
      </c>
      <c r="AC126" s="346">
        <f t="shared" si="112"/>
        <v>0</v>
      </c>
      <c r="AD126" s="346">
        <f t="shared" si="112"/>
        <v>0</v>
      </c>
      <c r="AE126" s="346">
        <f t="shared" si="112"/>
        <v>0</v>
      </c>
      <c r="AF126" s="346">
        <f t="shared" si="112"/>
        <v>0</v>
      </c>
      <c r="AG126" s="346">
        <f t="shared" si="112"/>
        <v>0</v>
      </c>
      <c r="AH126" s="346">
        <f t="shared" si="112"/>
        <v>0</v>
      </c>
      <c r="AI126" s="346">
        <f t="shared" si="112"/>
        <v>0</v>
      </c>
      <c r="AJ126" s="346">
        <f t="shared" si="112"/>
        <v>0</v>
      </c>
      <c r="AK126" s="346">
        <f t="shared" si="112"/>
        <v>0</v>
      </c>
      <c r="AL126" s="346">
        <f t="shared" si="112"/>
        <v>-29782.059999999998</v>
      </c>
      <c r="AM126" s="346">
        <f t="shared" si="112"/>
        <v>0</v>
      </c>
      <c r="AN126" s="346">
        <f t="shared" si="112"/>
        <v>0</v>
      </c>
      <c r="AO126" s="346">
        <f t="shared" si="112"/>
        <v>0</v>
      </c>
      <c r="AP126" s="346">
        <f t="shared" si="112"/>
        <v>0</v>
      </c>
      <c r="AQ126" s="346">
        <f t="shared" si="112"/>
        <v>0</v>
      </c>
      <c r="AR126" s="346">
        <f t="shared" si="112"/>
        <v>0</v>
      </c>
      <c r="AS126" s="346">
        <f t="shared" si="112"/>
        <v>0</v>
      </c>
      <c r="AT126" s="346">
        <f t="shared" si="112"/>
        <v>0</v>
      </c>
      <c r="AU126" s="346">
        <f t="shared" si="112"/>
        <v>0</v>
      </c>
      <c r="AV126" s="346">
        <f t="shared" si="112"/>
        <v>0</v>
      </c>
      <c r="AW126" s="346">
        <f t="shared" si="112"/>
        <v>0</v>
      </c>
      <c r="AX126" s="346">
        <f t="shared" si="112"/>
        <v>0</v>
      </c>
      <c r="AY126" s="346">
        <f t="shared" si="112"/>
        <v>0</v>
      </c>
      <c r="AZ126" s="346">
        <f t="shared" si="112"/>
        <v>0</v>
      </c>
    </row>
    <row r="127" spans="1:52">
      <c r="A127" s="346" t="s">
        <v>721</v>
      </c>
      <c r="B127" s="471">
        <v>45883</v>
      </c>
      <c r="C127" s="346" t="s">
        <v>590</v>
      </c>
      <c r="D127" s="346" t="s">
        <v>589</v>
      </c>
      <c r="E127" s="765">
        <v>177.75</v>
      </c>
      <c r="F127" s="346">
        <v>-318</v>
      </c>
      <c r="G127" s="577">
        <v>181.77500000000001</v>
      </c>
      <c r="H127" s="577">
        <f>Hoja1!H151</f>
        <v>132.23000000000002</v>
      </c>
      <c r="I127" s="467">
        <f>G127*F127</f>
        <v>-57804.450000000004</v>
      </c>
      <c r="J127" s="467">
        <f>H127*F127</f>
        <v>-42049.140000000007</v>
      </c>
      <c r="K127" s="467">
        <f t="shared" si="95"/>
        <v>14475.359999999993</v>
      </c>
      <c r="L127" s="770">
        <f t="shared" si="100"/>
        <v>15755.309999999996</v>
      </c>
      <c r="M127" s="718">
        <f t="shared" si="104"/>
        <v>-0.2560900140646975</v>
      </c>
      <c r="N127" s="548">
        <f t="shared" si="101"/>
        <v>-56524.5</v>
      </c>
      <c r="O127" s="618">
        <v>0.5</v>
      </c>
      <c r="P127" s="584">
        <f t="shared" si="97"/>
        <v>-21024.570000000003</v>
      </c>
      <c r="V127" s="346">
        <f t="shared" si="111"/>
        <v>0</v>
      </c>
      <c r="W127" s="346">
        <f t="shared" si="112"/>
        <v>0</v>
      </c>
      <c r="X127" s="346">
        <f t="shared" si="112"/>
        <v>0</v>
      </c>
      <c r="Y127" s="346">
        <f t="shared" si="112"/>
        <v>0</v>
      </c>
      <c r="Z127" s="346">
        <f t="shared" si="112"/>
        <v>0</v>
      </c>
      <c r="AA127" s="346">
        <f t="shared" si="112"/>
        <v>0</v>
      </c>
      <c r="AB127" s="346">
        <f t="shared" si="112"/>
        <v>0</v>
      </c>
      <c r="AC127" s="346">
        <f t="shared" si="112"/>
        <v>0</v>
      </c>
      <c r="AD127" s="346">
        <f t="shared" si="112"/>
        <v>0</v>
      </c>
      <c r="AE127" s="346">
        <f t="shared" si="112"/>
        <v>0</v>
      </c>
      <c r="AF127" s="346">
        <f t="shared" si="112"/>
        <v>0</v>
      </c>
      <c r="AG127" s="346">
        <f t="shared" si="112"/>
        <v>0</v>
      </c>
      <c r="AH127" s="346">
        <f t="shared" si="112"/>
        <v>0</v>
      </c>
      <c r="AI127" s="346">
        <f t="shared" si="112"/>
        <v>0</v>
      </c>
      <c r="AJ127" s="346">
        <f t="shared" si="112"/>
        <v>0</v>
      </c>
      <c r="AK127" s="346">
        <f t="shared" si="112"/>
        <v>0</v>
      </c>
      <c r="AL127" s="346">
        <f t="shared" si="112"/>
        <v>0</v>
      </c>
      <c r="AM127" s="346">
        <f t="shared" si="112"/>
        <v>-42049.140000000007</v>
      </c>
      <c r="AN127" s="346">
        <f t="shared" si="112"/>
        <v>0</v>
      </c>
      <c r="AO127" s="346">
        <f t="shared" si="112"/>
        <v>0</v>
      </c>
      <c r="AP127" s="346">
        <f t="shared" si="112"/>
        <v>0</v>
      </c>
      <c r="AQ127" s="346">
        <f t="shared" si="112"/>
        <v>0</v>
      </c>
      <c r="AR127" s="346">
        <f t="shared" si="112"/>
        <v>0</v>
      </c>
      <c r="AS127" s="346">
        <f t="shared" si="112"/>
        <v>0</v>
      </c>
      <c r="AT127" s="346">
        <f t="shared" si="112"/>
        <v>0</v>
      </c>
      <c r="AU127" s="346">
        <f t="shared" si="112"/>
        <v>0</v>
      </c>
      <c r="AV127" s="346">
        <f t="shared" si="112"/>
        <v>0</v>
      </c>
      <c r="AW127" s="346">
        <f t="shared" si="112"/>
        <v>0</v>
      </c>
      <c r="AX127" s="346">
        <f t="shared" si="112"/>
        <v>0</v>
      </c>
      <c r="AY127" s="346">
        <f t="shared" si="112"/>
        <v>0</v>
      </c>
      <c r="AZ127" s="346">
        <f t="shared" si="112"/>
        <v>0</v>
      </c>
    </row>
    <row r="128" spans="1:52">
      <c r="A128" s="346" t="s">
        <v>721</v>
      </c>
      <c r="B128" s="471">
        <v>45889</v>
      </c>
      <c r="C128" s="346" t="s">
        <v>590</v>
      </c>
      <c r="D128" s="346" t="s">
        <v>589</v>
      </c>
      <c r="E128" s="765">
        <v>177.75</v>
      </c>
      <c r="F128" s="346">
        <v>-328</v>
      </c>
      <c r="G128" s="577">
        <v>154</v>
      </c>
      <c r="H128" s="577">
        <f>Hoja1!H151</f>
        <v>132.23000000000002</v>
      </c>
      <c r="I128" s="467">
        <f>G128*F128</f>
        <v>-50512</v>
      </c>
      <c r="J128" s="467">
        <f>H128*F128</f>
        <v>-43371.44</v>
      </c>
      <c r="K128" s="467">
        <f t="shared" si="95"/>
        <v>14930.559999999994</v>
      </c>
      <c r="L128" s="770">
        <f t="shared" si="100"/>
        <v>7140.559999999994</v>
      </c>
      <c r="M128" s="718">
        <f t="shared" si="104"/>
        <v>-0.2560900140646975</v>
      </c>
      <c r="N128" s="548">
        <f t="shared" si="101"/>
        <v>-58302</v>
      </c>
      <c r="O128" s="618">
        <v>0.5</v>
      </c>
      <c r="P128" s="584">
        <f t="shared" si="97"/>
        <v>-21685.72</v>
      </c>
      <c r="V128" s="346">
        <f t="shared" si="111"/>
        <v>0</v>
      </c>
      <c r="W128" s="346">
        <f t="shared" si="112"/>
        <v>0</v>
      </c>
      <c r="X128" s="346">
        <f t="shared" si="112"/>
        <v>0</v>
      </c>
      <c r="Y128" s="346">
        <f t="shared" si="112"/>
        <v>0</v>
      </c>
      <c r="Z128" s="346">
        <f t="shared" si="112"/>
        <v>0</v>
      </c>
      <c r="AA128" s="346">
        <f t="shared" si="112"/>
        <v>0</v>
      </c>
      <c r="AB128" s="346">
        <f t="shared" si="112"/>
        <v>0</v>
      </c>
      <c r="AC128" s="346">
        <f t="shared" si="112"/>
        <v>0</v>
      </c>
      <c r="AD128" s="346">
        <f t="shared" si="112"/>
        <v>0</v>
      </c>
      <c r="AE128" s="346">
        <f t="shared" si="112"/>
        <v>0</v>
      </c>
      <c r="AF128" s="346">
        <f t="shared" si="112"/>
        <v>0</v>
      </c>
      <c r="AG128" s="346">
        <f t="shared" si="112"/>
        <v>0</v>
      </c>
      <c r="AH128" s="346">
        <f t="shared" si="112"/>
        <v>0</v>
      </c>
      <c r="AI128" s="346">
        <f t="shared" si="112"/>
        <v>0</v>
      </c>
      <c r="AJ128" s="346">
        <f t="shared" si="112"/>
        <v>0</v>
      </c>
      <c r="AK128" s="346">
        <f t="shared" ref="AK128:AZ146" si="119">IF(AK$92=$D128,$J128,0)</f>
        <v>0</v>
      </c>
      <c r="AL128" s="346">
        <f t="shared" si="119"/>
        <v>0</v>
      </c>
      <c r="AM128" s="346">
        <f t="shared" si="119"/>
        <v>-43371.44</v>
      </c>
      <c r="AN128" s="346">
        <f t="shared" si="119"/>
        <v>0</v>
      </c>
      <c r="AO128" s="346">
        <f t="shared" si="119"/>
        <v>0</v>
      </c>
      <c r="AP128" s="346">
        <f t="shared" si="119"/>
        <v>0</v>
      </c>
      <c r="AQ128" s="346">
        <f t="shared" si="119"/>
        <v>0</v>
      </c>
      <c r="AR128" s="346">
        <f t="shared" si="119"/>
        <v>0</v>
      </c>
      <c r="AS128" s="346">
        <f t="shared" si="119"/>
        <v>0</v>
      </c>
      <c r="AT128" s="346">
        <f t="shared" si="119"/>
        <v>0</v>
      </c>
      <c r="AU128" s="346">
        <f t="shared" si="119"/>
        <v>0</v>
      </c>
      <c r="AV128" s="346">
        <f t="shared" si="119"/>
        <v>0</v>
      </c>
      <c r="AW128" s="346">
        <f t="shared" si="119"/>
        <v>0</v>
      </c>
      <c r="AX128" s="346">
        <f t="shared" si="119"/>
        <v>0</v>
      </c>
      <c r="AY128" s="346">
        <f t="shared" si="119"/>
        <v>0</v>
      </c>
      <c r="AZ128" s="346">
        <f t="shared" si="119"/>
        <v>0</v>
      </c>
    </row>
    <row r="129" spans="1:52">
      <c r="A129" s="346" t="s">
        <v>721</v>
      </c>
      <c r="B129" s="471">
        <v>45925</v>
      </c>
      <c r="C129" s="346" t="s">
        <v>615</v>
      </c>
      <c r="D129" s="346" t="s">
        <v>596</v>
      </c>
      <c r="E129" s="765">
        <v>50.79</v>
      </c>
      <c r="F129" s="346">
        <v>-338</v>
      </c>
      <c r="G129" s="577">
        <v>35.225000000000001</v>
      </c>
      <c r="H129" s="577">
        <f>Hoja1!$H$40</f>
        <v>67.545000000000002</v>
      </c>
      <c r="I129" s="467">
        <f>G129*F129</f>
        <v>-11906.050000000001</v>
      </c>
      <c r="J129" s="467">
        <f>H129*F129</f>
        <v>-22830.21</v>
      </c>
      <c r="K129" s="467">
        <f t="shared" si="95"/>
        <v>-5663.1900000000005</v>
      </c>
      <c r="L129" s="770">
        <f t="shared" si="100"/>
        <v>-10924.16</v>
      </c>
      <c r="M129" s="718">
        <f>+(H129-G129)/G129</f>
        <v>0.91753016323633785</v>
      </c>
      <c r="N129" s="548">
        <f t="shared" si="101"/>
        <v>-17167.02</v>
      </c>
      <c r="O129" s="618">
        <v>0.5</v>
      </c>
      <c r="P129" s="584">
        <f t="shared" si="97"/>
        <v>-11415.105</v>
      </c>
      <c r="V129" s="346">
        <f t="shared" si="111"/>
        <v>0</v>
      </c>
      <c r="W129" s="346">
        <f t="shared" si="111"/>
        <v>0</v>
      </c>
      <c r="X129" s="346">
        <f t="shared" si="111"/>
        <v>0</v>
      </c>
      <c r="Y129" s="346">
        <f t="shared" si="111"/>
        <v>0</v>
      </c>
      <c r="Z129" s="346">
        <f t="shared" si="111"/>
        <v>0</v>
      </c>
      <c r="AA129" s="346">
        <f t="shared" si="111"/>
        <v>0</v>
      </c>
      <c r="AB129" s="346">
        <f t="shared" si="111"/>
        <v>0</v>
      </c>
      <c r="AC129" s="346">
        <f t="shared" si="111"/>
        <v>0</v>
      </c>
      <c r="AD129" s="346">
        <f t="shared" si="111"/>
        <v>0</v>
      </c>
      <c r="AE129" s="346">
        <f t="shared" si="111"/>
        <v>0</v>
      </c>
      <c r="AF129" s="346">
        <f t="shared" si="111"/>
        <v>0</v>
      </c>
      <c r="AG129" s="346">
        <f t="shared" si="111"/>
        <v>0</v>
      </c>
      <c r="AH129" s="346">
        <f t="shared" si="111"/>
        <v>0</v>
      </c>
      <c r="AI129" s="346">
        <f t="shared" si="111"/>
        <v>0</v>
      </c>
      <c r="AJ129" s="346">
        <f t="shared" si="111"/>
        <v>0</v>
      </c>
      <c r="AK129" s="346">
        <f t="shared" si="111"/>
        <v>0</v>
      </c>
      <c r="AL129" s="346">
        <f t="shared" si="119"/>
        <v>0</v>
      </c>
      <c r="AM129" s="346">
        <f t="shared" si="119"/>
        <v>0</v>
      </c>
      <c r="AN129" s="346">
        <f t="shared" si="119"/>
        <v>-22830.21</v>
      </c>
      <c r="AO129" s="346">
        <f t="shared" si="119"/>
        <v>0</v>
      </c>
      <c r="AP129" s="346">
        <f t="shared" si="119"/>
        <v>0</v>
      </c>
      <c r="AQ129" s="346">
        <f t="shared" si="119"/>
        <v>0</v>
      </c>
      <c r="AR129" s="346">
        <f t="shared" si="119"/>
        <v>0</v>
      </c>
      <c r="AS129" s="346">
        <f t="shared" si="119"/>
        <v>0</v>
      </c>
      <c r="AT129" s="346">
        <f t="shared" si="119"/>
        <v>0</v>
      </c>
      <c r="AU129" s="346">
        <f t="shared" si="119"/>
        <v>0</v>
      </c>
      <c r="AV129" s="346">
        <f t="shared" si="119"/>
        <v>0</v>
      </c>
      <c r="AW129" s="346">
        <f t="shared" si="119"/>
        <v>0</v>
      </c>
      <c r="AX129" s="346">
        <f t="shared" si="119"/>
        <v>0</v>
      </c>
      <c r="AY129" s="346">
        <f t="shared" si="119"/>
        <v>0</v>
      </c>
      <c r="AZ129" s="346">
        <f t="shared" si="119"/>
        <v>0</v>
      </c>
    </row>
    <row r="130" spans="1:52">
      <c r="A130" s="346" t="s">
        <v>721</v>
      </c>
      <c r="B130" s="471">
        <v>46042</v>
      </c>
      <c r="C130" s="346" t="s">
        <v>615</v>
      </c>
      <c r="D130" s="346" t="s">
        <v>596</v>
      </c>
      <c r="E130" s="765">
        <v>50.79</v>
      </c>
      <c r="F130" s="346">
        <v>-348</v>
      </c>
      <c r="G130" s="577">
        <v>59.4</v>
      </c>
      <c r="H130" s="577">
        <f>Hoja1!$H$40</f>
        <v>67.545000000000002</v>
      </c>
      <c r="I130" s="467">
        <f>G130*F130</f>
        <v>-20671.2</v>
      </c>
      <c r="J130" s="467">
        <f>H130*F130</f>
        <v>-23505.66</v>
      </c>
      <c r="K130" s="467">
        <f t="shared" ref="K130" si="120">(H130-E130)*F130</f>
        <v>-5830.7400000000007</v>
      </c>
      <c r="L130" s="770">
        <f t="shared" ref="L130" si="121">(H130-G130)*F130</f>
        <v>-2834.4600000000009</v>
      </c>
      <c r="M130" s="718">
        <f>+(H130-G130)/G130</f>
        <v>0.13712121212121217</v>
      </c>
      <c r="N130" s="548">
        <f t="shared" ref="N130" si="122">F130*E130</f>
        <v>-17674.919999999998</v>
      </c>
      <c r="O130" s="618">
        <v>0.5</v>
      </c>
      <c r="P130" s="584">
        <f t="shared" ref="P130" si="123">O130*J130</f>
        <v>-11752.83</v>
      </c>
      <c r="V130" s="346">
        <f t="shared" si="111"/>
        <v>0</v>
      </c>
      <c r="W130" s="346">
        <f t="shared" si="111"/>
        <v>0</v>
      </c>
      <c r="X130" s="346">
        <f t="shared" si="111"/>
        <v>0</v>
      </c>
      <c r="Y130" s="346">
        <f t="shared" si="111"/>
        <v>0</v>
      </c>
      <c r="Z130" s="346">
        <f t="shared" si="111"/>
        <v>0</v>
      </c>
      <c r="AA130" s="346">
        <f t="shared" si="111"/>
        <v>0</v>
      </c>
      <c r="AB130" s="346">
        <f t="shared" si="111"/>
        <v>0</v>
      </c>
      <c r="AC130" s="346">
        <f t="shared" si="111"/>
        <v>0</v>
      </c>
      <c r="AD130" s="346">
        <f t="shared" si="111"/>
        <v>0</v>
      </c>
      <c r="AE130" s="346">
        <f t="shared" si="111"/>
        <v>0</v>
      </c>
      <c r="AF130" s="346">
        <f t="shared" si="111"/>
        <v>0</v>
      </c>
      <c r="AG130" s="346">
        <f t="shared" si="111"/>
        <v>0</v>
      </c>
      <c r="AH130" s="346">
        <f t="shared" si="111"/>
        <v>0</v>
      </c>
      <c r="AI130" s="346">
        <f t="shared" si="111"/>
        <v>0</v>
      </c>
      <c r="AJ130" s="346">
        <f t="shared" si="111"/>
        <v>0</v>
      </c>
      <c r="AK130" s="346">
        <f t="shared" si="111"/>
        <v>0</v>
      </c>
      <c r="AL130" s="346">
        <f t="shared" si="119"/>
        <v>0</v>
      </c>
      <c r="AM130" s="346">
        <f t="shared" si="119"/>
        <v>0</v>
      </c>
      <c r="AN130" s="346">
        <f t="shared" si="119"/>
        <v>-23505.66</v>
      </c>
      <c r="AO130" s="346">
        <f t="shared" si="119"/>
        <v>0</v>
      </c>
      <c r="AP130" s="346">
        <f t="shared" si="119"/>
        <v>0</v>
      </c>
      <c r="AQ130" s="346">
        <f t="shared" si="119"/>
        <v>0</v>
      </c>
      <c r="AR130" s="346">
        <f t="shared" si="119"/>
        <v>0</v>
      </c>
      <c r="AS130" s="346">
        <f t="shared" si="119"/>
        <v>0</v>
      </c>
      <c r="AT130" s="346">
        <f t="shared" si="119"/>
        <v>0</v>
      </c>
      <c r="AU130" s="346">
        <f t="shared" si="119"/>
        <v>0</v>
      </c>
      <c r="AV130" s="346">
        <f t="shared" si="119"/>
        <v>0</v>
      </c>
      <c r="AW130" s="346">
        <f t="shared" si="119"/>
        <v>0</v>
      </c>
      <c r="AX130" s="346">
        <f t="shared" si="119"/>
        <v>0</v>
      </c>
      <c r="AY130" s="346">
        <f t="shared" si="119"/>
        <v>0</v>
      </c>
      <c r="AZ130" s="346">
        <f t="shared" si="119"/>
        <v>0</v>
      </c>
    </row>
    <row r="131" spans="1:52">
      <c r="A131" s="346" t="s">
        <v>721</v>
      </c>
      <c r="B131" s="471">
        <v>45945</v>
      </c>
      <c r="C131" s="346" t="s">
        <v>599</v>
      </c>
      <c r="D131" s="346" t="s">
        <v>597</v>
      </c>
      <c r="E131" s="765">
        <v>121.93</v>
      </c>
      <c r="F131" s="346">
        <v>-358</v>
      </c>
      <c r="G131" s="577">
        <v>107.8</v>
      </c>
      <c r="H131" s="577">
        <f>Hoja1!H130</f>
        <v>132.45999999999998</v>
      </c>
      <c r="I131" s="467">
        <f t="shared" ref="I131:I147" si="124">G131*F131</f>
        <v>-38592.400000000001</v>
      </c>
      <c r="J131" s="467">
        <f t="shared" ref="J131:J147" si="125">H131*F131</f>
        <v>-47420.679999999993</v>
      </c>
      <c r="K131" s="467">
        <f t="shared" si="95"/>
        <v>-3769.7399999999902</v>
      </c>
      <c r="L131" s="770">
        <f t="shared" si="100"/>
        <v>-8828.2799999999934</v>
      </c>
      <c r="M131" s="718">
        <f t="shared" si="104"/>
        <v>8.6361026818666226E-2</v>
      </c>
      <c r="N131" s="548">
        <f t="shared" si="101"/>
        <v>-43650.94</v>
      </c>
      <c r="O131" s="618">
        <v>0.5</v>
      </c>
      <c r="P131" s="584">
        <f t="shared" si="97"/>
        <v>-23710.339999999997</v>
      </c>
      <c r="V131" s="346">
        <f t="shared" si="111"/>
        <v>0</v>
      </c>
      <c r="W131" s="346">
        <f t="shared" si="111"/>
        <v>0</v>
      </c>
      <c r="X131" s="346">
        <f t="shared" si="111"/>
        <v>0</v>
      </c>
      <c r="Y131" s="346">
        <f t="shared" si="111"/>
        <v>0</v>
      </c>
      <c r="Z131" s="346">
        <f t="shared" si="111"/>
        <v>0</v>
      </c>
      <c r="AA131" s="346">
        <f t="shared" si="111"/>
        <v>0</v>
      </c>
      <c r="AB131" s="346">
        <f t="shared" si="111"/>
        <v>0</v>
      </c>
      <c r="AC131" s="346">
        <f t="shared" si="111"/>
        <v>0</v>
      </c>
      <c r="AD131" s="346">
        <f t="shared" si="111"/>
        <v>0</v>
      </c>
      <c r="AE131" s="346">
        <f t="shared" si="111"/>
        <v>0</v>
      </c>
      <c r="AF131" s="346">
        <f t="shared" si="111"/>
        <v>0</v>
      </c>
      <c r="AG131" s="346">
        <f t="shared" si="111"/>
        <v>0</v>
      </c>
      <c r="AH131" s="346">
        <f t="shared" si="111"/>
        <v>0</v>
      </c>
      <c r="AI131" s="346">
        <f t="shared" si="111"/>
        <v>0</v>
      </c>
      <c r="AJ131" s="346">
        <f t="shared" si="111"/>
        <v>0</v>
      </c>
      <c r="AK131" s="346">
        <f t="shared" si="111"/>
        <v>0</v>
      </c>
      <c r="AL131" s="346">
        <f t="shared" si="119"/>
        <v>0</v>
      </c>
      <c r="AM131" s="346">
        <f t="shared" si="119"/>
        <v>0</v>
      </c>
      <c r="AN131" s="346">
        <f t="shared" si="119"/>
        <v>0</v>
      </c>
      <c r="AO131" s="346">
        <f t="shared" si="119"/>
        <v>-47420.679999999993</v>
      </c>
      <c r="AP131" s="346">
        <f t="shared" si="119"/>
        <v>0</v>
      </c>
      <c r="AQ131" s="346">
        <f t="shared" si="119"/>
        <v>0</v>
      </c>
      <c r="AR131" s="346">
        <f t="shared" si="119"/>
        <v>0</v>
      </c>
      <c r="AS131" s="346">
        <f t="shared" si="119"/>
        <v>0</v>
      </c>
      <c r="AT131" s="346">
        <f t="shared" si="119"/>
        <v>0</v>
      </c>
      <c r="AU131" s="346">
        <f t="shared" si="119"/>
        <v>0</v>
      </c>
      <c r="AV131" s="346">
        <f t="shared" si="119"/>
        <v>0</v>
      </c>
      <c r="AW131" s="346">
        <f t="shared" si="119"/>
        <v>0</v>
      </c>
      <c r="AX131" s="346">
        <f t="shared" si="119"/>
        <v>0</v>
      </c>
      <c r="AY131" s="346">
        <f t="shared" si="119"/>
        <v>0</v>
      </c>
      <c r="AZ131" s="346">
        <f t="shared" si="119"/>
        <v>0</v>
      </c>
    </row>
    <row r="132" spans="1:52">
      <c r="A132" s="346" t="s">
        <v>721</v>
      </c>
      <c r="B132" s="471">
        <v>45952</v>
      </c>
      <c r="C132" s="346" t="s">
        <v>599</v>
      </c>
      <c r="D132" s="346" t="s">
        <v>597</v>
      </c>
      <c r="E132" s="765">
        <v>121.93</v>
      </c>
      <c r="F132" s="346">
        <v>-368</v>
      </c>
      <c r="G132" s="577">
        <v>108.70857100000001</v>
      </c>
      <c r="H132" s="577">
        <f>Hoja1!H130</f>
        <v>132.45999999999998</v>
      </c>
      <c r="I132" s="467">
        <f t="shared" si="124"/>
        <v>-40004.754128</v>
      </c>
      <c r="J132" s="467">
        <f t="shared" si="125"/>
        <v>-48745.279999999992</v>
      </c>
      <c r="K132" s="467">
        <f t="shared" si="95"/>
        <v>-3875.03999999999</v>
      </c>
      <c r="L132" s="770">
        <f t="shared" si="100"/>
        <v>-8740.5258719999911</v>
      </c>
      <c r="M132" s="718">
        <f t="shared" si="104"/>
        <v>8.6361026818666226E-2</v>
      </c>
      <c r="N132" s="548">
        <f t="shared" si="101"/>
        <v>-44870.240000000005</v>
      </c>
      <c r="O132" s="618">
        <v>0.5</v>
      </c>
      <c r="P132" s="584">
        <f t="shared" si="97"/>
        <v>-24372.639999999996</v>
      </c>
      <c r="V132" s="346">
        <f t="shared" si="111"/>
        <v>0</v>
      </c>
      <c r="W132" s="346">
        <f t="shared" si="111"/>
        <v>0</v>
      </c>
      <c r="X132" s="346">
        <f t="shared" si="111"/>
        <v>0</v>
      </c>
      <c r="Y132" s="346">
        <f t="shared" si="111"/>
        <v>0</v>
      </c>
      <c r="Z132" s="346">
        <f t="shared" si="111"/>
        <v>0</v>
      </c>
      <c r="AA132" s="346">
        <f t="shared" si="111"/>
        <v>0</v>
      </c>
      <c r="AB132" s="346">
        <f t="shared" si="111"/>
        <v>0</v>
      </c>
      <c r="AC132" s="346">
        <f t="shared" si="111"/>
        <v>0</v>
      </c>
      <c r="AD132" s="346">
        <f t="shared" si="111"/>
        <v>0</v>
      </c>
      <c r="AE132" s="346">
        <f t="shared" si="111"/>
        <v>0</v>
      </c>
      <c r="AF132" s="346">
        <f t="shared" si="111"/>
        <v>0</v>
      </c>
      <c r="AG132" s="346">
        <f t="shared" si="111"/>
        <v>0</v>
      </c>
      <c r="AH132" s="346">
        <f t="shared" si="111"/>
        <v>0</v>
      </c>
      <c r="AI132" s="346">
        <f t="shared" si="111"/>
        <v>0</v>
      </c>
      <c r="AJ132" s="346">
        <f t="shared" si="111"/>
        <v>0</v>
      </c>
      <c r="AK132" s="346">
        <f t="shared" si="111"/>
        <v>0</v>
      </c>
      <c r="AL132" s="346">
        <f t="shared" si="119"/>
        <v>0</v>
      </c>
      <c r="AM132" s="346">
        <f t="shared" si="119"/>
        <v>0</v>
      </c>
      <c r="AN132" s="346">
        <f t="shared" si="119"/>
        <v>0</v>
      </c>
      <c r="AO132" s="346">
        <f t="shared" si="119"/>
        <v>-48745.279999999992</v>
      </c>
      <c r="AP132" s="346">
        <f t="shared" si="119"/>
        <v>0</v>
      </c>
      <c r="AQ132" s="346">
        <f t="shared" si="119"/>
        <v>0</v>
      </c>
      <c r="AR132" s="346">
        <f t="shared" si="119"/>
        <v>0</v>
      </c>
      <c r="AS132" s="346">
        <f t="shared" si="119"/>
        <v>0</v>
      </c>
      <c r="AT132" s="346">
        <f t="shared" si="119"/>
        <v>0</v>
      </c>
      <c r="AU132" s="346">
        <f t="shared" si="119"/>
        <v>0</v>
      </c>
      <c r="AV132" s="346">
        <f t="shared" si="119"/>
        <v>0</v>
      </c>
      <c r="AW132" s="346">
        <f t="shared" si="119"/>
        <v>0</v>
      </c>
      <c r="AX132" s="346">
        <f t="shared" si="119"/>
        <v>0</v>
      </c>
      <c r="AY132" s="346">
        <f t="shared" si="119"/>
        <v>0</v>
      </c>
      <c r="AZ132" s="346">
        <f t="shared" si="119"/>
        <v>0</v>
      </c>
    </row>
    <row r="133" spans="1:52">
      <c r="A133" s="346" t="s">
        <v>721</v>
      </c>
      <c r="B133" s="471">
        <v>45952</v>
      </c>
      <c r="C133" s="346" t="s">
        <v>600</v>
      </c>
      <c r="D133" s="346" t="s">
        <v>598</v>
      </c>
      <c r="E133" s="765">
        <v>76.92</v>
      </c>
      <c r="F133" s="346">
        <v>-378</v>
      </c>
      <c r="G133" s="577">
        <v>86.939984999999993</v>
      </c>
      <c r="H133" s="577">
        <f>Hoja1!H122</f>
        <v>70.984999999999999</v>
      </c>
      <c r="I133" s="467">
        <f t="shared" si="124"/>
        <v>-32863.314329999994</v>
      </c>
      <c r="J133" s="467">
        <f t="shared" si="125"/>
        <v>-26832.329999999998</v>
      </c>
      <c r="K133" s="467">
        <f t="shared" si="95"/>
        <v>2243.4300000000007</v>
      </c>
      <c r="L133" s="770">
        <f t="shared" si="100"/>
        <v>6030.9843299999975</v>
      </c>
      <c r="M133" s="718">
        <f t="shared" si="104"/>
        <v>-7.715808632345296E-2</v>
      </c>
      <c r="N133" s="548">
        <f t="shared" si="101"/>
        <v>-29075.760000000002</v>
      </c>
      <c r="O133" s="618">
        <v>0.5</v>
      </c>
      <c r="P133" s="584">
        <f t="shared" si="97"/>
        <v>-13416.164999999999</v>
      </c>
      <c r="V133" s="346">
        <f t="shared" si="111"/>
        <v>0</v>
      </c>
      <c r="W133" s="346">
        <f t="shared" si="111"/>
        <v>0</v>
      </c>
      <c r="X133" s="346">
        <f t="shared" si="111"/>
        <v>0</v>
      </c>
      <c r="Y133" s="346">
        <f t="shared" si="111"/>
        <v>0</v>
      </c>
      <c r="Z133" s="346">
        <f t="shared" si="111"/>
        <v>0</v>
      </c>
      <c r="AA133" s="346">
        <f t="shared" si="111"/>
        <v>0</v>
      </c>
      <c r="AB133" s="346">
        <f t="shared" si="111"/>
        <v>0</v>
      </c>
      <c r="AC133" s="346">
        <f t="shared" si="111"/>
        <v>0</v>
      </c>
      <c r="AD133" s="346">
        <f t="shared" si="111"/>
        <v>0</v>
      </c>
      <c r="AE133" s="346">
        <f t="shared" si="111"/>
        <v>0</v>
      </c>
      <c r="AF133" s="346">
        <f t="shared" si="111"/>
        <v>0</v>
      </c>
      <c r="AG133" s="346">
        <f t="shared" si="111"/>
        <v>0</v>
      </c>
      <c r="AH133" s="346">
        <f t="shared" si="111"/>
        <v>0</v>
      </c>
      <c r="AI133" s="346">
        <f t="shared" si="111"/>
        <v>0</v>
      </c>
      <c r="AJ133" s="346">
        <f t="shared" si="111"/>
        <v>0</v>
      </c>
      <c r="AK133" s="346">
        <f t="shared" si="111"/>
        <v>0</v>
      </c>
      <c r="AL133" s="346">
        <f t="shared" si="119"/>
        <v>0</v>
      </c>
      <c r="AM133" s="346">
        <f t="shared" si="119"/>
        <v>0</v>
      </c>
      <c r="AN133" s="346">
        <f t="shared" si="119"/>
        <v>0</v>
      </c>
      <c r="AO133" s="346">
        <f t="shared" si="119"/>
        <v>0</v>
      </c>
      <c r="AP133" s="346">
        <f t="shared" si="119"/>
        <v>-26832.329999999998</v>
      </c>
      <c r="AQ133" s="346">
        <f t="shared" si="119"/>
        <v>0</v>
      </c>
      <c r="AR133" s="346">
        <f t="shared" si="119"/>
        <v>0</v>
      </c>
      <c r="AS133" s="346">
        <f t="shared" si="119"/>
        <v>0</v>
      </c>
      <c r="AT133" s="346">
        <f t="shared" si="119"/>
        <v>0</v>
      </c>
      <c r="AU133" s="346">
        <f t="shared" si="119"/>
        <v>0</v>
      </c>
      <c r="AV133" s="346">
        <f t="shared" si="119"/>
        <v>0</v>
      </c>
      <c r="AW133" s="346">
        <f t="shared" si="119"/>
        <v>0</v>
      </c>
      <c r="AX133" s="346">
        <f t="shared" si="119"/>
        <v>0</v>
      </c>
      <c r="AY133" s="346">
        <f t="shared" si="119"/>
        <v>0</v>
      </c>
      <c r="AZ133" s="346">
        <f t="shared" si="119"/>
        <v>0</v>
      </c>
    </row>
    <row r="134" spans="1:52">
      <c r="A134" s="346" t="s">
        <v>721</v>
      </c>
      <c r="B134" s="471">
        <v>45966</v>
      </c>
      <c r="C134" s="346" t="s">
        <v>601</v>
      </c>
      <c r="D134" s="346" t="s">
        <v>89</v>
      </c>
      <c r="E134" s="765">
        <v>40.4</v>
      </c>
      <c r="F134" s="346">
        <v>-388</v>
      </c>
      <c r="G134" s="577">
        <v>35.200000000000003</v>
      </c>
      <c r="H134" s="577">
        <f>Hoja1!H25</f>
        <v>42.41</v>
      </c>
      <c r="I134" s="467">
        <f t="shared" si="124"/>
        <v>-13657.6</v>
      </c>
      <c r="J134" s="467">
        <f t="shared" si="125"/>
        <v>-16455.079999999998</v>
      </c>
      <c r="K134" s="467">
        <f t="shared" si="95"/>
        <v>-779.8799999999992</v>
      </c>
      <c r="L134" s="770">
        <f t="shared" si="100"/>
        <v>-2797.4799999999977</v>
      </c>
      <c r="M134" s="718">
        <f t="shared" si="104"/>
        <v>4.9752475247524706E-2</v>
      </c>
      <c r="N134" s="548">
        <f t="shared" si="101"/>
        <v>-15675.199999999999</v>
      </c>
      <c r="O134" s="618">
        <v>0.5</v>
      </c>
      <c r="P134" s="584">
        <f t="shared" si="97"/>
        <v>-8227.5399999999991</v>
      </c>
      <c r="V134" s="346">
        <f t="shared" si="111"/>
        <v>0</v>
      </c>
      <c r="W134" s="346">
        <f t="shared" si="111"/>
        <v>0</v>
      </c>
      <c r="X134" s="346">
        <f t="shared" si="111"/>
        <v>0</v>
      </c>
      <c r="Y134" s="346">
        <f t="shared" si="111"/>
        <v>0</v>
      </c>
      <c r="Z134" s="346">
        <f t="shared" si="111"/>
        <v>0</v>
      </c>
      <c r="AA134" s="346">
        <f t="shared" si="111"/>
        <v>0</v>
      </c>
      <c r="AB134" s="346">
        <f t="shared" si="111"/>
        <v>0</v>
      </c>
      <c r="AC134" s="346">
        <f t="shared" si="111"/>
        <v>0</v>
      </c>
      <c r="AD134" s="346">
        <f t="shared" si="111"/>
        <v>0</v>
      </c>
      <c r="AE134" s="346">
        <f t="shared" si="111"/>
        <v>0</v>
      </c>
      <c r="AF134" s="346">
        <f t="shared" si="111"/>
        <v>0</v>
      </c>
      <c r="AG134" s="346">
        <f t="shared" si="111"/>
        <v>0</v>
      </c>
      <c r="AH134" s="346">
        <f t="shared" si="111"/>
        <v>0</v>
      </c>
      <c r="AI134" s="346">
        <f t="shared" si="111"/>
        <v>0</v>
      </c>
      <c r="AJ134" s="346">
        <f t="shared" si="111"/>
        <v>0</v>
      </c>
      <c r="AK134" s="346">
        <f t="shared" si="111"/>
        <v>0</v>
      </c>
      <c r="AL134" s="346">
        <f t="shared" si="119"/>
        <v>0</v>
      </c>
      <c r="AM134" s="346">
        <f t="shared" si="119"/>
        <v>0</v>
      </c>
      <c r="AN134" s="346">
        <f t="shared" si="119"/>
        <v>0</v>
      </c>
      <c r="AO134" s="346">
        <f t="shared" si="119"/>
        <v>0</v>
      </c>
      <c r="AP134" s="346">
        <f t="shared" si="119"/>
        <v>0</v>
      </c>
      <c r="AQ134" s="346">
        <f t="shared" si="119"/>
        <v>-16455.079999999998</v>
      </c>
      <c r="AR134" s="346">
        <f t="shared" si="119"/>
        <v>0</v>
      </c>
      <c r="AS134" s="346">
        <f t="shared" si="119"/>
        <v>0</v>
      </c>
      <c r="AT134" s="346">
        <f t="shared" si="119"/>
        <v>0</v>
      </c>
      <c r="AU134" s="346">
        <f t="shared" si="119"/>
        <v>0</v>
      </c>
      <c r="AV134" s="346">
        <f t="shared" si="119"/>
        <v>0</v>
      </c>
      <c r="AW134" s="346">
        <f t="shared" si="119"/>
        <v>0</v>
      </c>
      <c r="AX134" s="346">
        <f t="shared" si="119"/>
        <v>0</v>
      </c>
      <c r="AY134" s="346">
        <f t="shared" si="119"/>
        <v>0</v>
      </c>
      <c r="AZ134" s="346">
        <f t="shared" si="119"/>
        <v>0</v>
      </c>
    </row>
    <row r="135" spans="1:52">
      <c r="A135" s="346" t="s">
        <v>721</v>
      </c>
      <c r="B135" s="471">
        <v>45996</v>
      </c>
      <c r="C135" s="346" t="s">
        <v>601</v>
      </c>
      <c r="D135" s="346" t="s">
        <v>89</v>
      </c>
      <c r="E135" s="765">
        <v>40.4</v>
      </c>
      <c r="F135" s="346">
        <v>-398</v>
      </c>
      <c r="G135" s="577">
        <v>38.61</v>
      </c>
      <c r="H135" s="577">
        <f>Hoja1!H25</f>
        <v>42.41</v>
      </c>
      <c r="I135" s="467">
        <f t="shared" si="124"/>
        <v>-15366.78</v>
      </c>
      <c r="J135" s="467">
        <f t="shared" si="125"/>
        <v>-16879.18</v>
      </c>
      <c r="K135" s="467">
        <f t="shared" si="95"/>
        <v>-799.97999999999922</v>
      </c>
      <c r="L135" s="770">
        <f t="shared" si="100"/>
        <v>-1512.399999999999</v>
      </c>
      <c r="M135" s="718">
        <f t="shared" si="104"/>
        <v>4.9752475247524706E-2</v>
      </c>
      <c r="N135" s="548">
        <f t="shared" si="101"/>
        <v>-16079.199999999999</v>
      </c>
      <c r="O135" s="618">
        <v>0.75</v>
      </c>
      <c r="P135" s="584">
        <f t="shared" si="97"/>
        <v>-12659.385</v>
      </c>
      <c r="V135" s="346">
        <f t="shared" si="111"/>
        <v>0</v>
      </c>
      <c r="W135" s="346">
        <f t="shared" si="111"/>
        <v>0</v>
      </c>
      <c r="X135" s="346">
        <f t="shared" si="111"/>
        <v>0</v>
      </c>
      <c r="Y135" s="346">
        <f t="shared" si="111"/>
        <v>0</v>
      </c>
      <c r="Z135" s="346">
        <f t="shared" si="111"/>
        <v>0</v>
      </c>
      <c r="AA135" s="346">
        <f t="shared" si="111"/>
        <v>0</v>
      </c>
      <c r="AB135" s="346">
        <f t="shared" si="111"/>
        <v>0</v>
      </c>
      <c r="AC135" s="346">
        <f t="shared" si="111"/>
        <v>0</v>
      </c>
      <c r="AD135" s="346">
        <f t="shared" si="111"/>
        <v>0</v>
      </c>
      <c r="AE135" s="346">
        <f t="shared" si="111"/>
        <v>0</v>
      </c>
      <c r="AF135" s="346">
        <f t="shared" si="111"/>
        <v>0</v>
      </c>
      <c r="AG135" s="346">
        <f t="shared" si="111"/>
        <v>0</v>
      </c>
      <c r="AH135" s="346">
        <f t="shared" si="111"/>
        <v>0</v>
      </c>
      <c r="AI135" s="346">
        <f t="shared" si="111"/>
        <v>0</v>
      </c>
      <c r="AJ135" s="346">
        <f t="shared" si="111"/>
        <v>0</v>
      </c>
      <c r="AK135" s="346">
        <f t="shared" si="111"/>
        <v>0</v>
      </c>
      <c r="AL135" s="346">
        <f t="shared" si="119"/>
        <v>0</v>
      </c>
      <c r="AM135" s="346">
        <f t="shared" si="119"/>
        <v>0</v>
      </c>
      <c r="AN135" s="346">
        <f t="shared" si="119"/>
        <v>0</v>
      </c>
      <c r="AO135" s="346">
        <f t="shared" si="119"/>
        <v>0</v>
      </c>
      <c r="AP135" s="346">
        <f t="shared" si="119"/>
        <v>0</v>
      </c>
      <c r="AQ135" s="346">
        <f t="shared" si="119"/>
        <v>-16879.18</v>
      </c>
      <c r="AR135" s="346">
        <f t="shared" si="119"/>
        <v>0</v>
      </c>
      <c r="AS135" s="346">
        <f t="shared" si="119"/>
        <v>0</v>
      </c>
      <c r="AT135" s="346">
        <f t="shared" si="119"/>
        <v>0</v>
      </c>
      <c r="AU135" s="346">
        <f t="shared" si="119"/>
        <v>0</v>
      </c>
      <c r="AV135" s="346">
        <f t="shared" si="119"/>
        <v>0</v>
      </c>
      <c r="AW135" s="346">
        <f t="shared" si="119"/>
        <v>0</v>
      </c>
      <c r="AX135" s="346">
        <f t="shared" si="119"/>
        <v>0</v>
      </c>
      <c r="AY135" s="346">
        <f t="shared" si="119"/>
        <v>0</v>
      </c>
      <c r="AZ135" s="346">
        <f t="shared" si="119"/>
        <v>0</v>
      </c>
    </row>
    <row r="136" spans="1:52">
      <c r="A136" s="346" t="s">
        <v>721</v>
      </c>
      <c r="B136" s="471">
        <v>46002</v>
      </c>
      <c r="C136" s="346" t="s">
        <v>601</v>
      </c>
      <c r="D136" s="346" t="s">
        <v>89</v>
      </c>
      <c r="E136" s="765">
        <v>40.4</v>
      </c>
      <c r="F136" s="346">
        <v>-408</v>
      </c>
      <c r="G136" s="577">
        <v>39.04</v>
      </c>
      <c r="H136" s="577">
        <f>Hoja1!$H$25</f>
        <v>42.41</v>
      </c>
      <c r="I136" s="467">
        <f t="shared" si="124"/>
        <v>-15928.32</v>
      </c>
      <c r="J136" s="467">
        <f t="shared" si="125"/>
        <v>-17303.28</v>
      </c>
      <c r="K136" s="467">
        <f t="shared" si="95"/>
        <v>-820.07999999999925</v>
      </c>
      <c r="L136" s="770">
        <f t="shared" si="100"/>
        <v>-1374.9599999999989</v>
      </c>
      <c r="M136" s="718">
        <f t="shared" si="104"/>
        <v>4.9752475247524706E-2</v>
      </c>
      <c r="N136" s="548">
        <f t="shared" si="101"/>
        <v>-16483.2</v>
      </c>
      <c r="O136" s="618">
        <v>0.75</v>
      </c>
      <c r="P136" s="584">
        <f t="shared" si="97"/>
        <v>-12977.46</v>
      </c>
      <c r="V136" s="346">
        <f t="shared" si="111"/>
        <v>0</v>
      </c>
      <c r="W136" s="346">
        <f t="shared" si="111"/>
        <v>0</v>
      </c>
      <c r="X136" s="346">
        <f t="shared" si="111"/>
        <v>0</v>
      </c>
      <c r="Y136" s="346">
        <f t="shared" si="111"/>
        <v>0</v>
      </c>
      <c r="Z136" s="346">
        <f t="shared" si="111"/>
        <v>0</v>
      </c>
      <c r="AA136" s="346">
        <f t="shared" si="111"/>
        <v>0</v>
      </c>
      <c r="AB136" s="346">
        <f t="shared" si="111"/>
        <v>0</v>
      </c>
      <c r="AC136" s="346">
        <f t="shared" si="111"/>
        <v>0</v>
      </c>
      <c r="AD136" s="346">
        <f t="shared" si="111"/>
        <v>0</v>
      </c>
      <c r="AE136" s="346">
        <f t="shared" si="111"/>
        <v>0</v>
      </c>
      <c r="AF136" s="346">
        <f t="shared" si="111"/>
        <v>0</v>
      </c>
      <c r="AG136" s="346">
        <f t="shared" si="111"/>
        <v>0</v>
      </c>
      <c r="AH136" s="346">
        <f t="shared" si="111"/>
        <v>0</v>
      </c>
      <c r="AI136" s="346">
        <f t="shared" si="111"/>
        <v>0</v>
      </c>
      <c r="AJ136" s="346">
        <f t="shared" si="111"/>
        <v>0</v>
      </c>
      <c r="AK136" s="346">
        <f t="shared" si="111"/>
        <v>0</v>
      </c>
      <c r="AL136" s="346">
        <f t="shared" si="119"/>
        <v>0</v>
      </c>
      <c r="AM136" s="346">
        <f t="shared" si="119"/>
        <v>0</v>
      </c>
      <c r="AN136" s="346">
        <f t="shared" si="119"/>
        <v>0</v>
      </c>
      <c r="AO136" s="346">
        <f t="shared" si="119"/>
        <v>0</v>
      </c>
      <c r="AP136" s="346">
        <f t="shared" si="119"/>
        <v>0</v>
      </c>
      <c r="AQ136" s="346">
        <f t="shared" si="119"/>
        <v>-17303.28</v>
      </c>
      <c r="AR136" s="346">
        <f t="shared" si="119"/>
        <v>0</v>
      </c>
      <c r="AS136" s="346">
        <f t="shared" si="119"/>
        <v>0</v>
      </c>
      <c r="AT136" s="346">
        <f t="shared" si="119"/>
        <v>0</v>
      </c>
      <c r="AU136" s="346">
        <f t="shared" si="119"/>
        <v>0</v>
      </c>
      <c r="AV136" s="346">
        <f t="shared" si="119"/>
        <v>0</v>
      </c>
      <c r="AW136" s="346">
        <f t="shared" si="119"/>
        <v>0</v>
      </c>
      <c r="AX136" s="346">
        <f t="shared" si="119"/>
        <v>0</v>
      </c>
      <c r="AY136" s="346">
        <f t="shared" si="119"/>
        <v>0</v>
      </c>
      <c r="AZ136" s="346">
        <f t="shared" si="119"/>
        <v>0</v>
      </c>
    </row>
    <row r="137" spans="1:52">
      <c r="A137" s="346" t="s">
        <v>721</v>
      </c>
      <c r="B137" s="471">
        <v>46038</v>
      </c>
      <c r="C137" s="346" t="s">
        <v>601</v>
      </c>
      <c r="D137" s="346" t="s">
        <v>89</v>
      </c>
      <c r="E137" s="765">
        <v>40.4</v>
      </c>
      <c r="F137" s="346">
        <v>-418</v>
      </c>
      <c r="G137" s="577">
        <v>43.563516</v>
      </c>
      <c r="H137" s="577">
        <f>Hoja1!$H$25</f>
        <v>42.41</v>
      </c>
      <c r="I137" s="467">
        <f>G137*F137</f>
        <v>-18209.549687999999</v>
      </c>
      <c r="J137" s="467">
        <f>H137*F137</f>
        <v>-17727.379999999997</v>
      </c>
      <c r="K137" s="467">
        <f>(H137-E137)*F137</f>
        <v>-840.17999999999915</v>
      </c>
      <c r="L137" s="770">
        <f>(H137-G137)*F137</f>
        <v>482.16968800000137</v>
      </c>
      <c r="M137" s="718">
        <f t="shared" si="104"/>
        <v>4.9752475247524706E-2</v>
      </c>
      <c r="N137" s="548">
        <f>F137*E137</f>
        <v>-16887.2</v>
      </c>
      <c r="O137" s="618">
        <v>0.5</v>
      </c>
      <c r="P137" s="584">
        <f>O137*J137</f>
        <v>-8863.6899999999987</v>
      </c>
      <c r="V137" s="346">
        <f t="shared" si="111"/>
        <v>0</v>
      </c>
      <c r="W137" s="346">
        <f t="shared" si="111"/>
        <v>0</v>
      </c>
      <c r="X137" s="346">
        <f t="shared" si="111"/>
        <v>0</v>
      </c>
      <c r="Y137" s="346">
        <f t="shared" si="111"/>
        <v>0</v>
      </c>
      <c r="Z137" s="346">
        <f t="shared" si="111"/>
        <v>0</v>
      </c>
      <c r="AA137" s="346">
        <f t="shared" si="111"/>
        <v>0</v>
      </c>
      <c r="AB137" s="346">
        <f t="shared" si="111"/>
        <v>0</v>
      </c>
      <c r="AC137" s="346">
        <f t="shared" si="111"/>
        <v>0</v>
      </c>
      <c r="AD137" s="346">
        <f t="shared" si="111"/>
        <v>0</v>
      </c>
      <c r="AE137" s="346">
        <f t="shared" si="111"/>
        <v>0</v>
      </c>
      <c r="AF137" s="346">
        <f t="shared" si="111"/>
        <v>0</v>
      </c>
      <c r="AG137" s="346">
        <f t="shared" si="111"/>
        <v>0</v>
      </c>
      <c r="AH137" s="346">
        <f t="shared" si="111"/>
        <v>0</v>
      </c>
      <c r="AI137" s="346">
        <f t="shared" si="111"/>
        <v>0</v>
      </c>
      <c r="AJ137" s="346">
        <f t="shared" si="111"/>
        <v>0</v>
      </c>
      <c r="AK137" s="346">
        <f t="shared" si="111"/>
        <v>0</v>
      </c>
      <c r="AL137" s="346">
        <f t="shared" si="119"/>
        <v>0</v>
      </c>
      <c r="AM137" s="346">
        <f t="shared" si="119"/>
        <v>0</v>
      </c>
      <c r="AN137" s="346">
        <f t="shared" si="119"/>
        <v>0</v>
      </c>
      <c r="AO137" s="346">
        <f t="shared" si="119"/>
        <v>0</v>
      </c>
      <c r="AP137" s="346">
        <f t="shared" si="119"/>
        <v>0</v>
      </c>
      <c r="AQ137" s="346">
        <f t="shared" si="119"/>
        <v>-17727.379999999997</v>
      </c>
      <c r="AR137" s="346">
        <f t="shared" si="119"/>
        <v>0</v>
      </c>
      <c r="AS137" s="346">
        <f t="shared" si="119"/>
        <v>0</v>
      </c>
      <c r="AT137" s="346">
        <f t="shared" si="119"/>
        <v>0</v>
      </c>
      <c r="AU137" s="346">
        <f t="shared" si="119"/>
        <v>0</v>
      </c>
      <c r="AV137" s="346">
        <f t="shared" si="119"/>
        <v>0</v>
      </c>
      <c r="AW137" s="346">
        <f t="shared" si="119"/>
        <v>0</v>
      </c>
      <c r="AX137" s="346">
        <f t="shared" si="119"/>
        <v>0</v>
      </c>
      <c r="AY137" s="346">
        <f t="shared" si="119"/>
        <v>0</v>
      </c>
      <c r="AZ137" s="346">
        <f t="shared" si="119"/>
        <v>0</v>
      </c>
    </row>
    <row r="138" spans="1:52">
      <c r="A138" s="346" t="s">
        <v>721</v>
      </c>
      <c r="B138" s="471">
        <v>45980</v>
      </c>
      <c r="C138" s="346" t="s">
        <v>616</v>
      </c>
      <c r="D138" s="346" t="s">
        <v>617</v>
      </c>
      <c r="E138" s="765">
        <v>109.66</v>
      </c>
      <c r="F138" s="346">
        <v>-428</v>
      </c>
      <c r="G138" s="577">
        <v>104.91</v>
      </c>
      <c r="H138" s="577">
        <f>Hoja1!H68</f>
        <v>117.33</v>
      </c>
      <c r="I138" s="467">
        <f t="shared" si="124"/>
        <v>-44901.479999999996</v>
      </c>
      <c r="J138" s="467">
        <f t="shared" si="125"/>
        <v>-50217.24</v>
      </c>
      <c r="K138" s="467">
        <f t="shared" si="95"/>
        <v>-3282.7600000000007</v>
      </c>
      <c r="L138" s="770">
        <f t="shared" si="100"/>
        <v>-5315.7600000000011</v>
      </c>
      <c r="M138" s="718">
        <f t="shared" si="104"/>
        <v>6.994346160860844E-2</v>
      </c>
      <c r="N138" s="548">
        <f t="shared" si="101"/>
        <v>-46934.479999999996</v>
      </c>
      <c r="O138" s="618">
        <v>0.75</v>
      </c>
      <c r="P138" s="584">
        <f t="shared" si="97"/>
        <v>-37662.93</v>
      </c>
      <c r="V138" s="346">
        <f t="shared" si="111"/>
        <v>0</v>
      </c>
      <c r="W138" s="346">
        <f t="shared" si="111"/>
        <v>0</v>
      </c>
      <c r="X138" s="346">
        <f t="shared" si="111"/>
        <v>0</v>
      </c>
      <c r="Y138" s="346">
        <f t="shared" si="111"/>
        <v>0</v>
      </c>
      <c r="Z138" s="346">
        <f t="shared" si="111"/>
        <v>0</v>
      </c>
      <c r="AA138" s="346">
        <f t="shared" si="111"/>
        <v>0</v>
      </c>
      <c r="AB138" s="346">
        <f t="shared" si="111"/>
        <v>0</v>
      </c>
      <c r="AC138" s="346">
        <f t="shared" si="111"/>
        <v>0</v>
      </c>
      <c r="AD138" s="346">
        <f t="shared" si="111"/>
        <v>0</v>
      </c>
      <c r="AE138" s="346">
        <f t="shared" si="111"/>
        <v>0</v>
      </c>
      <c r="AF138" s="346">
        <f t="shared" si="111"/>
        <v>0</v>
      </c>
      <c r="AG138" s="346">
        <f t="shared" si="111"/>
        <v>0</v>
      </c>
      <c r="AH138" s="346">
        <f t="shared" si="111"/>
        <v>0</v>
      </c>
      <c r="AI138" s="346">
        <f t="shared" si="111"/>
        <v>0</v>
      </c>
      <c r="AJ138" s="346">
        <f t="shared" si="111"/>
        <v>0</v>
      </c>
      <c r="AK138" s="346">
        <f t="shared" si="111"/>
        <v>0</v>
      </c>
      <c r="AL138" s="346">
        <f t="shared" si="119"/>
        <v>0</v>
      </c>
      <c r="AM138" s="346">
        <f t="shared" si="119"/>
        <v>0</v>
      </c>
      <c r="AN138" s="346">
        <f t="shared" si="119"/>
        <v>0</v>
      </c>
      <c r="AO138" s="346">
        <f t="shared" si="119"/>
        <v>0</v>
      </c>
      <c r="AP138" s="346">
        <f t="shared" si="119"/>
        <v>0</v>
      </c>
      <c r="AQ138" s="346">
        <f t="shared" si="119"/>
        <v>0</v>
      </c>
      <c r="AR138" s="346">
        <f t="shared" si="119"/>
        <v>-50217.24</v>
      </c>
      <c r="AS138" s="346">
        <f t="shared" si="119"/>
        <v>0</v>
      </c>
      <c r="AT138" s="346">
        <f t="shared" si="119"/>
        <v>0</v>
      </c>
      <c r="AU138" s="346">
        <f t="shared" si="119"/>
        <v>0</v>
      </c>
      <c r="AV138" s="346">
        <f t="shared" si="119"/>
        <v>0</v>
      </c>
      <c r="AW138" s="346">
        <f t="shared" si="119"/>
        <v>0</v>
      </c>
      <c r="AX138" s="346">
        <f t="shared" si="119"/>
        <v>0</v>
      </c>
      <c r="AY138" s="346">
        <f t="shared" si="119"/>
        <v>0</v>
      </c>
      <c r="AZ138" s="346">
        <f t="shared" si="119"/>
        <v>0</v>
      </c>
    </row>
    <row r="139" spans="1:52">
      <c r="A139" s="346" t="s">
        <v>721</v>
      </c>
      <c r="B139" s="471">
        <v>45980</v>
      </c>
      <c r="C139" s="346" t="s">
        <v>616</v>
      </c>
      <c r="D139" s="346" t="s">
        <v>617</v>
      </c>
      <c r="E139" s="765">
        <v>109.66</v>
      </c>
      <c r="F139" s="346">
        <v>-438</v>
      </c>
      <c r="G139" s="577">
        <v>104.97</v>
      </c>
      <c r="H139" s="577">
        <f>Hoja1!H68</f>
        <v>117.33</v>
      </c>
      <c r="I139" s="467">
        <f t="shared" si="124"/>
        <v>-45976.86</v>
      </c>
      <c r="J139" s="467">
        <f t="shared" si="125"/>
        <v>-51390.54</v>
      </c>
      <c r="K139" s="467">
        <f t="shared" si="95"/>
        <v>-3359.4600000000009</v>
      </c>
      <c r="L139" s="770">
        <f t="shared" si="100"/>
        <v>-5413.6799999999994</v>
      </c>
      <c r="M139" s="718">
        <f t="shared" si="104"/>
        <v>6.994346160860844E-2</v>
      </c>
      <c r="N139" s="548">
        <f t="shared" si="101"/>
        <v>-48031.08</v>
      </c>
      <c r="O139" s="618">
        <v>0.75</v>
      </c>
      <c r="P139" s="584">
        <f t="shared" si="97"/>
        <v>-38542.904999999999</v>
      </c>
      <c r="V139" s="346">
        <f t="shared" si="111"/>
        <v>0</v>
      </c>
      <c r="W139" s="346">
        <f t="shared" si="111"/>
        <v>0</v>
      </c>
      <c r="X139" s="346">
        <f t="shared" si="111"/>
        <v>0</v>
      </c>
      <c r="Y139" s="346">
        <f t="shared" si="111"/>
        <v>0</v>
      </c>
      <c r="Z139" s="346">
        <f t="shared" si="111"/>
        <v>0</v>
      </c>
      <c r="AA139" s="346">
        <f t="shared" si="111"/>
        <v>0</v>
      </c>
      <c r="AB139" s="346">
        <f t="shared" si="111"/>
        <v>0</v>
      </c>
      <c r="AC139" s="346">
        <f t="shared" si="111"/>
        <v>0</v>
      </c>
      <c r="AD139" s="346">
        <f t="shared" si="111"/>
        <v>0</v>
      </c>
      <c r="AE139" s="346">
        <f t="shared" si="111"/>
        <v>0</v>
      </c>
      <c r="AF139" s="346">
        <f t="shared" si="111"/>
        <v>0</v>
      </c>
      <c r="AG139" s="346">
        <f t="shared" si="111"/>
        <v>0</v>
      </c>
      <c r="AH139" s="346">
        <f t="shared" si="111"/>
        <v>0</v>
      </c>
      <c r="AI139" s="346">
        <f t="shared" si="111"/>
        <v>0</v>
      </c>
      <c r="AJ139" s="346">
        <f t="shared" si="111"/>
        <v>0</v>
      </c>
      <c r="AK139" s="346">
        <f t="shared" si="111"/>
        <v>0</v>
      </c>
      <c r="AL139" s="346">
        <f t="shared" si="119"/>
        <v>0</v>
      </c>
      <c r="AM139" s="346">
        <f t="shared" si="119"/>
        <v>0</v>
      </c>
      <c r="AN139" s="346">
        <f t="shared" si="119"/>
        <v>0</v>
      </c>
      <c r="AO139" s="346">
        <f t="shared" si="119"/>
        <v>0</v>
      </c>
      <c r="AP139" s="346">
        <f t="shared" si="119"/>
        <v>0</v>
      </c>
      <c r="AQ139" s="346">
        <f t="shared" si="119"/>
        <v>0</v>
      </c>
      <c r="AR139" s="346">
        <f t="shared" si="119"/>
        <v>-51390.54</v>
      </c>
      <c r="AS139" s="346">
        <f t="shared" si="119"/>
        <v>0</v>
      </c>
      <c r="AT139" s="346">
        <f t="shared" si="119"/>
        <v>0</v>
      </c>
      <c r="AU139" s="346">
        <f t="shared" si="119"/>
        <v>0</v>
      </c>
      <c r="AV139" s="346">
        <f t="shared" si="119"/>
        <v>0</v>
      </c>
      <c r="AW139" s="346">
        <f t="shared" si="119"/>
        <v>0</v>
      </c>
      <c r="AX139" s="346">
        <f t="shared" si="119"/>
        <v>0</v>
      </c>
      <c r="AY139" s="346">
        <f t="shared" si="119"/>
        <v>0</v>
      </c>
      <c r="AZ139" s="346">
        <f t="shared" si="119"/>
        <v>0</v>
      </c>
    </row>
    <row r="140" spans="1:52">
      <c r="A140" s="346" t="s">
        <v>721</v>
      </c>
      <c r="B140" s="471"/>
      <c r="C140" s="346" t="s">
        <v>679</v>
      </c>
      <c r="D140" s="346" t="s">
        <v>309</v>
      </c>
      <c r="E140" s="765"/>
      <c r="F140" s="346">
        <v>-448</v>
      </c>
      <c r="G140" s="577">
        <f>(90.54+91.2199)/2</f>
        <v>90.879950000000008</v>
      </c>
      <c r="H140" s="577">
        <v>99.210099999999997</v>
      </c>
      <c r="I140" s="467">
        <f t="shared" ref="I140" si="126">G140*F140</f>
        <v>-40714.217600000004</v>
      </c>
      <c r="J140" s="467">
        <f t="shared" ref="J140" si="127">H140*F140</f>
        <v>-44446.124799999998</v>
      </c>
      <c r="K140" s="467">
        <f t="shared" ref="K140" si="128">(H140-E140)*F140</f>
        <v>-44446.124799999998</v>
      </c>
      <c r="L140" s="770">
        <f t="shared" ref="L140" si="129">(H140-G140)*F140</f>
        <v>-3731.9071999999951</v>
      </c>
      <c r="M140" s="718">
        <f>+(H140-G140)/G140</f>
        <v>9.1661031943789453E-2</v>
      </c>
      <c r="N140" s="548">
        <f t="shared" ref="N140" si="130">F140*E140</f>
        <v>0</v>
      </c>
      <c r="O140" s="618">
        <v>0.5</v>
      </c>
      <c r="P140" s="584">
        <f t="shared" ref="P140" si="131">O140*J140</f>
        <v>-22223.062399999999</v>
      </c>
      <c r="V140" s="346">
        <f t="shared" si="111"/>
        <v>0</v>
      </c>
      <c r="W140" s="346">
        <f t="shared" si="111"/>
        <v>0</v>
      </c>
      <c r="X140" s="346">
        <f t="shared" si="111"/>
        <v>0</v>
      </c>
      <c r="Y140" s="346">
        <f t="shared" si="111"/>
        <v>0</v>
      </c>
      <c r="Z140" s="346">
        <f t="shared" si="111"/>
        <v>0</v>
      </c>
      <c r="AA140" s="346">
        <f t="shared" si="111"/>
        <v>0</v>
      </c>
      <c r="AB140" s="346">
        <f t="shared" si="111"/>
        <v>0</v>
      </c>
      <c r="AC140" s="346">
        <f t="shared" si="111"/>
        <v>0</v>
      </c>
      <c r="AD140" s="346">
        <f t="shared" si="111"/>
        <v>0</v>
      </c>
      <c r="AE140" s="346">
        <f t="shared" si="111"/>
        <v>0</v>
      </c>
      <c r="AF140" s="346">
        <f t="shared" si="111"/>
        <v>0</v>
      </c>
      <c r="AG140" s="346">
        <f t="shared" si="111"/>
        <v>0</v>
      </c>
      <c r="AH140" s="346">
        <f t="shared" si="111"/>
        <v>0</v>
      </c>
      <c r="AI140" s="346">
        <f t="shared" si="111"/>
        <v>0</v>
      </c>
      <c r="AJ140" s="346">
        <f t="shared" si="111"/>
        <v>0</v>
      </c>
      <c r="AK140" s="346">
        <f t="shared" si="111"/>
        <v>0</v>
      </c>
      <c r="AL140" s="346">
        <f t="shared" si="119"/>
        <v>0</v>
      </c>
      <c r="AM140" s="346">
        <f t="shared" si="119"/>
        <v>0</v>
      </c>
      <c r="AN140" s="346">
        <f t="shared" si="119"/>
        <v>0</v>
      </c>
      <c r="AO140" s="346">
        <f t="shared" si="119"/>
        <v>0</v>
      </c>
      <c r="AP140" s="346">
        <f t="shared" si="119"/>
        <v>0</v>
      </c>
      <c r="AQ140" s="346">
        <f t="shared" si="119"/>
        <v>0</v>
      </c>
      <c r="AR140" s="346">
        <f t="shared" si="119"/>
        <v>0</v>
      </c>
      <c r="AS140" s="346">
        <f t="shared" si="119"/>
        <v>-44446.124799999998</v>
      </c>
      <c r="AT140" s="346">
        <f t="shared" si="119"/>
        <v>0</v>
      </c>
      <c r="AU140" s="346">
        <f t="shared" si="119"/>
        <v>0</v>
      </c>
      <c r="AV140" s="346">
        <f t="shared" si="119"/>
        <v>0</v>
      </c>
      <c r="AW140" s="346">
        <f t="shared" si="119"/>
        <v>0</v>
      </c>
      <c r="AX140" s="346">
        <f t="shared" si="119"/>
        <v>0</v>
      </c>
      <c r="AY140" s="346">
        <f t="shared" si="119"/>
        <v>0</v>
      </c>
      <c r="AZ140" s="346">
        <f t="shared" si="119"/>
        <v>0</v>
      </c>
    </row>
    <row r="141" spans="1:52">
      <c r="A141" s="346" t="s">
        <v>721</v>
      </c>
      <c r="B141" s="471">
        <v>45986</v>
      </c>
      <c r="C141" s="346" t="s">
        <v>618</v>
      </c>
      <c r="D141" s="346" t="s">
        <v>619</v>
      </c>
      <c r="E141" s="765">
        <v>24.98</v>
      </c>
      <c r="F141" s="346">
        <v>-458</v>
      </c>
      <c r="G141" s="346">
        <v>26.632852</v>
      </c>
      <c r="H141" s="577">
        <f>Hoja1!H54</f>
        <v>21.975000000000001</v>
      </c>
      <c r="I141" s="467">
        <f t="shared" si="124"/>
        <v>-12197.846216</v>
      </c>
      <c r="J141" s="467">
        <f t="shared" si="125"/>
        <v>-10064.550000000001</v>
      </c>
      <c r="K141" s="467">
        <f t="shared" si="95"/>
        <v>1376.2899999999995</v>
      </c>
      <c r="L141" s="770">
        <f t="shared" si="100"/>
        <v>2133.2962159999993</v>
      </c>
      <c r="M141" s="718">
        <f t="shared" si="104"/>
        <v>-0.12029623698959163</v>
      </c>
      <c r="N141" s="548">
        <f t="shared" si="101"/>
        <v>-11440.84</v>
      </c>
      <c r="O141" s="618">
        <v>0.5</v>
      </c>
      <c r="P141" s="584">
        <f t="shared" si="97"/>
        <v>-5032.2750000000005</v>
      </c>
      <c r="V141" s="346">
        <f t="shared" si="111"/>
        <v>0</v>
      </c>
      <c r="W141" s="346">
        <f t="shared" si="111"/>
        <v>0</v>
      </c>
      <c r="X141" s="346">
        <f t="shared" si="111"/>
        <v>0</v>
      </c>
      <c r="Y141" s="346">
        <f t="shared" si="111"/>
        <v>0</v>
      </c>
      <c r="Z141" s="346">
        <f t="shared" si="111"/>
        <v>0</v>
      </c>
      <c r="AA141" s="346">
        <f t="shared" si="111"/>
        <v>0</v>
      </c>
      <c r="AB141" s="346">
        <f t="shared" si="111"/>
        <v>0</v>
      </c>
      <c r="AC141" s="346">
        <f t="shared" si="111"/>
        <v>0</v>
      </c>
      <c r="AD141" s="346">
        <f t="shared" si="111"/>
        <v>0</v>
      </c>
      <c r="AE141" s="346">
        <f t="shared" si="111"/>
        <v>0</v>
      </c>
      <c r="AF141" s="346">
        <f t="shared" si="111"/>
        <v>0</v>
      </c>
      <c r="AG141" s="346">
        <f t="shared" si="111"/>
        <v>0</v>
      </c>
      <c r="AH141" s="346">
        <f t="shared" si="111"/>
        <v>0</v>
      </c>
      <c r="AI141" s="346">
        <f t="shared" si="111"/>
        <v>0</v>
      </c>
      <c r="AJ141" s="346">
        <f t="shared" si="111"/>
        <v>0</v>
      </c>
      <c r="AK141" s="346">
        <f t="shared" si="111"/>
        <v>0</v>
      </c>
      <c r="AL141" s="346">
        <f t="shared" si="119"/>
        <v>0</v>
      </c>
      <c r="AM141" s="346">
        <f t="shared" si="119"/>
        <v>0</v>
      </c>
      <c r="AN141" s="346">
        <f t="shared" si="119"/>
        <v>0</v>
      </c>
      <c r="AO141" s="346">
        <f t="shared" si="119"/>
        <v>0</v>
      </c>
      <c r="AP141" s="346">
        <f t="shared" si="119"/>
        <v>0</v>
      </c>
      <c r="AQ141" s="346">
        <f t="shared" si="119"/>
        <v>0</v>
      </c>
      <c r="AR141" s="346">
        <f t="shared" si="119"/>
        <v>0</v>
      </c>
      <c r="AS141" s="346">
        <f t="shared" si="119"/>
        <v>0</v>
      </c>
      <c r="AT141" s="346">
        <f t="shared" si="119"/>
        <v>-10064.550000000001</v>
      </c>
      <c r="AU141" s="346">
        <f t="shared" si="119"/>
        <v>0</v>
      </c>
      <c r="AV141" s="346">
        <f t="shared" si="119"/>
        <v>0</v>
      </c>
      <c r="AW141" s="346">
        <f t="shared" si="119"/>
        <v>0</v>
      </c>
      <c r="AX141" s="346">
        <f t="shared" si="119"/>
        <v>0</v>
      </c>
      <c r="AY141" s="346">
        <f t="shared" si="119"/>
        <v>0</v>
      </c>
      <c r="AZ141" s="346">
        <f t="shared" si="119"/>
        <v>0</v>
      </c>
    </row>
    <row r="142" spans="1:52">
      <c r="A142" s="346" t="s">
        <v>721</v>
      </c>
      <c r="B142" s="471">
        <v>45917</v>
      </c>
      <c r="C142" s="346" t="s">
        <v>636</v>
      </c>
      <c r="D142" s="346" t="s">
        <v>637</v>
      </c>
      <c r="E142" s="765">
        <v>69.760000000000005</v>
      </c>
      <c r="F142" s="346">
        <v>-468</v>
      </c>
      <c r="G142" s="346">
        <v>59.92</v>
      </c>
      <c r="H142" s="577">
        <f>Hoja1!H156</f>
        <v>70.289999999999992</v>
      </c>
      <c r="I142" s="467">
        <f>G142*F142</f>
        <v>-28042.560000000001</v>
      </c>
      <c r="J142" s="467">
        <f>H142*F142</f>
        <v>-32895.719999999994</v>
      </c>
      <c r="K142" s="467">
        <f t="shared" si="95"/>
        <v>-248.03999999999388</v>
      </c>
      <c r="L142" s="770">
        <f t="shared" si="100"/>
        <v>-4853.1599999999953</v>
      </c>
      <c r="M142" s="718">
        <f t="shared" si="104"/>
        <v>7.5974770642199957E-3</v>
      </c>
      <c r="N142" s="548">
        <f t="shared" si="101"/>
        <v>-32647.680000000004</v>
      </c>
      <c r="O142" s="618">
        <v>0.5</v>
      </c>
      <c r="P142" s="584">
        <f t="shared" si="97"/>
        <v>-16447.859999999997</v>
      </c>
      <c r="V142" s="346">
        <f t="shared" si="111"/>
        <v>0</v>
      </c>
      <c r="W142" s="346">
        <f t="shared" si="111"/>
        <v>0</v>
      </c>
      <c r="X142" s="346">
        <f t="shared" si="111"/>
        <v>0</v>
      </c>
      <c r="Y142" s="346">
        <f t="shared" si="111"/>
        <v>0</v>
      </c>
      <c r="Z142" s="346">
        <f t="shared" si="111"/>
        <v>0</v>
      </c>
      <c r="AA142" s="346">
        <f t="shared" si="111"/>
        <v>0</v>
      </c>
      <c r="AB142" s="346">
        <f t="shared" si="111"/>
        <v>0</v>
      </c>
      <c r="AC142" s="346">
        <f t="shared" si="111"/>
        <v>0</v>
      </c>
      <c r="AD142" s="346">
        <f t="shared" si="111"/>
        <v>0</v>
      </c>
      <c r="AE142" s="346">
        <f t="shared" si="111"/>
        <v>0</v>
      </c>
      <c r="AF142" s="346">
        <f t="shared" si="111"/>
        <v>0</v>
      </c>
      <c r="AG142" s="346">
        <f t="shared" si="111"/>
        <v>0</v>
      </c>
      <c r="AH142" s="346">
        <f t="shared" si="111"/>
        <v>0</v>
      </c>
      <c r="AI142" s="346">
        <f t="shared" si="111"/>
        <v>0</v>
      </c>
      <c r="AJ142" s="346">
        <f t="shared" si="111"/>
        <v>0</v>
      </c>
      <c r="AK142" s="346">
        <f t="shared" si="111"/>
        <v>0</v>
      </c>
      <c r="AL142" s="346">
        <f t="shared" si="119"/>
        <v>0</v>
      </c>
      <c r="AM142" s="346">
        <f t="shared" si="119"/>
        <v>0</v>
      </c>
      <c r="AN142" s="346">
        <f t="shared" si="119"/>
        <v>0</v>
      </c>
      <c r="AO142" s="346">
        <f t="shared" si="119"/>
        <v>0</v>
      </c>
      <c r="AP142" s="346">
        <f t="shared" si="119"/>
        <v>0</v>
      </c>
      <c r="AQ142" s="346">
        <f t="shared" si="119"/>
        <v>0</v>
      </c>
      <c r="AR142" s="346">
        <f t="shared" si="119"/>
        <v>0</v>
      </c>
      <c r="AS142" s="346">
        <f t="shared" si="119"/>
        <v>0</v>
      </c>
      <c r="AT142" s="346">
        <f t="shared" si="119"/>
        <v>0</v>
      </c>
      <c r="AU142" s="346">
        <f t="shared" si="119"/>
        <v>-32895.719999999994</v>
      </c>
      <c r="AV142" s="346">
        <f t="shared" si="119"/>
        <v>0</v>
      </c>
      <c r="AW142" s="346">
        <f t="shared" si="119"/>
        <v>0</v>
      </c>
      <c r="AX142" s="346">
        <f t="shared" si="119"/>
        <v>0</v>
      </c>
      <c r="AY142" s="346">
        <f t="shared" si="119"/>
        <v>0</v>
      </c>
      <c r="AZ142" s="346">
        <f t="shared" si="119"/>
        <v>0</v>
      </c>
    </row>
    <row r="143" spans="1:52">
      <c r="A143" s="346" t="s">
        <v>721</v>
      </c>
      <c r="B143" s="471">
        <v>45986</v>
      </c>
      <c r="C143" s="346" t="s">
        <v>620</v>
      </c>
      <c r="D143" s="346" t="s">
        <v>621</v>
      </c>
      <c r="E143" s="765">
        <v>25.19</v>
      </c>
      <c r="F143" s="346">
        <v>-478</v>
      </c>
      <c r="G143" s="346">
        <v>26.0108</v>
      </c>
      <c r="H143" s="577">
        <f>Hoja1!H57</f>
        <v>19.574999999999999</v>
      </c>
      <c r="I143" s="467">
        <f t="shared" si="124"/>
        <v>-12433.162399999999</v>
      </c>
      <c r="J143" s="467">
        <f t="shared" si="125"/>
        <v>-9356.85</v>
      </c>
      <c r="K143" s="467">
        <f t="shared" si="95"/>
        <v>2683.9700000000012</v>
      </c>
      <c r="L143" s="770">
        <f t="shared" si="100"/>
        <v>3076.3124000000003</v>
      </c>
      <c r="M143" s="718">
        <f t="shared" si="104"/>
        <v>-0.2229059150456531</v>
      </c>
      <c r="N143" s="548">
        <f t="shared" si="101"/>
        <v>-12040.82</v>
      </c>
      <c r="O143" s="618">
        <v>0.5</v>
      </c>
      <c r="P143" s="584">
        <f t="shared" ref="P143:P147" si="132">O143*J143</f>
        <v>-4678.4250000000002</v>
      </c>
      <c r="Q143" s="561">
        <f>SUM(L143:L147)/SUM(I143:I147)</f>
        <v>-0.18322800002204492</v>
      </c>
      <c r="V143" s="346">
        <f t="shared" si="111"/>
        <v>0</v>
      </c>
      <c r="W143" s="346">
        <f t="shared" si="111"/>
        <v>0</v>
      </c>
      <c r="X143" s="346">
        <f t="shared" si="111"/>
        <v>0</v>
      </c>
      <c r="Y143" s="346">
        <f t="shared" si="111"/>
        <v>0</v>
      </c>
      <c r="Z143" s="346">
        <f t="shared" si="111"/>
        <v>0</v>
      </c>
      <c r="AA143" s="346">
        <f t="shared" si="111"/>
        <v>0</v>
      </c>
      <c r="AB143" s="346">
        <f t="shared" ref="AB143:AQ147" si="133">IF(AB$92=$D143,$J143,0)</f>
        <v>0</v>
      </c>
      <c r="AC143" s="346">
        <f t="shared" si="133"/>
        <v>0</v>
      </c>
      <c r="AD143" s="346">
        <f t="shared" si="133"/>
        <v>0</v>
      </c>
      <c r="AE143" s="346">
        <f t="shared" si="133"/>
        <v>0</v>
      </c>
      <c r="AF143" s="346">
        <f t="shared" si="133"/>
        <v>0</v>
      </c>
      <c r="AG143" s="346">
        <f t="shared" si="133"/>
        <v>0</v>
      </c>
      <c r="AH143" s="346">
        <f t="shared" si="133"/>
        <v>0</v>
      </c>
      <c r="AI143" s="346">
        <f t="shared" si="133"/>
        <v>0</v>
      </c>
      <c r="AJ143" s="346">
        <f t="shared" si="133"/>
        <v>0</v>
      </c>
      <c r="AK143" s="346">
        <f t="shared" si="133"/>
        <v>0</v>
      </c>
      <c r="AL143" s="346">
        <f t="shared" si="133"/>
        <v>0</v>
      </c>
      <c r="AM143" s="346">
        <f t="shared" si="133"/>
        <v>0</v>
      </c>
      <c r="AN143" s="346">
        <f t="shared" si="133"/>
        <v>0</v>
      </c>
      <c r="AO143" s="346">
        <f t="shared" si="133"/>
        <v>0</v>
      </c>
      <c r="AP143" s="346">
        <f t="shared" si="133"/>
        <v>0</v>
      </c>
      <c r="AQ143" s="346">
        <f t="shared" si="133"/>
        <v>0</v>
      </c>
      <c r="AR143" s="346">
        <f t="shared" si="119"/>
        <v>0</v>
      </c>
      <c r="AS143" s="346">
        <f t="shared" si="119"/>
        <v>0</v>
      </c>
      <c r="AT143" s="346">
        <f t="shared" si="119"/>
        <v>0</v>
      </c>
      <c r="AU143" s="346">
        <f t="shared" si="119"/>
        <v>0</v>
      </c>
      <c r="AV143" s="346">
        <f t="shared" si="119"/>
        <v>-9356.85</v>
      </c>
      <c r="AW143" s="346">
        <f t="shared" si="119"/>
        <v>0</v>
      </c>
      <c r="AX143" s="346">
        <f t="shared" si="119"/>
        <v>0</v>
      </c>
      <c r="AY143" s="346">
        <f t="shared" si="119"/>
        <v>0</v>
      </c>
      <c r="AZ143" s="346">
        <f t="shared" si="119"/>
        <v>0</v>
      </c>
    </row>
    <row r="144" spans="1:52">
      <c r="A144" s="346" t="s">
        <v>721</v>
      </c>
      <c r="B144" s="471">
        <v>45986</v>
      </c>
      <c r="C144" s="346" t="s">
        <v>622</v>
      </c>
      <c r="D144" s="346" t="s">
        <v>623</v>
      </c>
      <c r="E144" s="765">
        <v>12.11</v>
      </c>
      <c r="F144" s="346">
        <v>-488</v>
      </c>
      <c r="G144" s="346">
        <v>12.2873</v>
      </c>
      <c r="H144" s="577">
        <f>Hoja1!H63</f>
        <v>13.934999999999999</v>
      </c>
      <c r="I144" s="467">
        <f t="shared" si="124"/>
        <v>-5996.2024000000001</v>
      </c>
      <c r="J144" s="467">
        <f t="shared" si="125"/>
        <v>-6800.28</v>
      </c>
      <c r="K144" s="467">
        <f t="shared" si="95"/>
        <v>-890.59999999999968</v>
      </c>
      <c r="L144" s="770">
        <f t="shared" si="100"/>
        <v>-804.07759999999928</v>
      </c>
      <c r="M144" s="718">
        <f t="shared" si="104"/>
        <v>0.15070189925681249</v>
      </c>
      <c r="N144" s="548">
        <f t="shared" si="101"/>
        <v>-5909.6799999999994</v>
      </c>
      <c r="O144" s="618">
        <v>0.5</v>
      </c>
      <c r="P144" s="584">
        <f t="shared" si="132"/>
        <v>-3400.14</v>
      </c>
      <c r="V144" s="346">
        <f t="shared" ref="V144:AK147" si="134">IF(V$92=$D144,$J144,0)</f>
        <v>0</v>
      </c>
      <c r="W144" s="346">
        <f t="shared" si="134"/>
        <v>0</v>
      </c>
      <c r="X144" s="346">
        <f t="shared" si="134"/>
        <v>0</v>
      </c>
      <c r="Y144" s="346">
        <f t="shared" si="134"/>
        <v>0</v>
      </c>
      <c r="Z144" s="346">
        <f t="shared" si="134"/>
        <v>0</v>
      </c>
      <c r="AA144" s="346">
        <f t="shared" si="134"/>
        <v>0</v>
      </c>
      <c r="AB144" s="346">
        <f t="shared" si="134"/>
        <v>0</v>
      </c>
      <c r="AC144" s="346">
        <f t="shared" si="134"/>
        <v>0</v>
      </c>
      <c r="AD144" s="346">
        <f t="shared" si="134"/>
        <v>0</v>
      </c>
      <c r="AE144" s="346">
        <f t="shared" si="134"/>
        <v>0</v>
      </c>
      <c r="AF144" s="346">
        <f t="shared" si="134"/>
        <v>0</v>
      </c>
      <c r="AG144" s="346">
        <f t="shared" si="134"/>
        <v>0</v>
      </c>
      <c r="AH144" s="346">
        <f t="shared" si="134"/>
        <v>0</v>
      </c>
      <c r="AI144" s="346">
        <f t="shared" si="134"/>
        <v>0</v>
      </c>
      <c r="AJ144" s="346">
        <f t="shared" si="134"/>
        <v>0</v>
      </c>
      <c r="AK144" s="346">
        <f t="shared" si="134"/>
        <v>0</v>
      </c>
      <c r="AL144" s="346">
        <f t="shared" si="133"/>
        <v>0</v>
      </c>
      <c r="AM144" s="346">
        <f t="shared" si="133"/>
        <v>0</v>
      </c>
      <c r="AN144" s="346">
        <f t="shared" si="133"/>
        <v>0</v>
      </c>
      <c r="AO144" s="346">
        <f t="shared" si="133"/>
        <v>0</v>
      </c>
      <c r="AP144" s="346">
        <f t="shared" si="133"/>
        <v>0</v>
      </c>
      <c r="AQ144" s="346">
        <f t="shared" si="133"/>
        <v>0</v>
      </c>
      <c r="AR144" s="346">
        <f t="shared" si="119"/>
        <v>0</v>
      </c>
      <c r="AS144" s="346">
        <f t="shared" si="119"/>
        <v>0</v>
      </c>
      <c r="AT144" s="346">
        <f t="shared" si="119"/>
        <v>0</v>
      </c>
      <c r="AU144" s="346">
        <f t="shared" si="119"/>
        <v>0</v>
      </c>
      <c r="AV144" s="346">
        <f t="shared" si="119"/>
        <v>0</v>
      </c>
      <c r="AW144" s="346">
        <f t="shared" si="119"/>
        <v>-6800.28</v>
      </c>
      <c r="AX144" s="346">
        <f t="shared" si="119"/>
        <v>0</v>
      </c>
      <c r="AY144" s="346">
        <f t="shared" si="119"/>
        <v>0</v>
      </c>
      <c r="AZ144" s="346">
        <f t="shared" si="119"/>
        <v>0</v>
      </c>
    </row>
    <row r="145" spans="1:52">
      <c r="A145" s="346" t="s">
        <v>721</v>
      </c>
      <c r="B145" s="471">
        <v>45986</v>
      </c>
      <c r="C145" s="346" t="s">
        <v>624</v>
      </c>
      <c r="D145" s="346" t="s">
        <v>625</v>
      </c>
      <c r="E145" s="765">
        <v>28.7</v>
      </c>
      <c r="F145" s="346">
        <v>-498</v>
      </c>
      <c r="G145" s="346">
        <v>29.004999999999999</v>
      </c>
      <c r="H145" s="577">
        <f>Hoja1!H81</f>
        <v>28.515000000000001</v>
      </c>
      <c r="I145" s="467">
        <f t="shared" si="124"/>
        <v>-14444.49</v>
      </c>
      <c r="J145" s="467">
        <f t="shared" si="125"/>
        <v>-14200.470000000001</v>
      </c>
      <c r="K145" s="467">
        <f t="shared" si="95"/>
        <v>92.12999999999937</v>
      </c>
      <c r="L145" s="770">
        <f t="shared" si="100"/>
        <v>244.01999999999921</v>
      </c>
      <c r="M145" s="718">
        <f t="shared" si="104"/>
        <v>-6.4459930313588406E-3</v>
      </c>
      <c r="N145" s="548">
        <f t="shared" si="101"/>
        <v>-14292.6</v>
      </c>
      <c r="O145" s="618">
        <v>0.5</v>
      </c>
      <c r="P145" s="584">
        <f t="shared" si="132"/>
        <v>-7100.2350000000006</v>
      </c>
      <c r="V145" s="346">
        <f t="shared" si="134"/>
        <v>0</v>
      </c>
      <c r="W145" s="346">
        <f t="shared" si="134"/>
        <v>0</v>
      </c>
      <c r="X145" s="346">
        <f t="shared" si="134"/>
        <v>0</v>
      </c>
      <c r="Y145" s="346">
        <f t="shared" si="134"/>
        <v>0</v>
      </c>
      <c r="Z145" s="346">
        <f t="shared" si="134"/>
        <v>0</v>
      </c>
      <c r="AA145" s="346">
        <f t="shared" si="134"/>
        <v>0</v>
      </c>
      <c r="AB145" s="346">
        <f t="shared" si="134"/>
        <v>0</v>
      </c>
      <c r="AC145" s="346">
        <f t="shared" si="134"/>
        <v>0</v>
      </c>
      <c r="AD145" s="346">
        <f t="shared" si="134"/>
        <v>0</v>
      </c>
      <c r="AE145" s="346">
        <f t="shared" si="134"/>
        <v>0</v>
      </c>
      <c r="AF145" s="346">
        <f t="shared" si="134"/>
        <v>0</v>
      </c>
      <c r="AG145" s="346">
        <f t="shared" si="134"/>
        <v>0</v>
      </c>
      <c r="AH145" s="346">
        <f t="shared" si="134"/>
        <v>0</v>
      </c>
      <c r="AI145" s="346">
        <f t="shared" si="134"/>
        <v>0</v>
      </c>
      <c r="AJ145" s="346">
        <f t="shared" si="134"/>
        <v>0</v>
      </c>
      <c r="AK145" s="346">
        <f t="shared" si="134"/>
        <v>0</v>
      </c>
      <c r="AL145" s="346">
        <f t="shared" si="133"/>
        <v>0</v>
      </c>
      <c r="AM145" s="346">
        <f t="shared" si="133"/>
        <v>0</v>
      </c>
      <c r="AN145" s="346">
        <f t="shared" si="133"/>
        <v>0</v>
      </c>
      <c r="AO145" s="346">
        <f t="shared" si="133"/>
        <v>0</v>
      </c>
      <c r="AP145" s="346">
        <f t="shared" si="133"/>
        <v>0</v>
      </c>
      <c r="AQ145" s="346">
        <f t="shared" si="133"/>
        <v>0</v>
      </c>
      <c r="AR145" s="346">
        <f t="shared" si="119"/>
        <v>0</v>
      </c>
      <c r="AS145" s="346">
        <f t="shared" si="119"/>
        <v>0</v>
      </c>
      <c r="AT145" s="346">
        <f t="shared" si="119"/>
        <v>0</v>
      </c>
      <c r="AU145" s="346">
        <f t="shared" si="119"/>
        <v>0</v>
      </c>
      <c r="AV145" s="346">
        <f t="shared" si="119"/>
        <v>0</v>
      </c>
      <c r="AW145" s="346">
        <f t="shared" si="119"/>
        <v>0</v>
      </c>
      <c r="AX145" s="346">
        <f t="shared" si="119"/>
        <v>-14200.470000000001</v>
      </c>
      <c r="AY145" s="346">
        <f t="shared" si="119"/>
        <v>0</v>
      </c>
      <c r="AZ145" s="346">
        <f t="shared" si="119"/>
        <v>0</v>
      </c>
    </row>
    <row r="146" spans="1:52">
      <c r="A146" s="346" t="s">
        <v>721</v>
      </c>
      <c r="B146" s="471">
        <v>45986</v>
      </c>
      <c r="C146" s="346" t="s">
        <v>626</v>
      </c>
      <c r="D146" s="346" t="s">
        <v>191</v>
      </c>
      <c r="E146" s="765">
        <v>146.58000000000001</v>
      </c>
      <c r="F146" s="346">
        <v>-508</v>
      </c>
      <c r="G146" s="346">
        <v>159.245</v>
      </c>
      <c r="H146" s="577">
        <f>Hoja1!H31</f>
        <v>125.72</v>
      </c>
      <c r="I146" s="467">
        <f t="shared" si="124"/>
        <v>-80896.460000000006</v>
      </c>
      <c r="J146" s="467">
        <f t="shared" si="125"/>
        <v>-63865.760000000002</v>
      </c>
      <c r="K146" s="467">
        <f t="shared" si="95"/>
        <v>10596.880000000006</v>
      </c>
      <c r="L146" s="770">
        <f t="shared" si="100"/>
        <v>17030.700000000004</v>
      </c>
      <c r="M146" s="718">
        <f t="shared" si="104"/>
        <v>-0.14231136580706788</v>
      </c>
      <c r="N146" s="548">
        <f t="shared" si="101"/>
        <v>-74462.64</v>
      </c>
      <c r="O146" s="618">
        <v>0.5</v>
      </c>
      <c r="P146" s="584">
        <f t="shared" si="132"/>
        <v>-31932.880000000001</v>
      </c>
      <c r="V146" s="346">
        <f t="shared" si="134"/>
        <v>0</v>
      </c>
      <c r="W146" s="346">
        <f t="shared" si="134"/>
        <v>0</v>
      </c>
      <c r="X146" s="346">
        <f t="shared" si="134"/>
        <v>0</v>
      </c>
      <c r="Y146" s="346">
        <f t="shared" si="134"/>
        <v>0</v>
      </c>
      <c r="Z146" s="346">
        <f t="shared" si="134"/>
        <v>0</v>
      </c>
      <c r="AA146" s="346">
        <f t="shared" si="134"/>
        <v>0</v>
      </c>
      <c r="AB146" s="346">
        <f t="shared" si="134"/>
        <v>0</v>
      </c>
      <c r="AC146" s="346">
        <f t="shared" si="134"/>
        <v>0</v>
      </c>
      <c r="AD146" s="346">
        <f t="shared" si="134"/>
        <v>0</v>
      </c>
      <c r="AE146" s="346">
        <f t="shared" si="134"/>
        <v>0</v>
      </c>
      <c r="AF146" s="346">
        <f t="shared" si="134"/>
        <v>0</v>
      </c>
      <c r="AG146" s="346">
        <f t="shared" si="134"/>
        <v>0</v>
      </c>
      <c r="AH146" s="346">
        <f t="shared" si="134"/>
        <v>0</v>
      </c>
      <c r="AI146" s="346">
        <f t="shared" si="134"/>
        <v>0</v>
      </c>
      <c r="AJ146" s="346">
        <f t="shared" si="134"/>
        <v>0</v>
      </c>
      <c r="AK146" s="346">
        <f t="shared" si="134"/>
        <v>0</v>
      </c>
      <c r="AL146" s="346">
        <f t="shared" si="133"/>
        <v>0</v>
      </c>
      <c r="AM146" s="346">
        <f t="shared" si="133"/>
        <v>0</v>
      </c>
      <c r="AN146" s="346">
        <f t="shared" si="133"/>
        <v>0</v>
      </c>
      <c r="AO146" s="346">
        <f t="shared" si="133"/>
        <v>0</v>
      </c>
      <c r="AP146" s="346">
        <f t="shared" si="133"/>
        <v>0</v>
      </c>
      <c r="AQ146" s="346">
        <f t="shared" si="133"/>
        <v>0</v>
      </c>
      <c r="AR146" s="346">
        <f t="shared" si="119"/>
        <v>0</v>
      </c>
      <c r="AS146" s="346">
        <f t="shared" si="119"/>
        <v>0</v>
      </c>
      <c r="AT146" s="346">
        <f t="shared" ref="AT146:AZ146" si="135">IF(AT$92=$D146,$J146,0)</f>
        <v>0</v>
      </c>
      <c r="AU146" s="346">
        <f t="shared" si="135"/>
        <v>0</v>
      </c>
      <c r="AV146" s="346">
        <f t="shared" si="135"/>
        <v>0</v>
      </c>
      <c r="AW146" s="346">
        <f t="shared" si="135"/>
        <v>0</v>
      </c>
      <c r="AX146" s="346">
        <f t="shared" si="135"/>
        <v>0</v>
      </c>
      <c r="AY146" s="346">
        <f t="shared" si="135"/>
        <v>-63865.760000000002</v>
      </c>
      <c r="AZ146" s="346">
        <f t="shared" si="135"/>
        <v>0</v>
      </c>
    </row>
    <row r="147" spans="1:52">
      <c r="A147" s="346" t="s">
        <v>721</v>
      </c>
      <c r="B147" s="471">
        <v>45986</v>
      </c>
      <c r="C147" s="346" t="s">
        <v>627</v>
      </c>
      <c r="D147" s="346" t="s">
        <v>628</v>
      </c>
      <c r="E147" s="765">
        <v>76.55</v>
      </c>
      <c r="F147" s="346">
        <v>-518</v>
      </c>
      <c r="G147" s="346">
        <v>80.349999999999994</v>
      </c>
      <c r="H147" s="577">
        <f>Hoja1!H72</f>
        <v>63.12</v>
      </c>
      <c r="I147" s="467">
        <f t="shared" si="124"/>
        <v>-41621.299999999996</v>
      </c>
      <c r="J147" s="467">
        <f t="shared" si="125"/>
        <v>-32696.16</v>
      </c>
      <c r="K147" s="467">
        <f t="shared" si="95"/>
        <v>6956.74</v>
      </c>
      <c r="L147" s="770">
        <f t="shared" si="100"/>
        <v>8925.1399999999976</v>
      </c>
      <c r="M147" s="718">
        <f t="shared" si="104"/>
        <v>-0.17544088830829524</v>
      </c>
      <c r="N147" s="548">
        <f t="shared" si="101"/>
        <v>-39652.9</v>
      </c>
      <c r="O147" s="618">
        <v>0.5</v>
      </c>
      <c r="P147" s="584">
        <f t="shared" si="132"/>
        <v>-16348.08</v>
      </c>
      <c r="V147" s="346">
        <f t="shared" si="134"/>
        <v>0</v>
      </c>
      <c r="W147" s="346">
        <f t="shared" si="134"/>
        <v>0</v>
      </c>
      <c r="X147" s="346">
        <f t="shared" si="134"/>
        <v>0</v>
      </c>
      <c r="Y147" s="346">
        <f t="shared" si="134"/>
        <v>0</v>
      </c>
      <c r="Z147" s="346">
        <f t="shared" si="134"/>
        <v>0</v>
      </c>
      <c r="AA147" s="346">
        <f t="shared" si="134"/>
        <v>0</v>
      </c>
      <c r="AB147" s="346">
        <f t="shared" si="134"/>
        <v>0</v>
      </c>
      <c r="AC147" s="346">
        <f t="shared" si="134"/>
        <v>0</v>
      </c>
      <c r="AD147" s="346">
        <f t="shared" si="134"/>
        <v>0</v>
      </c>
      <c r="AE147" s="346">
        <f t="shared" si="134"/>
        <v>0</v>
      </c>
      <c r="AF147" s="346">
        <f t="shared" si="134"/>
        <v>0</v>
      </c>
      <c r="AG147" s="346">
        <f t="shared" si="134"/>
        <v>0</v>
      </c>
      <c r="AH147" s="346">
        <f t="shared" si="134"/>
        <v>0</v>
      </c>
      <c r="AI147" s="346">
        <f t="shared" si="134"/>
        <v>0</v>
      </c>
      <c r="AJ147" s="346">
        <f t="shared" si="134"/>
        <v>0</v>
      </c>
      <c r="AK147" s="346">
        <f t="shared" si="134"/>
        <v>0</v>
      </c>
      <c r="AL147" s="346">
        <f t="shared" si="133"/>
        <v>0</v>
      </c>
      <c r="AM147" s="346">
        <f t="shared" si="133"/>
        <v>0</v>
      </c>
      <c r="AN147" s="346">
        <f t="shared" si="133"/>
        <v>0</v>
      </c>
      <c r="AO147" s="346">
        <f t="shared" si="133"/>
        <v>0</v>
      </c>
      <c r="AP147" s="346">
        <f t="shared" si="133"/>
        <v>0</v>
      </c>
      <c r="AQ147" s="346">
        <f t="shared" si="133"/>
        <v>0</v>
      </c>
      <c r="AR147" s="346">
        <f t="shared" ref="AR147:AZ147" si="136">IF(AR$92=$D147,$J147,0)</f>
        <v>0</v>
      </c>
      <c r="AS147" s="346">
        <f t="shared" si="136"/>
        <v>0</v>
      </c>
      <c r="AT147" s="346">
        <f t="shared" si="136"/>
        <v>0</v>
      </c>
      <c r="AU147" s="346">
        <f t="shared" si="136"/>
        <v>0</v>
      </c>
      <c r="AV147" s="346">
        <f t="shared" si="136"/>
        <v>0</v>
      </c>
      <c r="AW147" s="346">
        <f t="shared" si="136"/>
        <v>0</v>
      </c>
      <c r="AX147" s="346">
        <f t="shared" si="136"/>
        <v>0</v>
      </c>
      <c r="AY147" s="346">
        <f t="shared" si="136"/>
        <v>0</v>
      </c>
      <c r="AZ147" s="346">
        <f t="shared" si="136"/>
        <v>-32696.16</v>
      </c>
    </row>
    <row r="148" spans="1:52" ht="14.5">
      <c r="A148" s="468"/>
      <c r="B148" s="471"/>
      <c r="E148" s="484"/>
      <c r="H148" s="577"/>
      <c r="I148" s="467"/>
      <c r="J148" s="467"/>
      <c r="K148" s="467"/>
      <c r="L148" s="770"/>
      <c r="M148" s="718"/>
    </row>
    <row r="149" spans="1:52" ht="14.5">
      <c r="A149" s="468"/>
      <c r="B149" s="467"/>
      <c r="E149" s="484"/>
      <c r="H149" s="577"/>
      <c r="I149" s="467"/>
      <c r="J149" s="467"/>
      <c r="K149" s="467"/>
      <c r="L149" s="770"/>
      <c r="M149" s="718"/>
      <c r="O149" s="584"/>
    </row>
    <row r="150" spans="1:52">
      <c r="B150" s="467"/>
      <c r="E150" s="484"/>
      <c r="I150" s="365">
        <f>SUBTOTAL(9,I94:I149)</f>
        <v>-46322816.14649801</v>
      </c>
      <c r="J150" s="365">
        <f>SUBTOTAL(9,J94:J149)</f>
        <v>-46034758.751999982</v>
      </c>
      <c r="K150" s="771">
        <f>SUBTOTAL(9,K94:K149)</f>
        <v>65103.667999997262</v>
      </c>
      <c r="L150" s="771">
        <f>SUBTOTAL(9,L94:L149)</f>
        <v>288057.39449799998</v>
      </c>
      <c r="M150" s="719">
        <f>K150/N150</f>
        <v>-1.4122312862207725E-3</v>
      </c>
      <c r="N150" s="741">
        <f>SUBTOTAL(9,N94:N149)</f>
        <v>-46099862.420000009</v>
      </c>
      <c r="O150" s="584"/>
      <c r="P150" s="584"/>
      <c r="V150" s="346" t="str">
        <f t="shared" ref="V150:AZ150" si="137">+V92</f>
        <v>AMZN</v>
      </c>
      <c r="W150" s="346" t="str">
        <f t="shared" si="137"/>
        <v>ARGT</v>
      </c>
      <c r="X150" s="346" t="str">
        <f t="shared" si="137"/>
        <v>BCH</v>
      </c>
      <c r="Y150" s="346" t="str">
        <f t="shared" si="137"/>
        <v>BLK</v>
      </c>
      <c r="Z150" s="346" t="str">
        <f t="shared" si="137"/>
        <v>BRK/B</v>
      </c>
      <c r="AA150" s="346" t="str">
        <f t="shared" si="137"/>
        <v>CRCL</v>
      </c>
      <c r="AB150" s="346" t="str">
        <f t="shared" si="137"/>
        <v>AIQ</v>
      </c>
      <c r="AC150" s="346" t="str">
        <f t="shared" si="137"/>
        <v>QQQ</v>
      </c>
      <c r="AD150" s="346" t="str">
        <f t="shared" si="137"/>
        <v>ESM6</v>
      </c>
      <c r="AE150" s="346" t="str">
        <f t="shared" si="137"/>
        <v>SPY</v>
      </c>
      <c r="AF150" s="346" t="str">
        <f t="shared" si="137"/>
        <v>GOOG</v>
      </c>
      <c r="AG150" s="346" t="str">
        <f t="shared" si="137"/>
        <v>LTM</v>
      </c>
      <c r="AH150" s="346" t="str">
        <f t="shared" si="137"/>
        <v>META</v>
      </c>
      <c r="AI150" s="346" t="str">
        <f t="shared" si="137"/>
        <v>MSFT</v>
      </c>
      <c r="AJ150" s="346" t="str">
        <f t="shared" si="137"/>
        <v>NVDA</v>
      </c>
      <c r="AK150" s="346" t="str">
        <f t="shared" si="137"/>
        <v>TGS</v>
      </c>
      <c r="AL150" s="346" t="str">
        <f t="shared" si="137"/>
        <v>USCI</v>
      </c>
      <c r="AM150" s="346" t="str">
        <f t="shared" si="137"/>
        <v>PLTR</v>
      </c>
      <c r="AN150" s="346" t="str">
        <f t="shared" si="137"/>
        <v>FCX</v>
      </c>
      <c r="AO150" s="346" t="str">
        <f t="shared" si="137"/>
        <v>XBI</v>
      </c>
      <c r="AP150" s="346" t="str">
        <f t="shared" si="137"/>
        <v>ARKK</v>
      </c>
      <c r="AQ150" s="346" t="str">
        <f t="shared" si="137"/>
        <v>ECH</v>
      </c>
      <c r="AR150" s="346" t="str">
        <f t="shared" si="137"/>
        <v>QTUM</v>
      </c>
      <c r="AS150" s="346" t="str">
        <f t="shared" si="137"/>
        <v>SLV</v>
      </c>
      <c r="AT150" s="346" t="str">
        <f t="shared" si="137"/>
        <v>IIF</v>
      </c>
      <c r="AU150" s="346" t="str">
        <f t="shared" si="137"/>
        <v>RKLB</v>
      </c>
      <c r="AV150" s="346" t="str">
        <f t="shared" si="137"/>
        <v xml:space="preserve">XIACY </v>
      </c>
      <c r="AW150" s="346" t="str">
        <f t="shared" si="137"/>
        <v>BYDDY</v>
      </c>
      <c r="AX150" s="346" t="str">
        <f t="shared" si="137"/>
        <v>JD</v>
      </c>
      <c r="AY150" s="346" t="str">
        <f t="shared" si="137"/>
        <v>BABA</v>
      </c>
      <c r="AZ150" s="346" t="str">
        <f t="shared" si="137"/>
        <v xml:space="preserve">TCEHY </v>
      </c>
    </row>
    <row r="151" spans="1:52">
      <c r="B151" s="467"/>
      <c r="E151" s="484"/>
      <c r="K151" s="346"/>
      <c r="L151" s="472"/>
      <c r="N151" s="346" t="s">
        <v>523</v>
      </c>
      <c r="O151" s="346" t="s">
        <v>524</v>
      </c>
      <c r="V151" s="626">
        <f t="shared" ref="V151:AZ151" si="138">SUM(V93:V149)</f>
        <v>2995.8912</v>
      </c>
      <c r="W151" s="626">
        <f t="shared" si="138"/>
        <v>-697.43759999999997</v>
      </c>
      <c r="X151" s="626">
        <f t="shared" si="138"/>
        <v>-689.22</v>
      </c>
      <c r="Y151" s="626">
        <f t="shared" si="138"/>
        <v>-28073.78</v>
      </c>
      <c r="Z151" s="626">
        <f t="shared" si="138"/>
        <v>-18241.519999999997</v>
      </c>
      <c r="AA151" s="626">
        <f t="shared" si="138"/>
        <v>-5701.0607999999993</v>
      </c>
      <c r="AB151" s="626">
        <f t="shared" si="138"/>
        <v>-10125.540000000001</v>
      </c>
      <c r="AC151" s="626">
        <f t="shared" si="138"/>
        <v>-251787.62</v>
      </c>
      <c r="AD151" s="626">
        <f t="shared" si="138"/>
        <v>-43971928</v>
      </c>
      <c r="AE151" s="626">
        <f t="shared" si="138"/>
        <v>-194265.5</v>
      </c>
      <c r="AF151" s="626">
        <f t="shared" si="138"/>
        <v>-49953.279999999992</v>
      </c>
      <c r="AG151" s="626">
        <f t="shared" si="138"/>
        <v>-48814.2</v>
      </c>
      <c r="AH151" s="626">
        <f t="shared" si="138"/>
        <v>-430923.97</v>
      </c>
      <c r="AI151" s="626">
        <f t="shared" si="138"/>
        <v>-190721.51999999996</v>
      </c>
      <c r="AJ151" s="626">
        <f t="shared" si="138"/>
        <v>-157067.21999999997</v>
      </c>
      <c r="AK151" s="626">
        <f t="shared" si="138"/>
        <v>-9929.36</v>
      </c>
      <c r="AL151" s="626">
        <f t="shared" si="138"/>
        <v>-29782.059999999998</v>
      </c>
      <c r="AM151" s="626">
        <f t="shared" si="138"/>
        <v>-85420.580000000016</v>
      </c>
      <c r="AN151" s="626">
        <f t="shared" si="138"/>
        <v>-46335.869999999995</v>
      </c>
      <c r="AO151" s="626">
        <f t="shared" si="138"/>
        <v>-96165.959999999992</v>
      </c>
      <c r="AP151" s="626">
        <f t="shared" si="138"/>
        <v>-26832.329999999998</v>
      </c>
      <c r="AQ151" s="626">
        <f t="shared" si="138"/>
        <v>-68364.919999999984</v>
      </c>
      <c r="AR151" s="626">
        <f t="shared" si="138"/>
        <v>-101607.78</v>
      </c>
      <c r="AS151" s="626">
        <f t="shared" si="138"/>
        <v>-44446.124799999998</v>
      </c>
      <c r="AT151" s="626">
        <f t="shared" si="138"/>
        <v>-10064.550000000001</v>
      </c>
      <c r="AU151" s="626">
        <f t="shared" si="138"/>
        <v>-32895.719999999994</v>
      </c>
      <c r="AV151" s="626">
        <f t="shared" si="138"/>
        <v>-9356.85</v>
      </c>
      <c r="AW151" s="626">
        <f t="shared" si="138"/>
        <v>-6800.28</v>
      </c>
      <c r="AX151" s="626">
        <f t="shared" si="138"/>
        <v>-14200.470000000001</v>
      </c>
      <c r="AY151" s="626">
        <f t="shared" si="138"/>
        <v>-63865.760000000002</v>
      </c>
      <c r="AZ151" s="626">
        <f t="shared" si="138"/>
        <v>-32696.16</v>
      </c>
    </row>
    <row r="152" spans="1:52">
      <c r="B152" s="467"/>
      <c r="E152" s="484"/>
      <c r="K152" s="346"/>
      <c r="L152" s="472" t="s">
        <v>493</v>
      </c>
      <c r="M152" s="718">
        <f>(Hoja1!H12-681.92)/681.92</f>
        <v>-3.915415297982108E-3</v>
      </c>
      <c r="N152" s="561">
        <v>0.15</v>
      </c>
      <c r="O152" s="346">
        <f>+M152/N152</f>
        <v>-2.6102768653214054E-2</v>
      </c>
    </row>
    <row r="153" spans="1:52">
      <c r="B153" s="467"/>
      <c r="E153" s="484"/>
      <c r="F153" s="484"/>
      <c r="K153" s="346"/>
      <c r="L153" s="472" t="s">
        <v>494</v>
      </c>
      <c r="M153" s="718">
        <f>(-614.31+Hoja1!H154)/614.31</f>
        <v>-5.1684003190570803E-3</v>
      </c>
      <c r="N153" s="561">
        <v>0.23</v>
      </c>
      <c r="O153" s="346">
        <f>+M153/N153</f>
        <v>-2.2471305735030783E-2</v>
      </c>
    </row>
    <row r="154" spans="1:52">
      <c r="K154" s="346"/>
      <c r="L154" s="472" t="s">
        <v>525</v>
      </c>
      <c r="M154" s="718">
        <f>(-50.86+Hoja1!H174)/50.86</f>
        <v>-2.4085725521038031E-2</v>
      </c>
      <c r="N154" s="561">
        <v>0.19309999999999999</v>
      </c>
      <c r="O154" s="346">
        <f>+M154/N154</f>
        <v>-0.12473187737461436</v>
      </c>
    </row>
    <row r="155" spans="1:52">
      <c r="E155" s="484">
        <f>SUBTOTAL(9,E72:E153)</f>
        <v>38144.326081390544</v>
      </c>
      <c r="F155" s="484"/>
      <c r="L155" s="346" t="s">
        <v>710</v>
      </c>
      <c r="M155" s="618" t="e">
        <f>LN(#REF!/4346.2)</f>
        <v>#REF!</v>
      </c>
      <c r="N155" s="618">
        <v>0.17</v>
      </c>
      <c r="O155" s="346" t="e">
        <f>+M155/N155</f>
        <v>#REF!</v>
      </c>
    </row>
    <row r="156" spans="1:52">
      <c r="B156" s="580"/>
      <c r="M156" s="618">
        <f>LN(92/71.26)</f>
        <v>0.25545341687135026</v>
      </c>
    </row>
    <row r="157" spans="1:52" ht="18">
      <c r="A157" s="859" t="s">
        <v>519</v>
      </c>
      <c r="B157" s="860"/>
      <c r="C157" s="860"/>
      <c r="D157" s="860"/>
      <c r="E157" s="860"/>
      <c r="F157" s="860"/>
      <c r="G157" s="860"/>
      <c r="H157" s="860"/>
      <c r="I157" s="860"/>
      <c r="J157" s="860"/>
      <c r="K157" s="861"/>
    </row>
    <row r="159" spans="1:52" ht="12.5">
      <c r="A159" s="17" t="s">
        <v>64</v>
      </c>
      <c r="B159" s="17" t="s">
        <v>324</v>
      </c>
      <c r="C159" s="17" t="s">
        <v>35</v>
      </c>
      <c r="D159" s="6" t="s">
        <v>17</v>
      </c>
      <c r="E159" s="6" t="s">
        <v>202</v>
      </c>
      <c r="F159" s="6" t="s">
        <v>201</v>
      </c>
      <c r="G159" s="6" t="s">
        <v>19</v>
      </c>
      <c r="H159" s="6" t="s">
        <v>18</v>
      </c>
      <c r="I159" s="6" t="s">
        <v>21</v>
      </c>
      <c r="J159" s="6" t="s">
        <v>331</v>
      </c>
      <c r="K159" s="742" t="s">
        <v>335</v>
      </c>
      <c r="L159" s="720" t="s">
        <v>585</v>
      </c>
    </row>
    <row r="160" spans="1:52">
      <c r="A160" s="346" t="s">
        <v>693</v>
      </c>
      <c r="B160" s="471">
        <v>46077</v>
      </c>
      <c r="C160" s="643" t="s">
        <v>765</v>
      </c>
      <c r="D160" s="346">
        <v>0.2</v>
      </c>
      <c r="E160" s="561">
        <v>4.0300000000000002E-2</v>
      </c>
      <c r="G160" s="517">
        <f>113+8/32</f>
        <v>113.25</v>
      </c>
      <c r="H160" s="484">
        <f>G160*1000*D160</f>
        <v>22650</v>
      </c>
      <c r="I160" s="517">
        <f>111+10/32</f>
        <v>111.3125</v>
      </c>
      <c r="J160" s="484">
        <f>D160*(I160-G160)*1000</f>
        <v>-387.5</v>
      </c>
      <c r="L160" s="471"/>
    </row>
    <row r="161" spans="1:14">
      <c r="A161" s="346" t="s">
        <v>693</v>
      </c>
      <c r="B161" s="471">
        <v>46080</v>
      </c>
      <c r="C161" s="643" t="s">
        <v>765</v>
      </c>
      <c r="D161" s="346">
        <v>0.2</v>
      </c>
      <c r="E161" s="561">
        <v>3.9699999999999999E-2</v>
      </c>
      <c r="G161" s="517">
        <v>113.65625</v>
      </c>
      <c r="H161" s="484">
        <f>G161*1000*D161</f>
        <v>22731.25</v>
      </c>
      <c r="I161" s="517">
        <f>I160</f>
        <v>111.3125</v>
      </c>
      <c r="J161" s="484">
        <f>D161*(I161-G161)*1000</f>
        <v>-468.75</v>
      </c>
      <c r="L161" s="471"/>
    </row>
    <row r="162" spans="1:14">
      <c r="A162" s="346" t="s">
        <v>693</v>
      </c>
      <c r="B162" s="471">
        <v>46090</v>
      </c>
      <c r="C162" s="643" t="s">
        <v>765</v>
      </c>
      <c r="D162" s="346">
        <v>0.2</v>
      </c>
      <c r="E162" s="561">
        <v>4.1300000000000003E-2</v>
      </c>
      <c r="G162" s="517">
        <v>112.390625</v>
      </c>
      <c r="H162" s="484">
        <f>G162*1000*D162</f>
        <v>22478.125</v>
      </c>
      <c r="I162" s="517">
        <f>I161</f>
        <v>111.3125</v>
      </c>
      <c r="J162" s="484">
        <f>D162*(I162-G162)*1000</f>
        <v>-215.625</v>
      </c>
      <c r="L162" s="471"/>
    </row>
    <row r="163" spans="1:14">
      <c r="A163" s="346" t="s">
        <v>713</v>
      </c>
      <c r="B163" s="471">
        <v>46097</v>
      </c>
      <c r="C163" s="643" t="s">
        <v>765</v>
      </c>
      <c r="D163" s="346">
        <v>0.2</v>
      </c>
      <c r="E163" s="561">
        <v>4.87E-2</v>
      </c>
      <c r="G163" s="644">
        <v>117.01</v>
      </c>
      <c r="H163" s="484">
        <f>G163*1000*D163</f>
        <v>23402</v>
      </c>
      <c r="I163" s="644">
        <f>117+13/32</f>
        <v>117.40625</v>
      </c>
      <c r="J163" s="484">
        <f>D163*(I163-G163)*1000</f>
        <v>79.249999999998991</v>
      </c>
      <c r="L163" s="471"/>
    </row>
    <row r="164" spans="1:14">
      <c r="B164" s="471"/>
      <c r="C164" s="643"/>
      <c r="E164" s="561"/>
      <c r="G164" s="644"/>
      <c r="H164" s="484"/>
      <c r="I164" s="517"/>
      <c r="J164" s="484"/>
      <c r="L164" s="471"/>
    </row>
    <row r="165" spans="1:14">
      <c r="I165" s="548"/>
    </row>
    <row r="166" spans="1:14">
      <c r="D166" s="580">
        <f>SUM(D160:D165)</f>
        <v>0.8</v>
      </c>
      <c r="H166" s="580">
        <f>SUM(H160:H165)</f>
        <v>91261.375</v>
      </c>
      <c r="J166" s="580">
        <f>SUM(J160:J165)</f>
        <v>-992.62500000000102</v>
      </c>
    </row>
    <row r="168" spans="1:14">
      <c r="H168" s="584"/>
    </row>
    <row r="171" spans="1:14">
      <c r="A171"/>
      <c r="B171" t="s">
        <v>567</v>
      </c>
      <c r="C171">
        <v>997.91</v>
      </c>
      <c r="D171" s="610">
        <v>45657</v>
      </c>
      <c r="E171"/>
      <c r="F171"/>
      <c r="G171"/>
      <c r="H171"/>
      <c r="I171"/>
      <c r="J171"/>
      <c r="K171" s="328"/>
      <c r="L171"/>
      <c r="M171"/>
    </row>
    <row r="172" spans="1:14">
      <c r="A172"/>
      <c r="B172"/>
      <c r="C172"/>
      <c r="D172"/>
      <c r="E172"/>
      <c r="F172"/>
      <c r="G172"/>
      <c r="H172"/>
      <c r="I172"/>
      <c r="J172"/>
      <c r="K172" s="328"/>
      <c r="L172"/>
      <c r="M172"/>
    </row>
    <row r="173" spans="1:14" ht="29">
      <c r="A173" s="641" t="s">
        <v>568</v>
      </c>
      <c r="B173" s="642" t="s">
        <v>516</v>
      </c>
      <c r="C173" s="642" t="s">
        <v>569</v>
      </c>
      <c r="D173" s="641" t="s">
        <v>570</v>
      </c>
      <c r="E173" s="641" t="s">
        <v>571</v>
      </c>
      <c r="F173" s="641" t="s">
        <v>572</v>
      </c>
      <c r="G173" s="642" t="s">
        <v>171</v>
      </c>
      <c r="H173" s="642" t="s">
        <v>573</v>
      </c>
      <c r="I173" s="642" t="s">
        <v>574</v>
      </c>
      <c r="J173" s="642" t="s">
        <v>575</v>
      </c>
      <c r="K173" s="642" t="s">
        <v>576</v>
      </c>
      <c r="L173" s="642" t="s">
        <v>577</v>
      </c>
      <c r="M173" s="641" t="s">
        <v>578</v>
      </c>
    </row>
    <row r="174" spans="1:14">
      <c r="A174" s="632">
        <v>45372</v>
      </c>
      <c r="B174" s="844" t="s">
        <v>771</v>
      </c>
      <c r="C174" s="844" t="s">
        <v>772</v>
      </c>
      <c r="D174" s="844" t="s">
        <v>788</v>
      </c>
      <c r="E174" s="634">
        <v>12</v>
      </c>
      <c r="F174" s="634">
        <v>13</v>
      </c>
      <c r="G174" s="635">
        <v>1.6095857385660231E-2</v>
      </c>
      <c r="H174" s="634" t="s">
        <v>349</v>
      </c>
      <c r="I174" s="633" t="s">
        <v>579</v>
      </c>
      <c r="J174" s="636">
        <f ca="1">TODAY()-A174</f>
        <v>753</v>
      </c>
      <c r="K174" s="744">
        <v>0</v>
      </c>
      <c r="L174" s="721">
        <f t="shared" ref="L174:L189" si="139">(K174+F174-E174)/E174</f>
        <v>8.3333333333333329E-2</v>
      </c>
      <c r="M174" s="637">
        <f t="shared" ref="M174:M189" ca="1" si="140">(1+L174)^(360/J174)-1</f>
        <v>3.9009057881843612E-2</v>
      </c>
      <c r="N174" s="346" t="s">
        <v>594</v>
      </c>
    </row>
    <row r="175" spans="1:14">
      <c r="A175" s="632">
        <v>45463</v>
      </c>
      <c r="B175" s="844" t="s">
        <v>771</v>
      </c>
      <c r="C175" s="844" t="s">
        <v>773</v>
      </c>
      <c r="D175" s="844" t="s">
        <v>789</v>
      </c>
      <c r="E175" s="634">
        <v>12</v>
      </c>
      <c r="F175" s="634">
        <v>13</v>
      </c>
      <c r="G175" s="635">
        <v>7.2191578822848906E-2</v>
      </c>
      <c r="H175" s="634" t="s">
        <v>349</v>
      </c>
      <c r="I175" s="633" t="s">
        <v>579</v>
      </c>
      <c r="J175" s="636">
        <f t="shared" ref="J175:J189" ca="1" si="141">TODAY()-A175</f>
        <v>662</v>
      </c>
      <c r="K175" s="744">
        <v>0</v>
      </c>
      <c r="L175" s="721">
        <f t="shared" si="139"/>
        <v>8.3333333333333329E-2</v>
      </c>
      <c r="M175" s="637">
        <f t="shared" ca="1" si="140"/>
        <v>4.4488985204257814E-2</v>
      </c>
    </row>
    <row r="176" spans="1:14">
      <c r="A176" s="632">
        <v>45743</v>
      </c>
      <c r="B176" s="844" t="s">
        <v>771</v>
      </c>
      <c r="C176" s="844" t="s">
        <v>774</v>
      </c>
      <c r="D176" s="844" t="s">
        <v>790</v>
      </c>
      <c r="E176" s="634">
        <v>12</v>
      </c>
      <c r="F176" s="634">
        <v>13</v>
      </c>
      <c r="G176" s="635">
        <v>3.5928253092991587E-2</v>
      </c>
      <c r="H176" s="634" t="s">
        <v>349</v>
      </c>
      <c r="I176" s="633" t="s">
        <v>580</v>
      </c>
      <c r="J176" s="636">
        <f t="shared" ca="1" si="141"/>
        <v>382</v>
      </c>
      <c r="K176" s="744"/>
      <c r="L176" s="721">
        <f t="shared" si="139"/>
        <v>8.3333333333333329E-2</v>
      </c>
      <c r="M176" s="637">
        <f t="shared" ca="1" si="140"/>
        <v>7.8350887601590369E-2</v>
      </c>
      <c r="N176" s="346" t="s">
        <v>594</v>
      </c>
    </row>
    <row r="177" spans="1:14">
      <c r="A177" s="632">
        <v>45527</v>
      </c>
      <c r="B177" s="844" t="s">
        <v>771</v>
      </c>
      <c r="C177" s="844" t="s">
        <v>775</v>
      </c>
      <c r="D177" s="844" t="s">
        <v>791</v>
      </c>
      <c r="E177" s="634">
        <v>12</v>
      </c>
      <c r="F177" s="634">
        <v>13</v>
      </c>
      <c r="G177" s="635">
        <v>6.7365474549359219E-2</v>
      </c>
      <c r="H177" s="634" t="s">
        <v>349</v>
      </c>
      <c r="I177" s="633" t="s">
        <v>580</v>
      </c>
      <c r="J177" s="636">
        <f t="shared" ca="1" si="141"/>
        <v>598</v>
      </c>
      <c r="K177" s="744">
        <v>0</v>
      </c>
      <c r="L177" s="721">
        <f t="shared" si="139"/>
        <v>8.3333333333333329E-2</v>
      </c>
      <c r="M177" s="637">
        <f t="shared" ca="1" si="140"/>
        <v>4.9366076753735388E-2</v>
      </c>
      <c r="N177" s="346" t="s">
        <v>594</v>
      </c>
    </row>
    <row r="178" spans="1:14">
      <c r="A178" s="632">
        <v>45434</v>
      </c>
      <c r="B178" s="844" t="s">
        <v>771</v>
      </c>
      <c r="C178" s="844" t="s">
        <v>776</v>
      </c>
      <c r="D178" s="844" t="s">
        <v>792</v>
      </c>
      <c r="E178" s="634">
        <v>12</v>
      </c>
      <c r="F178" s="634">
        <v>13</v>
      </c>
      <c r="G178" s="635">
        <v>2.8540685692010657E-2</v>
      </c>
      <c r="H178" s="634" t="s">
        <v>349</v>
      </c>
      <c r="I178" s="633" t="s">
        <v>580</v>
      </c>
      <c r="J178" s="636">
        <f t="shared" ca="1" si="141"/>
        <v>691</v>
      </c>
      <c r="K178" s="744">
        <v>0</v>
      </c>
      <c r="L178" s="721">
        <f t="shared" si="139"/>
        <v>8.3333333333333329E-2</v>
      </c>
      <c r="M178" s="637">
        <f t="shared" ca="1" si="140"/>
        <v>4.2582675415650639E-2</v>
      </c>
      <c r="N178" s="346" t="s">
        <v>594</v>
      </c>
    </row>
    <row r="179" spans="1:14">
      <c r="A179" s="632">
        <v>45067</v>
      </c>
      <c r="B179" s="844" t="s">
        <v>771</v>
      </c>
      <c r="C179" s="844" t="s">
        <v>777</v>
      </c>
      <c r="D179" s="844" t="s">
        <v>793</v>
      </c>
      <c r="E179" s="634">
        <v>12</v>
      </c>
      <c r="F179" s="634">
        <v>13</v>
      </c>
      <c r="G179" s="635">
        <v>1.9952396072661947E-2</v>
      </c>
      <c r="H179" s="634" t="s">
        <v>349</v>
      </c>
      <c r="I179" s="633" t="s">
        <v>580</v>
      </c>
      <c r="J179" s="636">
        <f t="shared" ca="1" si="141"/>
        <v>1058</v>
      </c>
      <c r="K179" s="744">
        <v>0</v>
      </c>
      <c r="L179" s="721">
        <f t="shared" si="139"/>
        <v>8.3333333333333329E-2</v>
      </c>
      <c r="M179" s="637">
        <f t="shared" ca="1" si="140"/>
        <v>2.7609985937200321E-2</v>
      </c>
      <c r="N179" s="346" t="s">
        <v>594</v>
      </c>
    </row>
    <row r="180" spans="1:14">
      <c r="A180" s="632">
        <v>45135</v>
      </c>
      <c r="B180" s="844" t="s">
        <v>771</v>
      </c>
      <c r="C180" s="844" t="s">
        <v>778</v>
      </c>
      <c r="D180" s="844" t="s">
        <v>794</v>
      </c>
      <c r="E180" s="634">
        <v>12</v>
      </c>
      <c r="F180" s="634">
        <v>13</v>
      </c>
      <c r="G180" s="635">
        <v>2.0034312489713969E-2</v>
      </c>
      <c r="H180" s="634" t="s">
        <v>349</v>
      </c>
      <c r="I180" s="633" t="s">
        <v>580</v>
      </c>
      <c r="J180" s="636">
        <f t="shared" ca="1" si="141"/>
        <v>990</v>
      </c>
      <c r="K180" s="744">
        <v>0</v>
      </c>
      <c r="L180" s="721">
        <f t="shared" si="139"/>
        <v>8.3333333333333329E-2</v>
      </c>
      <c r="M180" s="637">
        <f t="shared" ca="1" si="140"/>
        <v>2.9534171389620667E-2</v>
      </c>
      <c r="N180" s="346" t="s">
        <v>594</v>
      </c>
    </row>
    <row r="181" spans="1:14">
      <c r="A181" s="632">
        <v>43290</v>
      </c>
      <c r="B181" s="844" t="s">
        <v>771</v>
      </c>
      <c r="C181" s="844" t="s">
        <v>779</v>
      </c>
      <c r="D181" s="844" t="s">
        <v>795</v>
      </c>
      <c r="E181" s="634">
        <v>12</v>
      </c>
      <c r="F181" s="634">
        <v>13</v>
      </c>
      <c r="G181" s="635">
        <v>0.11176819655590092</v>
      </c>
      <c r="H181" s="634" t="s">
        <v>349</v>
      </c>
      <c r="I181" s="633" t="s">
        <v>579</v>
      </c>
      <c r="J181" s="636">
        <f t="shared" ca="1" si="141"/>
        <v>2835</v>
      </c>
      <c r="K181" s="744">
        <v>11316</v>
      </c>
      <c r="L181" s="721">
        <f t="shared" si="139"/>
        <v>943.08333333333337</v>
      </c>
      <c r="M181" s="637">
        <f ca="1">(1+L181)^(360/J181)-1</f>
        <v>1.3865969958641609</v>
      </c>
    </row>
    <row r="182" spans="1:14">
      <c r="A182" s="632">
        <v>43831</v>
      </c>
      <c r="B182" s="844" t="s">
        <v>771</v>
      </c>
      <c r="C182" s="844" t="s">
        <v>780</v>
      </c>
      <c r="D182" s="844" t="s">
        <v>796</v>
      </c>
      <c r="E182" s="634">
        <v>12</v>
      </c>
      <c r="F182" s="634">
        <v>13</v>
      </c>
      <c r="G182" s="635">
        <v>0.22706655954770683</v>
      </c>
      <c r="H182" s="634" t="s">
        <v>349</v>
      </c>
      <c r="I182" s="633" t="s">
        <v>580</v>
      </c>
      <c r="J182" s="636">
        <f t="shared" ca="1" si="141"/>
        <v>2294</v>
      </c>
      <c r="K182" s="744">
        <v>175863.41975729275</v>
      </c>
      <c r="L182" s="721">
        <f t="shared" si="139"/>
        <v>14655.368313107729</v>
      </c>
      <c r="M182" s="637">
        <f t="shared" ca="1" si="140"/>
        <v>3.5058756655724528</v>
      </c>
    </row>
    <row r="183" spans="1:14">
      <c r="A183" s="632">
        <v>43831</v>
      </c>
      <c r="B183" s="844" t="s">
        <v>771</v>
      </c>
      <c r="C183" s="844" t="s">
        <v>781</v>
      </c>
      <c r="D183" s="844" t="s">
        <v>797</v>
      </c>
      <c r="E183" s="634">
        <v>12</v>
      </c>
      <c r="F183" s="634">
        <v>13</v>
      </c>
      <c r="G183" s="635">
        <v>5.9281617603436115E-2</v>
      </c>
      <c r="H183" s="634" t="s">
        <v>349</v>
      </c>
      <c r="I183" s="633" t="s">
        <v>580</v>
      </c>
      <c r="J183" s="636">
        <f t="shared" ca="1" si="141"/>
        <v>2294</v>
      </c>
      <c r="K183" s="744">
        <v>0</v>
      </c>
      <c r="L183" s="721">
        <f t="shared" si="139"/>
        <v>8.3333333333333329E-2</v>
      </c>
      <c r="M183" s="637">
        <f t="shared" ca="1" si="140"/>
        <v>1.264041527587767E-2</v>
      </c>
    </row>
    <row r="184" spans="1:14">
      <c r="A184" s="632">
        <v>43831</v>
      </c>
      <c r="B184" s="844" t="s">
        <v>771</v>
      </c>
      <c r="C184" s="844" t="s">
        <v>782</v>
      </c>
      <c r="D184" s="844" t="s">
        <v>798</v>
      </c>
      <c r="E184" s="634">
        <v>12</v>
      </c>
      <c r="F184" s="634">
        <v>13</v>
      </c>
      <c r="G184" s="635">
        <v>8.9102067670619137E-2</v>
      </c>
      <c r="H184" s="634" t="s">
        <v>349</v>
      </c>
      <c r="I184" s="633" t="s">
        <v>580</v>
      </c>
      <c r="J184" s="636">
        <f t="shared" ca="1" si="141"/>
        <v>2294</v>
      </c>
      <c r="K184" s="744">
        <v>0</v>
      </c>
      <c r="L184" s="721">
        <f t="shared" si="139"/>
        <v>8.3333333333333329E-2</v>
      </c>
      <c r="M184" s="637">
        <f t="shared" ca="1" si="140"/>
        <v>1.264041527587767E-2</v>
      </c>
    </row>
    <row r="185" spans="1:14">
      <c r="A185" s="632">
        <v>45575</v>
      </c>
      <c r="B185" s="844" t="s">
        <v>771</v>
      </c>
      <c r="C185" s="844" t="s">
        <v>783</v>
      </c>
      <c r="D185" s="844" t="s">
        <v>799</v>
      </c>
      <c r="E185" s="634">
        <v>12</v>
      </c>
      <c r="F185" s="634">
        <v>13</v>
      </c>
      <c r="G185" s="635">
        <v>3.7437239722897232E-2</v>
      </c>
      <c r="H185" s="634" t="s">
        <v>349</v>
      </c>
      <c r="I185" s="633" t="s">
        <v>580</v>
      </c>
      <c r="J185" s="636">
        <f t="shared" ca="1" si="141"/>
        <v>550</v>
      </c>
      <c r="K185" s="744">
        <v>0</v>
      </c>
      <c r="L185" s="721">
        <f t="shared" si="139"/>
        <v>8.3333333333333329E-2</v>
      </c>
      <c r="M185" s="637">
        <f t="shared" ca="1" si="140"/>
        <v>5.3788315197566661E-2</v>
      </c>
    </row>
    <row r="186" spans="1:14">
      <c r="A186" s="632">
        <v>43255</v>
      </c>
      <c r="B186" s="844" t="s">
        <v>771</v>
      </c>
      <c r="C186" s="844" t="s">
        <v>784</v>
      </c>
      <c r="D186" s="844" t="s">
        <v>800</v>
      </c>
      <c r="E186" s="634">
        <v>12</v>
      </c>
      <c r="F186" s="634">
        <v>13</v>
      </c>
      <c r="G186" s="635">
        <v>0.16124980971330424</v>
      </c>
      <c r="H186" s="634" t="s">
        <v>349</v>
      </c>
      <c r="I186" s="633" t="s">
        <v>580</v>
      </c>
      <c r="J186" s="636">
        <f t="shared" ca="1" si="141"/>
        <v>2870</v>
      </c>
      <c r="K186" s="744">
        <v>733611.92999999993</v>
      </c>
      <c r="L186" s="721">
        <f t="shared" si="139"/>
        <v>61134.410833333328</v>
      </c>
      <c r="M186" s="637">
        <f t="shared" ca="1" si="140"/>
        <v>2.9844761049979542</v>
      </c>
      <c r="N186" s="346" t="s">
        <v>594</v>
      </c>
    </row>
    <row r="187" spans="1:14">
      <c r="A187" s="632">
        <v>43115</v>
      </c>
      <c r="B187" s="844" t="s">
        <v>771</v>
      </c>
      <c r="C187" s="844" t="s">
        <v>785</v>
      </c>
      <c r="D187" s="844" t="s">
        <v>801</v>
      </c>
      <c r="E187" s="634">
        <v>12</v>
      </c>
      <c r="F187" s="634">
        <v>13</v>
      </c>
      <c r="G187" s="635">
        <v>7.2432938069068977E-3</v>
      </c>
      <c r="H187" s="634" t="s">
        <v>581</v>
      </c>
      <c r="I187" s="633" t="s">
        <v>580</v>
      </c>
      <c r="J187" s="636">
        <f t="shared" ca="1" si="141"/>
        <v>3010</v>
      </c>
      <c r="K187" s="744">
        <v>7553.3024020202229</v>
      </c>
      <c r="L187" s="721">
        <f t="shared" si="139"/>
        <v>629.52520016835194</v>
      </c>
      <c r="M187" s="637">
        <f t="shared" ca="1" si="140"/>
        <v>1.1619623840351925</v>
      </c>
      <c r="N187" s="346" t="s">
        <v>594</v>
      </c>
    </row>
    <row r="188" spans="1:14">
      <c r="A188" s="632">
        <v>45688</v>
      </c>
      <c r="B188" s="844" t="s">
        <v>771</v>
      </c>
      <c r="C188" s="844" t="s">
        <v>786</v>
      </c>
      <c r="D188" s="844" t="s">
        <v>802</v>
      </c>
      <c r="E188" s="634">
        <v>12</v>
      </c>
      <c r="F188" s="634">
        <v>13</v>
      </c>
      <c r="G188" s="635">
        <v>1.0814404180990467E-2</v>
      </c>
      <c r="H188" s="634" t="s">
        <v>349</v>
      </c>
      <c r="I188" s="633" t="s">
        <v>582</v>
      </c>
      <c r="J188" s="636">
        <f t="shared" ca="1" si="141"/>
        <v>437</v>
      </c>
      <c r="K188" s="744"/>
      <c r="L188" s="721">
        <f t="shared" si="139"/>
        <v>8.3333333333333329E-2</v>
      </c>
      <c r="M188" s="637">
        <f t="shared" ca="1" si="140"/>
        <v>6.8161634960836048E-2</v>
      </c>
      <c r="N188" s="346" t="s">
        <v>594</v>
      </c>
    </row>
    <row r="189" spans="1:14">
      <c r="A189" s="632">
        <v>45597</v>
      </c>
      <c r="B189" s="844" t="s">
        <v>771</v>
      </c>
      <c r="C189" s="844" t="s">
        <v>787</v>
      </c>
      <c r="D189" s="844" t="s">
        <v>803</v>
      </c>
      <c r="E189" s="634">
        <v>12</v>
      </c>
      <c r="F189" s="634">
        <v>13</v>
      </c>
      <c r="G189" s="635">
        <v>3.5928253092991587E-2</v>
      </c>
      <c r="H189" s="634" t="s">
        <v>349</v>
      </c>
      <c r="I189" s="633" t="s">
        <v>583</v>
      </c>
      <c r="J189" s="636">
        <f t="shared" ca="1" si="141"/>
        <v>528</v>
      </c>
      <c r="K189" s="744"/>
      <c r="L189" s="721">
        <f t="shared" si="139"/>
        <v>8.3333333333333329E-2</v>
      </c>
      <c r="M189" s="637">
        <f t="shared" ca="1" si="140"/>
        <v>5.6091229805497855E-2</v>
      </c>
    </row>
    <row r="190" spans="1:14" ht="14.5">
      <c r="A190" s="638"/>
      <c r="B190" s="638"/>
      <c r="C190" s="638"/>
      <c r="D190" s="638"/>
      <c r="E190" s="639">
        <f>SUM(E174:E189)</f>
        <v>192</v>
      </c>
      <c r="F190" s="639">
        <f>SUM(F174:F189)</f>
        <v>208</v>
      </c>
      <c r="G190" s="640">
        <f>SUBTOTAL(9,G174:G189)</f>
        <v>1</v>
      </c>
      <c r="H190" s="638"/>
      <c r="I190" s="638"/>
      <c r="J190" s="638"/>
      <c r="K190" s="752">
        <f>SUM(K174:K189)</f>
        <v>928344.65215931286</v>
      </c>
      <c r="L190" s="638"/>
      <c r="M190" s="638"/>
    </row>
    <row r="196" spans="3:16">
      <c r="E196" s="722"/>
      <c r="F196" s="548"/>
    </row>
    <row r="197" spans="3:16">
      <c r="E197" s="767"/>
      <c r="F197" s="767" t="s">
        <v>649</v>
      </c>
      <c r="G197" s="768" t="s">
        <v>77</v>
      </c>
      <c r="H197" s="768" t="s">
        <v>650</v>
      </c>
      <c r="I197" s="767" t="s">
        <v>22</v>
      </c>
      <c r="J197" s="767" t="s">
        <v>50</v>
      </c>
      <c r="K197" s="767" t="s">
        <v>518</v>
      </c>
      <c r="O197" s="472"/>
    </row>
    <row r="198" spans="3:16">
      <c r="C198" s="517"/>
      <c r="D198" s="825" t="s">
        <v>612</v>
      </c>
      <c r="E198" s="769"/>
      <c r="F198" s="776">
        <f>Z27-AA27</f>
        <v>67618.029452941148</v>
      </c>
      <c r="G198" s="723">
        <f>Z27+Z56</f>
        <v>75394.599411764677</v>
      </c>
      <c r="H198" s="723">
        <f ca="1">AF28+'registro rf'!AF40</f>
        <v>224797.27490026708</v>
      </c>
      <c r="I198" s="723">
        <f>AA27+'registro rf'!AA40+AA56</f>
        <v>491.90501351140892</v>
      </c>
      <c r="J198" s="723">
        <f>'registro rf'!AA40</f>
        <v>0.49562854494084896</v>
      </c>
      <c r="K198" s="723">
        <f ca="1">J198+I198+H198</f>
        <v>225289.67554232341</v>
      </c>
      <c r="L198" s="821">
        <f ca="1">(H198+K198)/G198</f>
        <v>5.9697505385559264</v>
      </c>
      <c r="P198" s="472"/>
    </row>
    <row r="199" spans="3:16">
      <c r="D199" s="826" t="s">
        <v>346</v>
      </c>
      <c r="G199" s="725">
        <f>J66</f>
        <v>7625732.5856800005</v>
      </c>
      <c r="H199" s="725"/>
      <c r="I199" s="725">
        <f>L66+K66</f>
        <v>265307.65379000036</v>
      </c>
      <c r="J199" s="725"/>
      <c r="K199" s="725">
        <f>J199+I199</f>
        <v>265307.65379000036</v>
      </c>
      <c r="L199" s="822">
        <f>K199/G199</f>
        <v>3.4791103780403856E-2</v>
      </c>
      <c r="P199" s="472"/>
    </row>
    <row r="200" spans="3:16">
      <c r="D200" s="826" t="s">
        <v>689</v>
      </c>
      <c r="E200" s="584"/>
      <c r="F200" s="584"/>
      <c r="G200" s="725">
        <f>J87</f>
        <v>449736.43500000011</v>
      </c>
      <c r="H200" s="725"/>
      <c r="I200" s="725">
        <f>registro!K195</f>
        <v>-15767.891650000001</v>
      </c>
      <c r="J200" s="725">
        <f>registro!K194</f>
        <v>819.36171428571276</v>
      </c>
      <c r="K200" s="725">
        <f>J200+I200</f>
        <v>-14948.529935714289</v>
      </c>
      <c r="L200" s="822">
        <f>K200/G200</f>
        <v>-3.3238423157141546E-2</v>
      </c>
      <c r="M200" s="728"/>
      <c r="P200" s="472"/>
    </row>
    <row r="201" spans="3:16">
      <c r="D201" s="826" t="s">
        <v>489</v>
      </c>
      <c r="G201" s="725">
        <f>J150</f>
        <v>-46034758.751999982</v>
      </c>
      <c r="H201" s="725"/>
      <c r="I201" s="725">
        <f>K150</f>
        <v>65103.667999997262</v>
      </c>
      <c r="J201" s="725">
        <f>registro!K112</f>
        <v>69.239364999999736</v>
      </c>
      <c r="K201" s="725">
        <f>J201+I201</f>
        <v>65172.907364997263</v>
      </c>
      <c r="L201" s="822">
        <f>K201/G201</f>
        <v>-1.4157325710361375E-3</v>
      </c>
      <c r="P201" s="472"/>
    </row>
    <row r="202" spans="3:16">
      <c r="D202" s="826" t="s">
        <v>647</v>
      </c>
      <c r="E202" s="584">
        <f>H166+10%</f>
        <v>91261.475000000006</v>
      </c>
      <c r="F202" s="584"/>
      <c r="G202" s="725">
        <f>H166</f>
        <v>91261.375</v>
      </c>
      <c r="H202" s="725"/>
      <c r="I202" s="725">
        <f>registro!J226</f>
        <v>-992.62500000000102</v>
      </c>
      <c r="J202" s="725">
        <f>registro!J225</f>
        <v>-3239.130434782609</v>
      </c>
      <c r="K202" s="725">
        <f>J202+I202</f>
        <v>-4231.7554347826099</v>
      </c>
      <c r="L202" s="822"/>
      <c r="P202" s="472"/>
    </row>
    <row r="203" spans="3:16">
      <c r="D203" s="826" t="s">
        <v>648</v>
      </c>
      <c r="G203" s="725">
        <f>E190</f>
        <v>192</v>
      </c>
      <c r="H203" s="725"/>
      <c r="I203" s="725"/>
      <c r="J203" s="725"/>
      <c r="K203" s="725">
        <f>I203</f>
        <v>0</v>
      </c>
      <c r="L203" s="822">
        <f>K203/G203</f>
        <v>0</v>
      </c>
      <c r="P203" s="472"/>
    </row>
    <row r="204" spans="3:16">
      <c r="D204" s="724"/>
      <c r="G204" s="725"/>
      <c r="H204" s="725"/>
      <c r="K204" s="346"/>
      <c r="L204" s="823"/>
      <c r="P204" s="472"/>
    </row>
    <row r="205" spans="3:16">
      <c r="D205" s="726"/>
      <c r="E205" s="766"/>
      <c r="F205" s="766"/>
      <c r="G205" s="727">
        <f>SUM(G198:G204)</f>
        <v>-37792441.756908216</v>
      </c>
      <c r="H205" s="727"/>
      <c r="I205" s="727">
        <f>SUM(I198:I204)</f>
        <v>314142.71015350905</v>
      </c>
      <c r="J205" s="727">
        <f>SUM(J198:J204)</f>
        <v>-2350.0337269519559</v>
      </c>
      <c r="K205" s="727">
        <f ca="1">SUM(K198:K204)</f>
        <v>536589.95132682414</v>
      </c>
      <c r="L205" s="824"/>
      <c r="P205" s="472"/>
    </row>
    <row r="206" spans="3:16">
      <c r="K206" s="346"/>
      <c r="O206" s="472"/>
    </row>
    <row r="207" spans="3:16">
      <c r="D207" s="728"/>
    </row>
    <row r="208" spans="3:16">
      <c r="D208" s="728"/>
    </row>
    <row r="209" spans="4:4">
      <c r="D209" s="728"/>
    </row>
    <row r="210" spans="4:4">
      <c r="D210" s="728"/>
    </row>
  </sheetData>
  <autoFilter ref="A3:AJ54" xr:uid="{142B9CE0-C820-45BA-9394-861EBE9AB917}">
    <sortState xmlns:xlrd2="http://schemas.microsoft.com/office/spreadsheetml/2017/richdata2" ref="A4:AJ54">
      <sortCondition descending="1" ref="AF4:AF54"/>
    </sortState>
  </autoFilter>
  <sortState xmlns:xlrd2="http://schemas.microsoft.com/office/spreadsheetml/2017/richdata2" ref="A4:AK25">
    <sortCondition ref="K4:K25"/>
  </sortState>
  <mergeCells count="6">
    <mergeCell ref="A157:K157"/>
    <mergeCell ref="A1:K1"/>
    <mergeCell ref="A33:K33"/>
    <mergeCell ref="A58:K58"/>
    <mergeCell ref="A71:K71"/>
    <mergeCell ref="A91:K91"/>
  </mergeCells>
  <phoneticPr fontId="40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6FB2-77D6-48DE-873B-957013C02F2E}">
  <sheetPr filterMode="1"/>
  <dimension ref="C4:AG42"/>
  <sheetViews>
    <sheetView workbookViewId="0">
      <selection activeCell="O12" sqref="O12"/>
    </sheetView>
  </sheetViews>
  <sheetFormatPr baseColWidth="10" defaultRowHeight="12.5"/>
  <cols>
    <col min="3" max="8" width="11.6328125" bestFit="1" customWidth="1"/>
    <col min="9" max="11" width="12" bestFit="1" customWidth="1"/>
    <col min="12" max="13" width="11.6328125" bestFit="1" customWidth="1"/>
    <col min="14" max="14" width="13" bestFit="1" customWidth="1"/>
    <col min="15" max="23" width="11.6328125" bestFit="1" customWidth="1"/>
    <col min="24" max="24" width="12" bestFit="1" customWidth="1"/>
    <col min="25" max="33" width="11.6328125" bestFit="1" customWidth="1"/>
  </cols>
  <sheetData>
    <row r="4" spans="3:33" ht="13">
      <c r="C4" s="831" t="str">
        <f>+cartera!V92</f>
        <v>AMZN</v>
      </c>
      <c r="D4" s="831" t="str">
        <f>+cartera!W92</f>
        <v>ARGT</v>
      </c>
      <c r="E4" s="831" t="str">
        <f>+cartera!X92</f>
        <v>BCH</v>
      </c>
      <c r="F4" s="831" t="str">
        <f>+cartera!Y92</f>
        <v>BLK</v>
      </c>
      <c r="G4" s="831" t="str">
        <f>+cartera!Z92</f>
        <v>BRK/B</v>
      </c>
      <c r="H4" s="831" t="str">
        <f>+cartera!AA92</f>
        <v>CRCL</v>
      </c>
      <c r="I4" s="831" t="str">
        <f>+cartera!AB92</f>
        <v>AIQ</v>
      </c>
      <c r="J4" s="831" t="str">
        <f>+cartera!AC92</f>
        <v>QQQ</v>
      </c>
      <c r="K4" s="831" t="str">
        <f>+cartera!AD92</f>
        <v>ESM6</v>
      </c>
      <c r="L4" s="831" t="str">
        <f>+cartera!AE92</f>
        <v>SPY</v>
      </c>
      <c r="M4" s="831" t="str">
        <f>+cartera!AF92</f>
        <v>GOOG</v>
      </c>
      <c r="N4" s="831" t="str">
        <f>+cartera!AG92</f>
        <v>LTM</v>
      </c>
      <c r="O4" s="831" t="str">
        <f>+cartera!AH92</f>
        <v>META</v>
      </c>
      <c r="P4" s="831" t="str">
        <f>+cartera!AI92</f>
        <v>MSFT</v>
      </c>
      <c r="Q4" s="831" t="str">
        <f>+cartera!AJ92</f>
        <v>NVDA</v>
      </c>
      <c r="R4" s="831" t="str">
        <f>+cartera!AK92</f>
        <v>TGS</v>
      </c>
      <c r="S4" s="831" t="str">
        <f>+cartera!AL92</f>
        <v>USCI</v>
      </c>
      <c r="T4" s="831" t="str">
        <f>+cartera!AM92</f>
        <v>PLTR</v>
      </c>
      <c r="U4" s="831" t="str">
        <f>+cartera!AN92</f>
        <v>FCX</v>
      </c>
      <c r="V4" s="831" t="str">
        <f>+cartera!AO92</f>
        <v>XBI</v>
      </c>
      <c r="W4" s="831" t="str">
        <f>+cartera!AP92</f>
        <v>ARKK</v>
      </c>
      <c r="X4" s="831" t="str">
        <f>+cartera!AQ92</f>
        <v>ECH</v>
      </c>
      <c r="Y4" s="831" t="str">
        <f>+cartera!AR92</f>
        <v>QTUM</v>
      </c>
      <c r="Z4" s="831" t="str">
        <f>+cartera!AS92</f>
        <v>SLV</v>
      </c>
      <c r="AA4" s="831" t="str">
        <f>+cartera!AT92</f>
        <v>IIF</v>
      </c>
      <c r="AB4" s="831" t="str">
        <f>+cartera!AU92</f>
        <v>RKLB</v>
      </c>
      <c r="AC4" s="831" t="str">
        <f>+cartera!AV92</f>
        <v xml:space="preserve">XIACY </v>
      </c>
      <c r="AD4" s="831" t="str">
        <f>+cartera!AW92</f>
        <v>BYDDY</v>
      </c>
      <c r="AE4" s="831" t="str">
        <f>+cartera!AX92</f>
        <v>JD</v>
      </c>
      <c r="AF4" s="831" t="str">
        <f>+cartera!AY92</f>
        <v>BABA</v>
      </c>
      <c r="AG4" s="831" t="str">
        <f>+cartera!AZ92</f>
        <v xml:space="preserve">TCEHY </v>
      </c>
    </row>
    <row r="5" spans="3:33" ht="13">
      <c r="C5" s="831">
        <f>+cartera!V151</f>
        <v>2995.8912</v>
      </c>
      <c r="D5" s="831">
        <f>+cartera!W151</f>
        <v>-697.43759999999997</v>
      </c>
      <c r="E5" s="831">
        <f>+cartera!X151</f>
        <v>-689.22</v>
      </c>
      <c r="F5" s="831">
        <f>+cartera!Y151</f>
        <v>-28073.78</v>
      </c>
      <c r="G5" s="831">
        <f>+cartera!Z151</f>
        <v>-18241.519999999997</v>
      </c>
      <c r="H5" s="831">
        <f>+cartera!AA151</f>
        <v>-5701.0607999999993</v>
      </c>
      <c r="I5" s="831">
        <f>+cartera!AB151</f>
        <v>-10125.540000000001</v>
      </c>
      <c r="J5" s="831">
        <f>+cartera!AC151</f>
        <v>-251787.62</v>
      </c>
      <c r="K5" s="831">
        <f>+cartera!AD151</f>
        <v>-43971928</v>
      </c>
      <c r="L5" s="831">
        <f>+cartera!AE151</f>
        <v>-194265.5</v>
      </c>
      <c r="M5" s="831">
        <f>+cartera!AF151</f>
        <v>-49953.279999999992</v>
      </c>
      <c r="N5" s="831">
        <f>+cartera!AG151</f>
        <v>-48814.2</v>
      </c>
      <c r="O5" s="831">
        <f>+cartera!AH151</f>
        <v>-430923.97</v>
      </c>
      <c r="P5" s="831">
        <f>+cartera!AI151</f>
        <v>-190721.51999999996</v>
      </c>
      <c r="Q5" s="831">
        <f>+cartera!AJ151</f>
        <v>-157067.21999999997</v>
      </c>
      <c r="R5" s="831">
        <f>+cartera!AK151</f>
        <v>-9929.36</v>
      </c>
      <c r="S5" s="831">
        <f>+cartera!AL151</f>
        <v>-29782.059999999998</v>
      </c>
      <c r="T5" s="831">
        <f>+cartera!AM151</f>
        <v>-85420.580000000016</v>
      </c>
      <c r="U5" s="831">
        <f>+cartera!AN151</f>
        <v>-46335.869999999995</v>
      </c>
      <c r="V5" s="831">
        <f>+cartera!AO151</f>
        <v>-96165.959999999992</v>
      </c>
      <c r="W5" s="831">
        <f>+cartera!AP151</f>
        <v>-26832.329999999998</v>
      </c>
      <c r="X5" s="831">
        <f>+cartera!AQ151</f>
        <v>-68364.919999999984</v>
      </c>
      <c r="Y5" s="831">
        <f>+cartera!AR151</f>
        <v>-101607.78</v>
      </c>
      <c r="Z5" s="831">
        <f>+cartera!AS151</f>
        <v>-44446.124799999998</v>
      </c>
      <c r="AA5" s="831">
        <f>+cartera!AT151</f>
        <v>-10064.550000000001</v>
      </c>
      <c r="AB5" s="831">
        <f>+cartera!AU151</f>
        <v>-32895.719999999994</v>
      </c>
      <c r="AC5" s="831">
        <f>+cartera!AV151</f>
        <v>-9356.85</v>
      </c>
      <c r="AD5" s="831">
        <f>+cartera!AW151</f>
        <v>-6800.28</v>
      </c>
      <c r="AE5" s="831">
        <f>+cartera!AX151</f>
        <v>-14200.470000000001</v>
      </c>
      <c r="AF5" s="831">
        <f>+cartera!AY151</f>
        <v>-63865.760000000002</v>
      </c>
      <c r="AG5" s="831">
        <f>+cartera!AZ151</f>
        <v>-32696.16</v>
      </c>
    </row>
    <row r="8" spans="3:33" ht="13">
      <c r="M8" s="833" t="s">
        <v>280</v>
      </c>
      <c r="N8" s="834" t="s">
        <v>691</v>
      </c>
      <c r="O8" s="837" t="s">
        <v>171</v>
      </c>
      <c r="P8" s="837" t="s">
        <v>692</v>
      </c>
    </row>
    <row r="9" spans="3:33" ht="13">
      <c r="D9" s="831"/>
      <c r="M9" s="833" t="s">
        <v>187</v>
      </c>
      <c r="N9" s="832">
        <f>_xlfn.XLOOKUP(M9,C$4:AG$4,C$5:AG$5,"")</f>
        <v>2995.8912</v>
      </c>
      <c r="O9" s="836">
        <f>+N9/N$42</f>
        <v>-6.507889432286517E-5</v>
      </c>
    </row>
    <row r="10" spans="3:33" ht="13" hidden="1">
      <c r="D10" s="831"/>
      <c r="M10" s="748" t="s">
        <v>533</v>
      </c>
      <c r="N10" s="832">
        <f t="shared" ref="N10:N39" si="0">_xlfn.XLOOKUP(M10,C$4:AG$4,C$5:AG$5,"")</f>
        <v>-697.43759999999997</v>
      </c>
      <c r="O10" s="836">
        <f t="shared" ref="O10:O39" si="1">+N10/N$42</f>
        <v>1.5150239056475987E-5</v>
      </c>
    </row>
    <row r="11" spans="3:33" ht="13">
      <c r="D11" s="831"/>
      <c r="M11" s="833" t="s">
        <v>565</v>
      </c>
      <c r="N11" s="832">
        <f t="shared" si="0"/>
        <v>-689.22</v>
      </c>
      <c r="O11" s="836">
        <f t="shared" si="1"/>
        <v>1.4971730463778236E-5</v>
      </c>
    </row>
    <row r="12" spans="3:33" ht="13">
      <c r="D12" s="831"/>
      <c r="M12" s="833" t="s">
        <v>261</v>
      </c>
      <c r="N12" s="832">
        <f t="shared" si="0"/>
        <v>-28073.78</v>
      </c>
      <c r="O12" s="836">
        <f t="shared" si="1"/>
        <v>6.0983875578103966E-4</v>
      </c>
    </row>
    <row r="13" spans="3:33" ht="13">
      <c r="D13" s="831"/>
      <c r="M13" s="833" t="s">
        <v>546</v>
      </c>
      <c r="N13" s="832">
        <f t="shared" si="0"/>
        <v>-18241.519999999997</v>
      </c>
      <c r="O13" s="836">
        <f t="shared" si="1"/>
        <v>3.9625536213345509E-4</v>
      </c>
    </row>
    <row r="14" spans="3:33" ht="13">
      <c r="D14" s="831"/>
      <c r="M14" s="833" t="s">
        <v>562</v>
      </c>
      <c r="N14" s="832">
        <f t="shared" si="0"/>
        <v>-5701.0607999999993</v>
      </c>
      <c r="O14" s="836">
        <f t="shared" si="1"/>
        <v>1.2384252583385843E-4</v>
      </c>
    </row>
    <row r="15" spans="3:33" ht="13">
      <c r="D15" s="831"/>
      <c r="M15" s="833" t="s">
        <v>521</v>
      </c>
      <c r="N15" s="832">
        <f t="shared" si="0"/>
        <v>-10125.540000000001</v>
      </c>
      <c r="O15" s="836">
        <f t="shared" si="1"/>
        <v>2.199542318565989E-4</v>
      </c>
    </row>
    <row r="16" spans="3:33" ht="13">
      <c r="D16" s="831"/>
      <c r="M16" s="833" t="s">
        <v>304</v>
      </c>
      <c r="N16" s="832">
        <f t="shared" si="0"/>
        <v>-251787.62</v>
      </c>
      <c r="O16" s="836">
        <f t="shared" si="1"/>
        <v>5.4695110135460643E-3</v>
      </c>
    </row>
    <row r="17" spans="4:15" ht="13">
      <c r="D17" s="831"/>
      <c r="M17" s="833" t="s">
        <v>694</v>
      </c>
      <c r="N17" s="832">
        <f t="shared" si="0"/>
        <v>-43971928</v>
      </c>
      <c r="O17" s="836">
        <f t="shared" si="1"/>
        <v>0.95518971299245992</v>
      </c>
    </row>
    <row r="18" spans="4:15" ht="13">
      <c r="D18" s="831"/>
      <c r="M18" s="833" t="s">
        <v>65</v>
      </c>
      <c r="N18" s="832">
        <f t="shared" si="0"/>
        <v>-194265.5</v>
      </c>
      <c r="O18" s="836">
        <f t="shared" si="1"/>
        <v>4.2199743251953086E-3</v>
      </c>
    </row>
    <row r="19" spans="4:15" ht="13">
      <c r="D19" s="831"/>
      <c r="M19" s="833" t="s">
        <v>161</v>
      </c>
      <c r="N19" s="832">
        <f t="shared" si="0"/>
        <v>-49953.279999999992</v>
      </c>
      <c r="O19" s="836">
        <f t="shared" si="1"/>
        <v>1.0851209250190709E-3</v>
      </c>
    </row>
    <row r="20" spans="4:15" ht="13">
      <c r="D20" s="831"/>
      <c r="M20" s="833" t="s">
        <v>550</v>
      </c>
      <c r="N20" s="832">
        <f t="shared" si="0"/>
        <v>-48814.2</v>
      </c>
      <c r="O20" s="836">
        <f t="shared" si="1"/>
        <v>1.0603770134426794E-3</v>
      </c>
    </row>
    <row r="21" spans="4:15" ht="13">
      <c r="D21" s="831"/>
      <c r="M21" s="833" t="s">
        <v>495</v>
      </c>
      <c r="N21" s="832">
        <f t="shared" si="0"/>
        <v>-430923.97</v>
      </c>
      <c r="O21" s="836">
        <f t="shared" si="1"/>
        <v>9.3608391068472456E-3</v>
      </c>
    </row>
    <row r="22" spans="4:15" ht="13">
      <c r="D22" s="831"/>
      <c r="M22" s="833" t="s">
        <v>196</v>
      </c>
      <c r="N22" s="832">
        <f t="shared" si="0"/>
        <v>-190721.51999999996</v>
      </c>
      <c r="O22" s="836">
        <f t="shared" si="1"/>
        <v>4.1429894534141341E-3</v>
      </c>
    </row>
    <row r="23" spans="4:15" ht="13">
      <c r="D23" s="831"/>
      <c r="M23" s="833" t="s">
        <v>275</v>
      </c>
      <c r="N23" s="832">
        <f t="shared" si="0"/>
        <v>-157067.21999999997</v>
      </c>
      <c r="O23" s="836">
        <f t="shared" si="1"/>
        <v>3.4119266453889294E-3</v>
      </c>
    </row>
    <row r="24" spans="4:15" ht="13" hidden="1">
      <c r="D24" s="831"/>
      <c r="M24" s="748" t="s">
        <v>515</v>
      </c>
      <c r="N24" s="832">
        <f t="shared" si="0"/>
        <v>-9929.36</v>
      </c>
      <c r="O24" s="836">
        <f t="shared" si="1"/>
        <v>2.1569266939122642E-4</v>
      </c>
    </row>
    <row r="25" spans="4:15" ht="13">
      <c r="D25" s="831"/>
      <c r="M25" s="833" t="s">
        <v>536</v>
      </c>
      <c r="N25" s="832">
        <f t="shared" si="0"/>
        <v>-29782.059999999998</v>
      </c>
      <c r="O25" s="836">
        <f t="shared" si="1"/>
        <v>6.4694723742211662E-4</v>
      </c>
    </row>
    <row r="26" spans="4:15" ht="13">
      <c r="D26" s="831"/>
      <c r="M26" s="833" t="s">
        <v>589</v>
      </c>
      <c r="N26" s="832">
        <f t="shared" si="0"/>
        <v>-85420.580000000016</v>
      </c>
      <c r="O26" s="836">
        <f t="shared" si="1"/>
        <v>1.8555670175264881E-3</v>
      </c>
    </row>
    <row r="27" spans="4:15" ht="13">
      <c r="D27" s="831"/>
      <c r="M27" s="833" t="s">
        <v>596</v>
      </c>
      <c r="N27" s="832">
        <f t="shared" si="0"/>
        <v>-46335.869999999995</v>
      </c>
      <c r="O27" s="836">
        <f t="shared" si="1"/>
        <v>1.0065409541868604E-3</v>
      </c>
    </row>
    <row r="28" spans="4:15" ht="13">
      <c r="D28" s="831"/>
      <c r="M28" s="833" t="s">
        <v>597</v>
      </c>
      <c r="N28" s="832">
        <f t="shared" si="0"/>
        <v>-96165.959999999992</v>
      </c>
      <c r="O28" s="836">
        <f t="shared" si="1"/>
        <v>2.0889858577964643E-3</v>
      </c>
    </row>
    <row r="29" spans="4:15" ht="13">
      <c r="D29" s="831"/>
      <c r="M29" s="833" t="s">
        <v>598</v>
      </c>
      <c r="N29" s="832">
        <f t="shared" si="0"/>
        <v>-26832.329999999998</v>
      </c>
      <c r="O29" s="836">
        <f t="shared" si="1"/>
        <v>5.828710897465985E-4</v>
      </c>
    </row>
    <row r="30" spans="4:15" ht="13">
      <c r="D30" s="831"/>
      <c r="M30" s="833" t="s">
        <v>89</v>
      </c>
      <c r="N30" s="832">
        <f t="shared" si="0"/>
        <v>-68364.919999999984</v>
      </c>
      <c r="O30" s="836">
        <f t="shared" si="1"/>
        <v>1.4850717556335593E-3</v>
      </c>
    </row>
    <row r="31" spans="4:15" ht="13">
      <c r="D31" s="831"/>
      <c r="M31" s="833" t="s">
        <v>617</v>
      </c>
      <c r="N31" s="832">
        <f t="shared" si="0"/>
        <v>-101607.78</v>
      </c>
      <c r="O31" s="836">
        <f t="shared" si="1"/>
        <v>2.2071969693028015E-3</v>
      </c>
    </row>
    <row r="32" spans="4:15" ht="13" hidden="1">
      <c r="D32" s="831"/>
      <c r="M32" s="748" t="s">
        <v>309</v>
      </c>
      <c r="N32" s="832">
        <f t="shared" si="0"/>
        <v>-44446.124799999998</v>
      </c>
      <c r="O32" s="836">
        <f t="shared" si="1"/>
        <v>9.6549055550484509E-4</v>
      </c>
    </row>
    <row r="33" spans="4:15" ht="13">
      <c r="D33" s="831"/>
      <c r="M33" s="833" t="s">
        <v>619</v>
      </c>
      <c r="N33" s="832">
        <f t="shared" si="0"/>
        <v>-10064.550000000001</v>
      </c>
      <c r="O33" s="836">
        <f t="shared" si="1"/>
        <v>2.1862936339517029E-4</v>
      </c>
    </row>
    <row r="34" spans="4:15" ht="13">
      <c r="D34" s="831"/>
      <c r="M34" s="833" t="s">
        <v>637</v>
      </c>
      <c r="N34" s="832">
        <f t="shared" si="0"/>
        <v>-32895.719999999994</v>
      </c>
      <c r="O34" s="836">
        <f t="shared" si="1"/>
        <v>7.1458438996535058E-4</v>
      </c>
    </row>
    <row r="35" spans="4:15" ht="13" hidden="1">
      <c r="D35" s="831"/>
      <c r="M35" s="748" t="s">
        <v>621</v>
      </c>
      <c r="N35" s="832">
        <f t="shared" si="0"/>
        <v>-9356.85</v>
      </c>
      <c r="O35" s="836">
        <f t="shared" si="1"/>
        <v>2.0325619713589766E-4</v>
      </c>
    </row>
    <row r="36" spans="4:15" ht="13" hidden="1">
      <c r="D36" s="831"/>
      <c r="M36" s="748" t="s">
        <v>623</v>
      </c>
      <c r="N36" s="832">
        <f t="shared" si="0"/>
        <v>-6800.28</v>
      </c>
      <c r="O36" s="836">
        <f t="shared" si="1"/>
        <v>1.4772055256408965E-4</v>
      </c>
    </row>
    <row r="37" spans="4:15" ht="13">
      <c r="D37" s="831"/>
      <c r="M37" s="833" t="s">
        <v>625</v>
      </c>
      <c r="N37" s="832">
        <f t="shared" si="0"/>
        <v>-14200.470000000001</v>
      </c>
      <c r="O37" s="836">
        <f t="shared" si="1"/>
        <v>3.0847277980756353E-4</v>
      </c>
    </row>
    <row r="38" spans="4:15" ht="13">
      <c r="D38" s="831"/>
      <c r="M38" s="833" t="s">
        <v>191</v>
      </c>
      <c r="N38" s="832">
        <f t="shared" si="0"/>
        <v>-63865.760000000002</v>
      </c>
      <c r="O38" s="836">
        <f t="shared" si="1"/>
        <v>1.387337779786352E-3</v>
      </c>
    </row>
    <row r="39" spans="4:15" ht="13" hidden="1">
      <c r="D39" s="831"/>
      <c r="M39" s="748" t="s">
        <v>628</v>
      </c>
      <c r="N39" s="832">
        <f t="shared" si="0"/>
        <v>-32696.16</v>
      </c>
      <c r="O39" s="836">
        <f t="shared" si="1"/>
        <v>7.1024940471920057E-4</v>
      </c>
    </row>
    <row r="42" spans="4:15" ht="13">
      <c r="M42" s="748" t="s">
        <v>518</v>
      </c>
      <c r="N42" s="835">
        <f>SUM(N9:N41)</f>
        <v>-46034758.751999989</v>
      </c>
    </row>
  </sheetData>
  <autoFilter ref="M8:O39" xr:uid="{49116FB2-77D6-48DE-873B-957013C02F2E}">
    <filterColumn colId="1">
      <filters>
        <filter val="1.024.207,5"/>
        <filter val="1.113.280,0"/>
        <filter val="1.850.600,0"/>
        <filter val="1.878.380,4"/>
        <filter val="116.984,3"/>
        <filter val="118.037,2"/>
        <filter val="124.218,0"/>
        <filter val="127.093,1"/>
        <filter val="165.590,9"/>
        <filter val="176.812,5"/>
        <filter val="187.841,6"/>
        <filter val="2.161.761,0"/>
        <filter val="219.020,0"/>
        <filter val="228.148,3"/>
        <filter val="238.578,0"/>
        <filter val="26.508,9"/>
        <filter val="289.375,0"/>
        <filter val="305.991,8"/>
        <filter val="309.307,0"/>
        <filter val="309.721,0"/>
        <filter val="356.958,0"/>
        <filter val="370.379,2"/>
        <filter val="42.096,0"/>
        <filter val="648.380,1"/>
        <filter val="792.053,8"/>
      </filters>
    </filterColumn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6B6A-00E2-490E-AF78-B75F9AAAD391}">
  <dimension ref="A1:O228"/>
  <sheetViews>
    <sheetView topLeftCell="A27" workbookViewId="0">
      <selection activeCell="A138" sqref="A138"/>
    </sheetView>
  </sheetViews>
  <sheetFormatPr baseColWidth="10" defaultRowHeight="12.5"/>
  <cols>
    <col min="1" max="1" width="9.81640625" bestFit="1" customWidth="1"/>
    <col min="2" max="2" width="10.36328125" style="570" bestFit="1" customWidth="1"/>
    <col min="3" max="3" width="11" bestFit="1" customWidth="1"/>
    <col min="4" max="4" width="7.81640625" bestFit="1" customWidth="1"/>
    <col min="6" max="6" width="10.54296875" bestFit="1" customWidth="1"/>
    <col min="7" max="7" width="16.90625" bestFit="1" customWidth="1"/>
    <col min="8" max="8" width="16.1796875" bestFit="1" customWidth="1"/>
    <col min="9" max="10" width="13.08984375" bestFit="1" customWidth="1"/>
    <col min="11" max="11" width="12" bestFit="1" customWidth="1"/>
    <col min="12" max="12" width="12.6328125" bestFit="1" customWidth="1"/>
    <col min="13" max="13" width="11.7265625" style="570" bestFit="1" customWidth="1"/>
    <col min="14" max="14" width="11.1796875" bestFit="1" customWidth="1"/>
  </cols>
  <sheetData>
    <row r="1" spans="1:15" ht="13">
      <c r="A1" s="472" t="s">
        <v>345</v>
      </c>
      <c r="B1" s="576" t="s">
        <v>138</v>
      </c>
      <c r="C1" s="472" t="s">
        <v>344</v>
      </c>
      <c r="D1" s="472" t="s">
        <v>280</v>
      </c>
      <c r="E1" s="472" t="s">
        <v>644</v>
      </c>
      <c r="F1" s="472" t="s">
        <v>342</v>
      </c>
      <c r="G1" s="472" t="s">
        <v>341</v>
      </c>
      <c r="H1" s="472" t="s">
        <v>340</v>
      </c>
      <c r="I1" s="472" t="s">
        <v>492</v>
      </c>
      <c r="J1" s="472" t="s">
        <v>77</v>
      </c>
      <c r="K1" s="472" t="s">
        <v>22</v>
      </c>
      <c r="L1" s="472" t="s">
        <v>463</v>
      </c>
      <c r="M1" s="576" t="s">
        <v>491</v>
      </c>
      <c r="N1" t="s">
        <v>684</v>
      </c>
    </row>
    <row r="2" spans="1:15">
      <c r="A2" s="346" t="s">
        <v>765</v>
      </c>
      <c r="B2" s="480">
        <v>46045</v>
      </c>
      <c r="C2" s="346" t="s">
        <v>679</v>
      </c>
      <c r="D2" s="346" t="s">
        <v>309</v>
      </c>
      <c r="E2" s="346"/>
      <c r="F2" s="577">
        <v>13</v>
      </c>
      <c r="G2" s="577">
        <f>F2*1.1</f>
        <v>14.3</v>
      </c>
      <c r="H2" s="577">
        <f>G2*1.2</f>
        <v>17.16</v>
      </c>
      <c r="I2" s="577">
        <v>1537.9683846153848</v>
      </c>
      <c r="J2" s="577">
        <v>11.83052603550296</v>
      </c>
      <c r="K2" s="484">
        <v>183.26329999999976</v>
      </c>
      <c r="L2" s="484">
        <v>1.8326329999999975</v>
      </c>
      <c r="M2" s="618"/>
      <c r="N2" s="610">
        <v>46048</v>
      </c>
      <c r="O2" s="593"/>
    </row>
    <row r="3" spans="1:15">
      <c r="A3" s="346" t="s">
        <v>765</v>
      </c>
      <c r="B3" s="480">
        <v>45986</v>
      </c>
      <c r="C3" s="346" t="s">
        <v>586</v>
      </c>
      <c r="D3" s="346" t="s">
        <v>614</v>
      </c>
      <c r="E3" s="346">
        <v>6892.5</v>
      </c>
      <c r="F3" s="577">
        <v>3</v>
      </c>
      <c r="G3" s="577">
        <f t="shared" ref="G3:G6" si="0">F3*1.1</f>
        <v>3.3000000000000003</v>
      </c>
      <c r="H3" s="577">
        <f t="shared" ref="H3:H6" si="1">G3*1.2</f>
        <v>3.96</v>
      </c>
      <c r="I3" s="577">
        <v>7822.3846153846143</v>
      </c>
      <c r="J3" s="577">
        <v>60.172189349112415</v>
      </c>
      <c r="K3" s="484">
        <v>-61.5</v>
      </c>
      <c r="L3" s="484">
        <v>-0.61499999999999999</v>
      </c>
      <c r="M3" s="841">
        <v>-5.9484947406601377E-3</v>
      </c>
      <c r="N3" s="610">
        <v>46077</v>
      </c>
      <c r="O3" s="593"/>
    </row>
    <row r="4" spans="1:15">
      <c r="A4" s="346" t="s">
        <v>765</v>
      </c>
      <c r="B4" s="480">
        <v>45873</v>
      </c>
      <c r="C4" s="346" t="s">
        <v>495</v>
      </c>
      <c r="D4" s="346" t="s">
        <v>495</v>
      </c>
      <c r="E4" s="346">
        <v>660.09</v>
      </c>
      <c r="F4" s="577">
        <v>4</v>
      </c>
      <c r="G4" s="577">
        <f t="shared" si="0"/>
        <v>4.4000000000000004</v>
      </c>
      <c r="H4" s="577">
        <f t="shared" si="1"/>
        <v>5.28</v>
      </c>
      <c r="I4" s="577">
        <v>772.34990000000005</v>
      </c>
      <c r="J4" s="577">
        <v>5.9411530769230776</v>
      </c>
      <c r="K4" s="484">
        <v>-32.090500000000077</v>
      </c>
      <c r="L4" s="484">
        <v>-0.32090500000000077</v>
      </c>
      <c r="M4" s="841">
        <v>-3.7396415640291565E-2</v>
      </c>
      <c r="N4" s="610">
        <v>46090</v>
      </c>
      <c r="O4" s="593"/>
    </row>
    <row r="5" spans="1:15">
      <c r="A5" s="346" t="s">
        <v>765</v>
      </c>
      <c r="B5" s="480">
        <v>45870</v>
      </c>
      <c r="C5" s="346" t="s">
        <v>189</v>
      </c>
      <c r="D5" s="346" t="s">
        <v>187</v>
      </c>
      <c r="E5" s="346">
        <v>230.82</v>
      </c>
      <c r="F5" s="577">
        <v>5</v>
      </c>
      <c r="G5" s="577">
        <f t="shared" si="0"/>
        <v>5.5</v>
      </c>
      <c r="H5" s="577">
        <f t="shared" si="1"/>
        <v>6.6</v>
      </c>
      <c r="I5" s="577">
        <v>1538.4739615384615</v>
      </c>
      <c r="J5" s="577">
        <v>11.834415088757396</v>
      </c>
      <c r="K5" s="484">
        <v>-192.13706999999994</v>
      </c>
      <c r="L5" s="484">
        <v>-1.9213706999999993</v>
      </c>
      <c r="M5" s="841">
        <v>-8.9506541894116595E-2</v>
      </c>
      <c r="N5" s="610">
        <v>46090</v>
      </c>
      <c r="O5" s="593"/>
    </row>
    <row r="6" spans="1:15">
      <c r="A6" s="346" t="s">
        <v>765</v>
      </c>
      <c r="B6" s="480">
        <v>45859</v>
      </c>
      <c r="C6" s="346" t="s">
        <v>563</v>
      </c>
      <c r="D6" s="346" t="s">
        <v>562</v>
      </c>
      <c r="E6" s="346">
        <v>79.3</v>
      </c>
      <c r="F6" s="577">
        <v>23</v>
      </c>
      <c r="G6" s="577">
        <f t="shared" si="0"/>
        <v>25.3</v>
      </c>
      <c r="H6" s="577">
        <f t="shared" si="1"/>
        <v>30.36</v>
      </c>
      <c r="I6" s="577">
        <v>768.62693076923085</v>
      </c>
      <c r="J6" s="577">
        <v>5.9125148520710065</v>
      </c>
      <c r="K6" s="484">
        <v>171.70363499999999</v>
      </c>
      <c r="L6" s="484">
        <v>1.7170363499999999</v>
      </c>
      <c r="M6" s="841">
        <v>0.49775662042875157</v>
      </c>
      <c r="N6" s="610">
        <v>46091</v>
      </c>
      <c r="O6" s="593"/>
    </row>
    <row r="7" spans="1:15">
      <c r="A7" s="346"/>
      <c r="B7" s="480"/>
      <c r="C7" s="346"/>
      <c r="D7" s="346"/>
      <c r="E7" s="346"/>
      <c r="F7" s="577"/>
      <c r="G7" s="577"/>
      <c r="H7" s="577"/>
      <c r="I7" s="577"/>
      <c r="J7" s="577"/>
      <c r="K7" s="484"/>
      <c r="L7" s="484"/>
      <c r="M7" s="841"/>
      <c r="N7" s="610"/>
    </row>
    <row r="8" spans="1:15">
      <c r="A8" s="346"/>
      <c r="B8" s="480"/>
      <c r="C8" s="346"/>
      <c r="D8" s="346"/>
      <c r="E8" s="346"/>
      <c r="F8" s="577"/>
      <c r="G8" s="577"/>
      <c r="H8" s="577"/>
      <c r="I8" s="577"/>
      <c r="J8" s="577"/>
      <c r="K8" s="484"/>
      <c r="L8" s="484"/>
      <c r="M8" s="841"/>
      <c r="N8" s="610"/>
    </row>
    <row r="9" spans="1:15">
      <c r="A9" s="346"/>
      <c r="B9" s="480"/>
      <c r="C9" s="346"/>
      <c r="D9" s="346"/>
      <c r="E9" s="346"/>
      <c r="F9" s="577"/>
      <c r="G9" s="577"/>
      <c r="H9" s="577"/>
      <c r="I9" s="577"/>
      <c r="J9" s="577"/>
      <c r="K9" s="484"/>
      <c r="L9" s="484"/>
      <c r="M9" s="841"/>
      <c r="N9" s="610"/>
    </row>
    <row r="10" spans="1:15">
      <c r="A10" s="346"/>
      <c r="B10" s="480"/>
      <c r="C10" s="346"/>
      <c r="D10" s="346"/>
      <c r="E10" s="346"/>
      <c r="F10" s="577"/>
      <c r="G10" s="577"/>
      <c r="H10" s="577"/>
      <c r="I10" s="577"/>
      <c r="J10" s="577"/>
      <c r="K10" s="484"/>
      <c r="L10" s="484"/>
      <c r="M10" s="841"/>
      <c r="N10" s="610"/>
    </row>
    <row r="11" spans="1:15">
      <c r="A11" s="346"/>
      <c r="B11" s="480"/>
      <c r="C11" s="346"/>
      <c r="D11" s="346"/>
      <c r="E11" s="346"/>
      <c r="F11" s="577"/>
      <c r="G11" s="577"/>
      <c r="H11" s="577"/>
      <c r="I11" s="577"/>
      <c r="J11" s="577"/>
      <c r="K11" s="484"/>
      <c r="L11" s="484"/>
      <c r="M11" s="841"/>
      <c r="N11" s="610"/>
    </row>
    <row r="12" spans="1:15">
      <c r="A12" s="346"/>
      <c r="B12" s="480"/>
      <c r="C12" s="346"/>
      <c r="D12" s="346"/>
      <c r="E12" s="346"/>
      <c r="F12" s="577"/>
      <c r="G12" s="577"/>
      <c r="H12" s="577"/>
      <c r="I12" s="577"/>
      <c r="J12" s="577"/>
      <c r="K12" s="484"/>
      <c r="L12" s="484"/>
      <c r="M12" s="841"/>
      <c r="N12" s="610"/>
    </row>
    <row r="13" spans="1:15">
      <c r="A13" s="346"/>
      <c r="B13" s="480"/>
      <c r="C13" s="346"/>
      <c r="D13" s="346"/>
      <c r="E13" s="346"/>
      <c r="F13" s="577"/>
      <c r="G13" s="577"/>
      <c r="H13" s="577"/>
      <c r="I13" s="577"/>
      <c r="J13" s="577"/>
      <c r="K13" s="484"/>
      <c r="L13" s="484"/>
      <c r="M13" s="841"/>
      <c r="N13" s="610"/>
    </row>
    <row r="14" spans="1:15">
      <c r="A14" s="346"/>
      <c r="B14" s="480"/>
      <c r="C14" s="346"/>
      <c r="D14" s="346"/>
      <c r="E14" s="346"/>
      <c r="F14" s="577"/>
      <c r="G14" s="577"/>
      <c r="H14" s="577"/>
      <c r="I14" s="577"/>
      <c r="J14" s="577"/>
      <c r="K14" s="484"/>
      <c r="L14" s="484"/>
      <c r="M14" s="841"/>
      <c r="N14" s="610"/>
    </row>
    <row r="15" spans="1:15">
      <c r="A15" s="346"/>
      <c r="B15" s="480"/>
      <c r="C15" s="346"/>
      <c r="D15" s="346"/>
      <c r="E15" s="346"/>
      <c r="F15" s="577"/>
      <c r="G15" s="577"/>
      <c r="H15" s="577"/>
      <c r="I15" s="577"/>
      <c r="J15" s="577"/>
      <c r="K15" s="484"/>
      <c r="L15" s="484"/>
      <c r="M15" s="841"/>
      <c r="N15" s="610"/>
    </row>
    <row r="16" spans="1:15">
      <c r="A16" s="346"/>
      <c r="B16" s="480"/>
      <c r="C16" s="346"/>
      <c r="D16" s="346"/>
      <c r="E16" s="346"/>
      <c r="F16" s="577"/>
      <c r="G16" s="577"/>
      <c r="H16" s="577"/>
      <c r="I16" s="577"/>
      <c r="J16" s="577"/>
      <c r="K16" s="484"/>
      <c r="L16" s="484"/>
      <c r="M16" s="841"/>
      <c r="N16" s="610"/>
    </row>
    <row r="17" spans="1:14">
      <c r="A17" s="346"/>
      <c r="B17" s="480"/>
      <c r="C17" s="346"/>
      <c r="D17" s="346"/>
      <c r="E17" s="346"/>
      <c r="F17" s="577"/>
      <c r="G17" s="577"/>
      <c r="H17" s="577"/>
      <c r="I17" s="577"/>
      <c r="J17" s="577"/>
      <c r="K17" s="484"/>
      <c r="L17" s="484"/>
      <c r="M17" s="841"/>
      <c r="N17" s="610"/>
    </row>
    <row r="18" spans="1:14">
      <c r="A18" s="346"/>
      <c r="B18" s="480"/>
      <c r="C18" s="346"/>
      <c r="D18" s="346"/>
      <c r="E18" s="346"/>
      <c r="F18" s="577"/>
      <c r="G18" s="577"/>
      <c r="H18" s="577"/>
      <c r="I18" s="577"/>
      <c r="J18" s="577"/>
      <c r="K18" s="484"/>
      <c r="L18" s="484"/>
      <c r="M18" s="841"/>
      <c r="N18" s="610"/>
    </row>
    <row r="19" spans="1:14">
      <c r="A19" s="346"/>
      <c r="B19" s="480"/>
      <c r="C19" s="346"/>
      <c r="D19" s="346"/>
      <c r="E19" s="346"/>
      <c r="F19" s="577"/>
      <c r="G19" s="577"/>
      <c r="H19" s="577"/>
      <c r="I19" s="577"/>
      <c r="J19" s="577"/>
      <c r="K19" s="484"/>
      <c r="L19" s="484"/>
      <c r="M19" s="841"/>
      <c r="N19" s="610"/>
    </row>
    <row r="20" spans="1:14">
      <c r="A20" s="346"/>
      <c r="B20" s="480"/>
      <c r="C20" s="346"/>
      <c r="D20" s="346"/>
      <c r="E20" s="346"/>
      <c r="F20" s="577"/>
      <c r="G20" s="577"/>
      <c r="H20" s="577"/>
      <c r="I20" s="577"/>
      <c r="J20" s="577"/>
      <c r="K20" s="484"/>
      <c r="L20" s="484"/>
      <c r="M20" s="841"/>
      <c r="N20" s="610"/>
    </row>
    <row r="21" spans="1:14">
      <c r="A21" s="346"/>
      <c r="B21" s="480"/>
      <c r="C21" s="346"/>
      <c r="D21" s="346"/>
      <c r="E21" s="346"/>
      <c r="F21" s="577"/>
      <c r="G21" s="577"/>
      <c r="H21" s="577"/>
      <c r="I21" s="577"/>
      <c r="J21" s="577"/>
      <c r="K21" s="484"/>
      <c r="L21" s="484"/>
      <c r="M21" s="841"/>
      <c r="N21" s="610"/>
    </row>
    <row r="22" spans="1:14">
      <c r="A22" s="346"/>
      <c r="B22" s="480"/>
      <c r="C22" s="346"/>
      <c r="D22" s="346"/>
      <c r="E22" s="346"/>
      <c r="F22" s="577"/>
      <c r="G22" s="577"/>
      <c r="H22" s="577"/>
      <c r="I22" s="577"/>
      <c r="J22" s="577"/>
      <c r="K22" s="484"/>
      <c r="L22" s="484"/>
      <c r="M22" s="841"/>
      <c r="N22" s="610"/>
    </row>
    <row r="23" spans="1:14">
      <c r="A23" s="346"/>
      <c r="B23" s="480"/>
      <c r="C23" s="346"/>
      <c r="D23" s="346"/>
      <c r="E23" s="346"/>
      <c r="F23" s="577"/>
      <c r="G23" s="577"/>
      <c r="H23" s="577"/>
      <c r="I23" s="577"/>
      <c r="J23" s="577"/>
      <c r="K23" s="484"/>
      <c r="L23" s="484"/>
      <c r="M23" s="841"/>
      <c r="N23" s="610"/>
    </row>
    <row r="24" spans="1:14">
      <c r="A24" s="346"/>
      <c r="B24" s="480"/>
      <c r="C24" s="346"/>
      <c r="D24" s="346"/>
      <c r="E24" s="346"/>
      <c r="F24" s="577"/>
      <c r="G24" s="577"/>
      <c r="H24" s="577"/>
      <c r="I24" s="577"/>
      <c r="J24" s="577"/>
      <c r="K24" s="484"/>
      <c r="L24" s="561"/>
      <c r="M24" s="480"/>
    </row>
    <row r="25" spans="1:14">
      <c r="A25" s="346"/>
      <c r="B25" s="480"/>
      <c r="C25" s="346"/>
      <c r="D25" s="346"/>
      <c r="E25" s="346"/>
      <c r="F25" s="577"/>
      <c r="G25" s="577"/>
      <c r="H25" s="577"/>
      <c r="I25" s="577"/>
      <c r="J25" s="577"/>
      <c r="K25" s="484"/>
      <c r="L25" s="561"/>
      <c r="M25" s="480"/>
    </row>
    <row r="26" spans="1:14">
      <c r="A26" s="346"/>
      <c r="B26" s="480"/>
      <c r="C26" s="346"/>
      <c r="D26" s="346"/>
      <c r="E26" s="346"/>
      <c r="F26" s="577"/>
      <c r="G26" s="577"/>
      <c r="H26" s="577"/>
      <c r="I26" s="577"/>
      <c r="J26" s="577"/>
      <c r="K26" s="484"/>
      <c r="L26" s="561"/>
      <c r="M26" s="480"/>
    </row>
    <row r="27" spans="1:14">
      <c r="A27" s="346"/>
      <c r="B27" s="480"/>
      <c r="C27" s="346"/>
      <c r="D27" s="346"/>
      <c r="E27" s="346"/>
      <c r="F27" s="577"/>
      <c r="G27" s="577"/>
      <c r="H27" s="577"/>
      <c r="I27" s="577"/>
      <c r="J27" s="577"/>
      <c r="K27" s="484"/>
      <c r="L27" s="561"/>
      <c r="M27" s="480"/>
    </row>
    <row r="28" spans="1:14">
      <c r="A28" s="346"/>
      <c r="B28" s="480"/>
      <c r="C28" s="346"/>
      <c r="D28" s="346"/>
      <c r="E28" s="346"/>
      <c r="F28" s="577"/>
      <c r="G28" s="577"/>
      <c r="H28" s="577"/>
      <c r="I28" s="577"/>
      <c r="J28" s="577"/>
      <c r="K28" s="484"/>
      <c r="L28" s="561"/>
      <c r="M28" s="480"/>
    </row>
    <row r="29" spans="1:14">
      <c r="A29" s="346"/>
      <c r="B29" s="480"/>
      <c r="C29" s="346"/>
      <c r="D29" s="346"/>
      <c r="E29" s="346"/>
      <c r="F29" s="577"/>
      <c r="G29" s="577"/>
      <c r="H29" s="577"/>
      <c r="I29" s="577"/>
      <c r="J29" s="577"/>
      <c r="K29" s="484"/>
      <c r="L29" s="561"/>
      <c r="M29" s="480"/>
    </row>
    <row r="30" spans="1:14">
      <c r="A30" s="346"/>
      <c r="B30" s="480"/>
      <c r="C30" s="346"/>
      <c r="D30" s="346"/>
      <c r="E30" s="346"/>
      <c r="F30" s="577"/>
      <c r="G30" s="577"/>
      <c r="H30" s="577"/>
      <c r="I30" s="577"/>
      <c r="J30" s="577"/>
      <c r="K30" s="484"/>
      <c r="L30" s="561"/>
      <c r="M30" s="480"/>
    </row>
    <row r="31" spans="1:14">
      <c r="A31" s="346"/>
      <c r="B31" s="480"/>
      <c r="C31" s="346"/>
      <c r="D31" s="346"/>
      <c r="E31" s="346"/>
      <c r="F31" s="577"/>
      <c r="G31" s="577"/>
      <c r="H31" s="577"/>
      <c r="I31" s="577"/>
      <c r="J31" s="577"/>
      <c r="K31" s="484"/>
      <c r="L31" s="561"/>
      <c r="M31" s="480"/>
    </row>
    <row r="32" spans="1:14">
      <c r="A32" s="346"/>
      <c r="B32" s="480"/>
      <c r="C32" s="346"/>
      <c r="D32" s="346"/>
      <c r="E32" s="346"/>
      <c r="F32" s="577"/>
      <c r="G32" s="577"/>
      <c r="H32" s="577"/>
      <c r="I32" s="577"/>
      <c r="J32" s="577"/>
      <c r="K32" s="484"/>
      <c r="L32" s="561"/>
      <c r="M32" s="480"/>
    </row>
    <row r="33" spans="1:14">
      <c r="A33" s="346"/>
      <c r="B33" s="480"/>
      <c r="C33" s="346"/>
      <c r="D33" s="346"/>
      <c r="E33" s="346"/>
      <c r="F33" s="577"/>
      <c r="G33" s="577"/>
      <c r="H33" s="577"/>
      <c r="I33" s="577"/>
      <c r="J33" s="577"/>
      <c r="K33" s="484"/>
      <c r="L33" s="561"/>
      <c r="M33" s="480"/>
    </row>
    <row r="34" spans="1:14">
      <c r="A34" s="346"/>
      <c r="B34" s="480"/>
      <c r="C34" s="346"/>
      <c r="D34" s="346"/>
      <c r="E34" s="346"/>
      <c r="F34" s="577"/>
      <c r="G34" s="577"/>
      <c r="H34" s="577"/>
      <c r="I34" s="577"/>
      <c r="J34" s="577"/>
      <c r="K34" s="484"/>
      <c r="L34" s="561"/>
      <c r="M34" s="480"/>
    </row>
    <row r="35" spans="1:14">
      <c r="A35" s="346"/>
      <c r="B35" s="480"/>
      <c r="C35" s="346"/>
      <c r="D35" s="346"/>
      <c r="E35" s="346"/>
      <c r="F35" s="577"/>
      <c r="G35" s="577"/>
      <c r="H35" s="577"/>
      <c r="I35" s="577"/>
      <c r="J35" s="577"/>
      <c r="K35" s="484"/>
      <c r="L35" s="561"/>
      <c r="M35" s="480"/>
    </row>
    <row r="36" spans="1:14">
      <c r="I36" s="587"/>
      <c r="J36" s="587"/>
      <c r="K36" s="484"/>
      <c r="L36" s="561"/>
      <c r="M36" s="480"/>
    </row>
    <row r="37" spans="1:14">
      <c r="I37" s="587"/>
      <c r="J37" s="587"/>
      <c r="K37" s="484"/>
      <c r="L37" s="561"/>
      <c r="M37" s="480"/>
    </row>
    <row r="38" spans="1:14">
      <c r="I38" s="587"/>
      <c r="J38" s="587"/>
      <c r="K38" s="484"/>
      <c r="L38" s="561"/>
      <c r="M38" s="480"/>
    </row>
    <row r="39" spans="1:14">
      <c r="I39" s="587"/>
      <c r="J39" s="587"/>
      <c r="K39" s="484"/>
      <c r="L39" s="561"/>
      <c r="M39" s="480"/>
    </row>
    <row r="40" spans="1:14">
      <c r="I40" s="587"/>
      <c r="J40" s="587"/>
      <c r="K40" s="484"/>
      <c r="L40" s="561"/>
      <c r="M40" s="480"/>
    </row>
    <row r="41" spans="1:14">
      <c r="I41" s="587"/>
      <c r="J41" s="587"/>
      <c r="K41" s="484"/>
      <c r="L41" s="561"/>
      <c r="M41" s="480"/>
    </row>
    <row r="42" spans="1:14">
      <c r="I42" s="587"/>
      <c r="J42" s="587"/>
      <c r="K42" s="484"/>
      <c r="L42" s="561"/>
      <c r="M42" s="480"/>
    </row>
    <row r="43" spans="1:14">
      <c r="I43" s="587"/>
      <c r="J43" s="587"/>
      <c r="K43" s="484"/>
      <c r="L43" s="561"/>
      <c r="M43" s="480"/>
    </row>
    <row r="44" spans="1:14">
      <c r="A44" s="346"/>
      <c r="D44" s="346"/>
      <c r="F44" s="484"/>
      <c r="G44" s="587"/>
      <c r="H44" s="583"/>
      <c r="I44" s="587"/>
      <c r="J44" s="587"/>
      <c r="K44" s="484"/>
      <c r="L44" s="356"/>
      <c r="N44" s="609"/>
    </row>
    <row r="45" spans="1:14">
      <c r="A45" s="346"/>
      <c r="D45" s="346"/>
      <c r="F45" s="484"/>
      <c r="G45" s="587"/>
      <c r="H45" s="583"/>
      <c r="I45" s="587"/>
      <c r="J45" s="587"/>
      <c r="K45" s="484"/>
      <c r="L45" s="356"/>
    </row>
    <row r="46" spans="1:14">
      <c r="A46" s="346"/>
      <c r="D46" s="346"/>
      <c r="F46" s="484"/>
      <c r="G46" s="587"/>
      <c r="H46" s="583"/>
      <c r="I46" s="587"/>
      <c r="J46" s="587"/>
      <c r="K46" s="484"/>
      <c r="L46" s="356"/>
      <c r="N46" s="609"/>
    </row>
    <row r="47" spans="1:14">
      <c r="A47" s="346"/>
      <c r="D47" s="346"/>
      <c r="F47" s="484"/>
      <c r="G47" s="587"/>
      <c r="H47" s="583"/>
      <c r="I47" s="587"/>
      <c r="J47" s="587"/>
      <c r="K47" s="484"/>
      <c r="L47" s="356"/>
      <c r="N47" s="484"/>
    </row>
    <row r="48" spans="1:14">
      <c r="A48" s="346"/>
      <c r="D48" s="346"/>
      <c r="F48" s="484"/>
      <c r="G48" s="587"/>
      <c r="H48" s="583"/>
      <c r="I48" s="587"/>
      <c r="J48" s="587"/>
      <c r="K48" s="484"/>
      <c r="L48" s="356"/>
    </row>
    <row r="49" spans="1:14">
      <c r="A49" s="346"/>
      <c r="D49" s="346"/>
      <c r="F49" s="484"/>
      <c r="G49" s="587"/>
      <c r="H49" s="583"/>
      <c r="I49" s="587"/>
      <c r="J49" s="587"/>
      <c r="K49" s="484"/>
      <c r="L49" s="356"/>
    </row>
    <row r="50" spans="1:14">
      <c r="A50" s="346"/>
      <c r="D50" s="346"/>
      <c r="F50" s="484"/>
      <c r="G50" s="587"/>
      <c r="H50" s="583"/>
      <c r="I50" s="587"/>
      <c r="J50" s="587"/>
      <c r="K50" s="484"/>
      <c r="L50" s="356"/>
    </row>
    <row r="51" spans="1:14">
      <c r="A51" s="346"/>
      <c r="D51" s="346"/>
      <c r="F51" s="484"/>
      <c r="G51" s="587"/>
      <c r="H51" s="583"/>
      <c r="I51" s="587"/>
      <c r="J51" s="587"/>
      <c r="K51" s="484"/>
      <c r="L51" s="356"/>
    </row>
    <row r="52" spans="1:14">
      <c r="A52" s="346"/>
      <c r="D52" s="346"/>
      <c r="F52" s="484"/>
      <c r="G52" s="587"/>
      <c r="H52" s="583"/>
      <c r="I52" s="587"/>
      <c r="J52" s="587"/>
      <c r="K52" s="484"/>
      <c r="L52" s="356"/>
    </row>
    <row r="53" spans="1:14">
      <c r="A53" s="346"/>
      <c r="D53" s="346"/>
      <c r="F53" s="484"/>
      <c r="G53" s="587"/>
      <c r="H53" s="583"/>
      <c r="I53" s="587"/>
      <c r="J53" s="587"/>
      <c r="K53" s="484"/>
      <c r="L53" s="356"/>
    </row>
    <row r="54" spans="1:14">
      <c r="A54" s="346"/>
      <c r="D54" s="346"/>
      <c r="F54" s="484"/>
      <c r="G54" s="587"/>
      <c r="H54" s="583"/>
      <c r="I54" s="587"/>
      <c r="J54" s="587"/>
      <c r="K54" s="484"/>
      <c r="L54" s="356"/>
      <c r="N54" s="346"/>
    </row>
    <row r="55" spans="1:14">
      <c r="A55" s="346"/>
      <c r="D55" s="346"/>
      <c r="F55" s="484"/>
      <c r="G55" s="587"/>
      <c r="H55" s="583"/>
      <c r="I55" s="587"/>
      <c r="J55" s="587"/>
      <c r="K55" s="484"/>
      <c r="L55" s="356"/>
      <c r="N55" s="346"/>
    </row>
    <row r="56" spans="1:14">
      <c r="A56" s="346"/>
      <c r="D56" s="346"/>
      <c r="F56" s="484"/>
      <c r="G56" s="587"/>
      <c r="H56" s="583"/>
      <c r="I56" s="587"/>
      <c r="J56" s="587"/>
      <c r="K56" s="484"/>
      <c r="L56" s="356"/>
      <c r="N56" s="346"/>
    </row>
    <row r="57" spans="1:14">
      <c r="A57" s="346"/>
      <c r="D57" s="346"/>
      <c r="F57" s="484"/>
      <c r="G57" s="587"/>
      <c r="H57" s="583"/>
      <c r="I57" s="587"/>
      <c r="J57" s="587"/>
      <c r="K57" s="484"/>
      <c r="L57" s="356"/>
    </row>
    <row r="58" spans="1:14">
      <c r="A58" s="346"/>
      <c r="D58" s="346"/>
      <c r="F58" s="484"/>
      <c r="G58" s="587"/>
      <c r="H58" s="583"/>
      <c r="I58" s="587"/>
      <c r="J58" s="587"/>
      <c r="K58" s="484"/>
      <c r="L58" s="356"/>
    </row>
    <row r="59" spans="1:14">
      <c r="A59" s="346"/>
      <c r="D59" s="346"/>
      <c r="F59" s="484"/>
      <c r="G59" s="587"/>
      <c r="H59" s="583"/>
      <c r="I59" s="587"/>
      <c r="J59" s="587"/>
      <c r="K59" s="484"/>
      <c r="L59" s="356"/>
    </row>
    <row r="60" spans="1:14">
      <c r="A60" s="346"/>
      <c r="D60" s="346"/>
      <c r="F60" s="484"/>
      <c r="G60" s="587"/>
      <c r="H60" s="583"/>
      <c r="I60" s="587"/>
      <c r="J60" s="587"/>
      <c r="K60" s="484"/>
      <c r="L60" s="356"/>
    </row>
    <row r="61" spans="1:14">
      <c r="A61" s="346"/>
      <c r="D61" s="346"/>
      <c r="F61" s="484"/>
      <c r="G61" s="587"/>
      <c r="H61" s="583"/>
      <c r="I61" s="587"/>
      <c r="J61" s="587"/>
      <c r="K61" s="484"/>
      <c r="L61" s="356"/>
    </row>
    <row r="62" spans="1:14">
      <c r="A62" s="346"/>
      <c r="D62" s="346"/>
      <c r="F62" s="484"/>
      <c r="G62" s="587"/>
      <c r="H62" s="583"/>
      <c r="I62" s="587"/>
      <c r="J62" s="587"/>
      <c r="K62" s="484"/>
      <c r="L62" s="356"/>
    </row>
    <row r="63" spans="1:14">
      <c r="A63" s="346"/>
      <c r="D63" s="346"/>
      <c r="F63" s="484"/>
      <c r="G63" s="587"/>
      <c r="H63" s="583"/>
      <c r="I63" s="587"/>
      <c r="J63" s="587"/>
      <c r="K63" s="484"/>
      <c r="L63" s="356"/>
    </row>
    <row r="64" spans="1:14">
      <c r="A64" s="346"/>
      <c r="D64" s="346"/>
      <c r="F64" s="484"/>
      <c r="G64" s="587"/>
      <c r="H64" s="583"/>
      <c r="I64" s="587"/>
      <c r="J64" s="587"/>
      <c r="K64" s="484"/>
      <c r="L64" s="356"/>
    </row>
    <row r="65" spans="1:14">
      <c r="A65" s="346"/>
      <c r="D65" s="346"/>
      <c r="F65" s="484"/>
      <c r="G65" s="587"/>
      <c r="H65" s="583"/>
      <c r="I65" s="587"/>
      <c r="J65" s="587"/>
      <c r="K65" s="484"/>
      <c r="L65" s="356"/>
    </row>
    <row r="66" spans="1:14">
      <c r="A66" s="346"/>
      <c r="D66" s="346"/>
      <c r="F66" s="484"/>
      <c r="G66" s="587"/>
      <c r="H66" s="583"/>
      <c r="I66" s="587"/>
      <c r="J66" s="587"/>
      <c r="K66" s="484"/>
      <c r="L66" s="356"/>
      <c r="N66" s="346"/>
    </row>
    <row r="67" spans="1:14">
      <c r="A67" s="346"/>
      <c r="D67" s="346"/>
      <c r="F67" s="484"/>
      <c r="G67" s="587"/>
      <c r="H67" s="583"/>
      <c r="I67" s="587"/>
      <c r="J67" s="587"/>
      <c r="K67" s="484"/>
      <c r="L67" s="356"/>
      <c r="N67" s="346"/>
    </row>
    <row r="68" spans="1:14">
      <c r="A68" s="346"/>
      <c r="D68" s="346"/>
      <c r="F68" s="484"/>
      <c r="G68" s="587"/>
      <c r="H68" s="583"/>
      <c r="I68" s="587"/>
      <c r="J68" s="587"/>
      <c r="K68" s="484"/>
      <c r="L68" s="356"/>
      <c r="N68" s="346"/>
    </row>
    <row r="69" spans="1:14">
      <c r="A69" s="346"/>
      <c r="D69" s="346"/>
      <c r="F69" s="484"/>
      <c r="G69" s="587"/>
      <c r="H69" s="583"/>
      <c r="I69" s="587"/>
      <c r="J69" s="587"/>
      <c r="K69" s="484"/>
      <c r="L69" s="356"/>
    </row>
    <row r="70" spans="1:14">
      <c r="A70" s="346"/>
      <c r="D70" s="346"/>
      <c r="F70" s="484"/>
      <c r="G70" s="587"/>
      <c r="H70" s="583"/>
      <c r="I70" s="587"/>
      <c r="J70" s="587"/>
      <c r="K70" s="484"/>
      <c r="L70" s="356"/>
    </row>
    <row r="71" spans="1:14">
      <c r="A71" s="346"/>
      <c r="D71" s="346"/>
      <c r="F71" s="484"/>
      <c r="G71" s="587"/>
      <c r="H71" s="583"/>
      <c r="I71" s="587"/>
      <c r="J71" s="587"/>
      <c r="K71" s="484"/>
      <c r="L71" s="356"/>
    </row>
    <row r="72" spans="1:14">
      <c r="A72" s="346"/>
      <c r="D72" s="346"/>
      <c r="F72" s="484"/>
      <c r="G72" s="587"/>
      <c r="H72" s="583"/>
      <c r="I72" s="587"/>
      <c r="J72" s="587"/>
      <c r="K72" s="484"/>
      <c r="L72" s="356"/>
    </row>
    <row r="73" spans="1:14">
      <c r="A73" s="346"/>
      <c r="D73" s="346"/>
      <c r="F73" s="484"/>
      <c r="G73" s="587"/>
      <c r="H73" s="583"/>
      <c r="I73" s="587"/>
      <c r="J73" s="587"/>
      <c r="K73" s="484"/>
      <c r="L73" s="356"/>
    </row>
    <row r="74" spans="1:14">
      <c r="A74" s="346"/>
      <c r="D74" s="346"/>
      <c r="F74" s="484"/>
      <c r="G74" s="587"/>
      <c r="H74" s="583"/>
      <c r="I74" s="587"/>
      <c r="J74" s="587"/>
      <c r="K74" s="484"/>
      <c r="L74" s="356"/>
    </row>
    <row r="75" spans="1:14">
      <c r="A75" s="346"/>
      <c r="D75" s="346"/>
      <c r="F75" s="484"/>
      <c r="G75" s="587"/>
      <c r="H75" s="583"/>
      <c r="I75" s="587"/>
      <c r="J75" s="587"/>
      <c r="K75" s="484"/>
      <c r="L75" s="356"/>
    </row>
    <row r="76" spans="1:14">
      <c r="A76" s="346"/>
      <c r="D76" s="346"/>
      <c r="F76" s="484"/>
      <c r="G76" s="587"/>
      <c r="H76" s="583"/>
      <c r="I76" s="587"/>
      <c r="J76" s="587"/>
      <c r="K76" s="484"/>
      <c r="L76" s="356"/>
    </row>
    <row r="77" spans="1:14">
      <c r="A77" s="346"/>
      <c r="D77" s="346"/>
      <c r="F77" s="484"/>
      <c r="G77" s="587"/>
      <c r="H77" s="583"/>
      <c r="I77" s="587"/>
      <c r="J77" s="587"/>
      <c r="K77" s="484"/>
      <c r="L77" s="356"/>
    </row>
    <row r="78" spans="1:14">
      <c r="A78" s="346"/>
      <c r="D78" s="346"/>
      <c r="F78" s="484"/>
      <c r="G78" s="587"/>
      <c r="H78" s="583"/>
      <c r="I78" s="587"/>
      <c r="J78" s="587"/>
      <c r="K78" s="484"/>
      <c r="L78" s="356"/>
    </row>
    <row r="79" spans="1:14">
      <c r="A79" s="346"/>
      <c r="D79" s="346"/>
      <c r="F79" s="484"/>
      <c r="G79" s="587"/>
      <c r="H79" s="583"/>
      <c r="I79" s="587"/>
      <c r="J79" s="587"/>
      <c r="K79" s="484"/>
      <c r="L79" s="356"/>
    </row>
    <row r="80" spans="1:14">
      <c r="A80" s="346"/>
      <c r="D80" s="346"/>
      <c r="F80" s="484"/>
      <c r="G80" s="587"/>
      <c r="H80" s="583"/>
      <c r="I80" s="587"/>
      <c r="J80" s="587"/>
      <c r="K80" s="484"/>
      <c r="L80" s="356"/>
    </row>
    <row r="81" spans="1:12">
      <c r="A81" s="346"/>
      <c r="D81" s="346"/>
      <c r="F81" s="484"/>
      <c r="G81" s="587"/>
      <c r="H81" s="583"/>
      <c r="I81" s="587"/>
      <c r="J81" s="587"/>
      <c r="K81" s="484"/>
      <c r="L81" s="356"/>
    </row>
    <row r="82" spans="1:12">
      <c r="A82" s="346"/>
      <c r="D82" s="346"/>
      <c r="F82" s="484"/>
      <c r="G82" s="587"/>
      <c r="H82" s="583"/>
      <c r="I82" s="587"/>
      <c r="J82" s="587"/>
      <c r="K82" s="484"/>
      <c r="L82" s="356"/>
    </row>
    <row r="83" spans="1:12">
      <c r="A83" s="346"/>
      <c r="D83" s="346"/>
      <c r="F83" s="484"/>
      <c r="G83" s="587"/>
      <c r="H83" s="583"/>
      <c r="I83" s="587"/>
      <c r="J83" s="587"/>
      <c r="K83" s="484"/>
      <c r="L83" s="356"/>
    </row>
    <row r="84" spans="1:12">
      <c r="A84" s="346"/>
      <c r="D84" s="346"/>
      <c r="F84" s="484"/>
      <c r="G84" s="587"/>
      <c r="H84" s="583"/>
      <c r="I84" s="587"/>
      <c r="J84" s="587"/>
      <c r="K84" s="484"/>
      <c r="L84" s="356"/>
    </row>
    <row r="85" spans="1:12">
      <c r="A85" s="346"/>
      <c r="D85" s="346"/>
      <c r="F85" s="484"/>
      <c r="G85" s="587"/>
      <c r="H85" s="583"/>
      <c r="I85" s="587"/>
      <c r="J85" s="587"/>
      <c r="K85" s="484"/>
      <c r="L85" s="356"/>
    </row>
    <row r="86" spans="1:12">
      <c r="A86" s="346"/>
      <c r="D86" s="346"/>
      <c r="F86" s="484"/>
      <c r="G86" s="587"/>
      <c r="H86" s="583"/>
      <c r="I86" s="587"/>
      <c r="J86" s="587"/>
      <c r="K86" s="484"/>
      <c r="L86" s="356"/>
    </row>
    <row r="87" spans="1:12">
      <c r="A87" s="346"/>
      <c r="D87" s="346"/>
      <c r="F87" s="484"/>
      <c r="G87" s="587"/>
      <c r="H87" s="583"/>
      <c r="I87" s="587"/>
      <c r="J87" s="587"/>
      <c r="K87" s="484"/>
      <c r="L87" s="356"/>
    </row>
    <row r="88" spans="1:12">
      <c r="A88" s="346"/>
      <c r="D88" s="346"/>
      <c r="F88" s="484"/>
      <c r="G88" s="587"/>
      <c r="H88" s="583"/>
      <c r="I88" s="587"/>
      <c r="J88" s="587"/>
      <c r="K88" s="484"/>
      <c r="L88" s="356"/>
    </row>
    <row r="89" spans="1:12">
      <c r="A89" s="346"/>
      <c r="D89" s="346"/>
      <c r="F89" s="484"/>
      <c r="G89" s="587"/>
      <c r="H89" s="583"/>
      <c r="I89" s="587"/>
      <c r="J89" s="587"/>
      <c r="K89" s="484"/>
      <c r="L89" s="356"/>
    </row>
    <row r="90" spans="1:12">
      <c r="A90" s="346"/>
      <c r="D90" s="346"/>
      <c r="F90" s="484"/>
      <c r="G90" s="587"/>
      <c r="H90" s="583"/>
      <c r="I90" s="587"/>
      <c r="J90" s="587"/>
      <c r="K90" s="484"/>
      <c r="L90" s="356"/>
    </row>
    <row r="91" spans="1:12">
      <c r="A91" s="346"/>
      <c r="D91" s="346"/>
      <c r="F91" s="484"/>
      <c r="G91" s="587"/>
      <c r="H91" s="583"/>
      <c r="I91" s="587"/>
      <c r="J91" s="587"/>
      <c r="K91" s="484"/>
      <c r="L91" s="356"/>
    </row>
    <row r="92" spans="1:12">
      <c r="A92" s="346"/>
      <c r="D92" s="346"/>
      <c r="F92" s="484"/>
      <c r="G92" s="587"/>
      <c r="H92" s="583"/>
      <c r="I92" s="587"/>
      <c r="J92" s="587"/>
      <c r="K92" s="484"/>
      <c r="L92" s="356"/>
    </row>
    <row r="93" spans="1:12">
      <c r="A93" s="346"/>
      <c r="D93" s="346"/>
      <c r="F93" s="484"/>
      <c r="G93" s="587"/>
      <c r="H93" s="583"/>
      <c r="I93" s="587"/>
      <c r="J93" s="587"/>
      <c r="K93" s="484"/>
      <c r="L93" s="356"/>
    </row>
    <row r="94" spans="1:12">
      <c r="A94" s="346"/>
      <c r="D94" s="346"/>
      <c r="F94" s="484"/>
      <c r="G94" s="587"/>
      <c r="H94" s="583"/>
      <c r="I94" s="587"/>
      <c r="J94" s="587"/>
      <c r="K94" s="484"/>
      <c r="L94" s="356"/>
    </row>
    <row r="95" spans="1:12">
      <c r="A95" s="346"/>
      <c r="D95" s="346"/>
      <c r="F95" s="484"/>
      <c r="G95" s="587"/>
      <c r="H95" s="583"/>
      <c r="I95" s="587"/>
      <c r="J95" s="587"/>
      <c r="K95" s="484"/>
      <c r="L95" s="356"/>
    </row>
    <row r="96" spans="1:12">
      <c r="A96" s="346"/>
      <c r="D96" s="346"/>
      <c r="F96" s="484"/>
      <c r="G96" s="587"/>
      <c r="H96" s="583"/>
      <c r="I96" s="587"/>
      <c r="J96" s="587"/>
      <c r="K96" s="484"/>
      <c r="L96" s="356"/>
    </row>
    <row r="97" spans="1:15">
      <c r="A97" s="346"/>
      <c r="D97" s="346"/>
      <c r="F97" s="484"/>
      <c r="G97" s="587"/>
      <c r="H97" s="583"/>
      <c r="I97" s="587"/>
      <c r="J97" s="587"/>
      <c r="K97" s="484"/>
      <c r="L97" s="356"/>
    </row>
    <row r="98" spans="1:15">
      <c r="A98" s="346"/>
      <c r="D98" s="346"/>
      <c r="F98" s="484"/>
      <c r="G98" s="587"/>
      <c r="H98" s="583"/>
      <c r="I98" s="587"/>
      <c r="J98" s="587"/>
      <c r="K98" s="484"/>
      <c r="L98" s="356"/>
    </row>
    <row r="99" spans="1:15">
      <c r="A99" s="346"/>
      <c r="D99" s="346"/>
      <c r="F99" s="484"/>
      <c r="G99" s="587"/>
      <c r="H99" s="583"/>
      <c r="I99" s="587"/>
      <c r="J99" s="587"/>
      <c r="K99" s="484"/>
      <c r="L99" s="356"/>
    </row>
    <row r="100" spans="1:15">
      <c r="A100" s="346"/>
      <c r="D100" s="346"/>
      <c r="F100" s="484"/>
      <c r="G100" s="587"/>
      <c r="H100" s="583"/>
      <c r="I100" s="587"/>
      <c r="J100" s="587"/>
      <c r="K100" s="484"/>
      <c r="L100" s="356"/>
      <c r="N100" s="484"/>
      <c r="O100" s="593"/>
    </row>
    <row r="101" spans="1:15">
      <c r="A101" s="346"/>
      <c r="D101" s="346"/>
      <c r="F101" s="484"/>
      <c r="G101" s="587"/>
      <c r="H101" s="583"/>
      <c r="I101" s="587"/>
      <c r="J101" s="587"/>
      <c r="K101" s="484"/>
      <c r="L101" s="356"/>
    </row>
    <row r="102" spans="1:15">
      <c r="A102" s="346"/>
      <c r="D102" s="346"/>
      <c r="F102" s="484"/>
      <c r="G102" s="587"/>
      <c r="H102" s="583"/>
      <c r="I102" s="587"/>
      <c r="J102" s="587"/>
      <c r="K102" s="484"/>
      <c r="L102" s="356"/>
    </row>
    <row r="103" spans="1:15">
      <c r="A103" s="346"/>
      <c r="D103" s="346"/>
      <c r="F103" s="484"/>
      <c r="G103" s="587"/>
      <c r="H103" s="583"/>
      <c r="I103" s="587"/>
      <c r="J103" s="587"/>
      <c r="K103" s="484"/>
      <c r="L103" s="356"/>
    </row>
    <row r="104" spans="1:15">
      <c r="A104" s="346"/>
      <c r="D104" s="346"/>
      <c r="F104" s="484"/>
      <c r="G104" s="587"/>
      <c r="H104" s="583"/>
      <c r="I104" s="587"/>
      <c r="J104" s="587"/>
      <c r="K104" s="484"/>
      <c r="L104" s="356"/>
    </row>
    <row r="105" spans="1:15">
      <c r="A105" s="346"/>
      <c r="D105" s="346"/>
      <c r="F105" s="484"/>
      <c r="G105" s="587"/>
      <c r="H105" s="583"/>
      <c r="I105" s="587"/>
      <c r="J105" s="587"/>
      <c r="K105" s="484"/>
      <c r="L105" s="356"/>
    </row>
    <row r="106" spans="1:15">
      <c r="A106" s="346"/>
      <c r="D106" s="346"/>
      <c r="F106" s="484"/>
      <c r="G106" s="587"/>
      <c r="H106" s="583"/>
      <c r="I106" s="587"/>
      <c r="J106" s="587"/>
      <c r="K106" s="484"/>
      <c r="L106" s="356"/>
    </row>
    <row r="107" spans="1:15">
      <c r="A107" s="346"/>
      <c r="D107" s="346"/>
      <c r="F107" s="484"/>
      <c r="G107" s="583"/>
      <c r="H107" s="583"/>
      <c r="I107" s="587"/>
      <c r="J107" s="587"/>
      <c r="K107" s="484"/>
      <c r="L107" s="356"/>
    </row>
    <row r="108" spans="1:15">
      <c r="A108" s="346"/>
      <c r="D108" s="346"/>
      <c r="F108" s="484"/>
      <c r="G108" s="583"/>
      <c r="H108" s="583"/>
      <c r="I108" s="587"/>
      <c r="J108" s="587"/>
      <c r="K108" s="484"/>
      <c r="L108" s="356"/>
    </row>
    <row r="109" spans="1:15">
      <c r="A109" s="346"/>
      <c r="D109" s="346"/>
      <c r="F109" s="484"/>
      <c r="G109" s="583"/>
      <c r="H109" s="583"/>
      <c r="I109" s="587"/>
      <c r="J109" s="587"/>
      <c r="K109" s="484"/>
      <c r="L109" s="356"/>
    </row>
    <row r="110" spans="1:15">
      <c r="A110" s="346"/>
      <c r="D110" s="346"/>
      <c r="F110" s="484"/>
      <c r="G110" s="583"/>
      <c r="H110" s="583"/>
      <c r="I110" s="587"/>
      <c r="J110" s="587"/>
      <c r="K110" s="484"/>
      <c r="L110" s="356"/>
    </row>
    <row r="112" spans="1:15" ht="13">
      <c r="J112" s="328" t="s">
        <v>50</v>
      </c>
      <c r="K112" s="617">
        <f>SUM(K2:K111)</f>
        <v>69.239364999999736</v>
      </c>
      <c r="L112" s="182"/>
    </row>
    <row r="113" spans="1:13" ht="13">
      <c r="J113" s="328" t="s">
        <v>22</v>
      </c>
      <c r="K113" s="365">
        <f>cartera!K150</f>
        <v>65103.667999997262</v>
      </c>
      <c r="L113" s="182"/>
    </row>
    <row r="114" spans="1:13" ht="13">
      <c r="K114" s="328"/>
    </row>
    <row r="115" spans="1:13" ht="13">
      <c r="J115" s="328" t="s">
        <v>518</v>
      </c>
      <c r="K115" s="617">
        <f>SUM(K112:K114)</f>
        <v>65172.907364997263</v>
      </c>
      <c r="L115" s="328"/>
    </row>
    <row r="123" spans="1:13" ht="13">
      <c r="A123" s="862" t="s">
        <v>346</v>
      </c>
      <c r="B123" s="863"/>
      <c r="C123" s="863"/>
      <c r="D123" s="863"/>
      <c r="E123" s="863"/>
      <c r="F123" s="863"/>
      <c r="G123" s="863"/>
      <c r="H123" s="863"/>
      <c r="I123" s="863"/>
      <c r="J123" s="863"/>
      <c r="K123" s="863"/>
      <c r="L123" s="863"/>
      <c r="M123" s="864"/>
    </row>
    <row r="125" spans="1:13" ht="13">
      <c r="A125" s="472" t="s">
        <v>345</v>
      </c>
      <c r="B125" s="576" t="s">
        <v>138</v>
      </c>
      <c r="C125" s="472" t="s">
        <v>344</v>
      </c>
      <c r="D125" s="472" t="s">
        <v>280</v>
      </c>
      <c r="E125" s="472"/>
      <c r="F125" s="472" t="s">
        <v>342</v>
      </c>
      <c r="G125" s="472" t="s">
        <v>341</v>
      </c>
      <c r="H125" s="472"/>
      <c r="I125" s="472" t="s">
        <v>629</v>
      </c>
      <c r="J125" s="472" t="s">
        <v>77</v>
      </c>
      <c r="K125" s="472" t="s">
        <v>630</v>
      </c>
      <c r="L125" s="472" t="s">
        <v>491</v>
      </c>
      <c r="M125" s="576" t="s">
        <v>115</v>
      </c>
    </row>
    <row r="126" spans="1:13">
      <c r="A126" s="346"/>
      <c r="D126" s="346"/>
      <c r="F126" s="484"/>
      <c r="G126" s="583"/>
      <c r="H126" s="583"/>
      <c r="I126" s="583"/>
      <c r="J126" s="587"/>
      <c r="K126" s="484"/>
      <c r="L126" s="356"/>
    </row>
    <row r="127" spans="1:13">
      <c r="A127" s="346"/>
      <c r="D127" s="346"/>
      <c r="F127" s="484"/>
      <c r="G127" s="583"/>
      <c r="H127" s="583"/>
      <c r="I127" s="583"/>
      <c r="J127" s="587"/>
      <c r="K127" s="484"/>
      <c r="L127" s="356"/>
    </row>
    <row r="128" spans="1:13">
      <c r="A128" s="346"/>
      <c r="D128" s="346"/>
      <c r="F128" s="484"/>
      <c r="G128" s="583"/>
      <c r="H128" s="583"/>
      <c r="I128" s="729"/>
      <c r="J128" s="587"/>
      <c r="K128" s="484"/>
      <c r="L128" s="597"/>
    </row>
    <row r="129" spans="1:15">
      <c r="A129" s="346"/>
      <c r="D129" s="346"/>
      <c r="F129" s="484"/>
      <c r="G129" s="583"/>
      <c r="H129" s="583"/>
      <c r="I129" s="729"/>
      <c r="J129" s="587"/>
      <c r="K129" s="484"/>
      <c r="L129" s="597"/>
    </row>
    <row r="130" spans="1:15">
      <c r="A130" s="346"/>
      <c r="D130" s="346"/>
      <c r="F130" s="484"/>
      <c r="G130" s="583"/>
      <c r="H130" s="583"/>
      <c r="I130" s="583"/>
      <c r="J130" s="587"/>
      <c r="K130" s="484"/>
      <c r="L130" s="597"/>
    </row>
    <row r="131" spans="1:15">
      <c r="A131" s="346"/>
      <c r="D131" s="346"/>
      <c r="F131" s="484"/>
      <c r="G131" s="587"/>
      <c r="H131" s="583"/>
      <c r="I131" s="587"/>
      <c r="J131" s="587"/>
      <c r="K131" s="484"/>
      <c r="L131" s="356"/>
    </row>
    <row r="132" spans="1:15" ht="13">
      <c r="A132" s="346"/>
      <c r="D132" s="346"/>
      <c r="F132" s="484"/>
      <c r="G132" s="587"/>
      <c r="H132" s="583"/>
      <c r="I132" s="587"/>
      <c r="J132" s="365" t="s">
        <v>22</v>
      </c>
      <c r="K132" s="365">
        <f>SUM(K126:K131)</f>
        <v>0</v>
      </c>
      <c r="L132" s="356"/>
    </row>
    <row r="133" spans="1:15">
      <c r="A133" s="346"/>
      <c r="D133" s="346"/>
      <c r="F133" s="484"/>
      <c r="G133" s="587"/>
      <c r="H133" s="583"/>
      <c r="I133" s="587"/>
      <c r="J133" s="587"/>
      <c r="K133" s="484"/>
      <c r="L133" s="356"/>
    </row>
    <row r="134" spans="1:15">
      <c r="A134" s="346"/>
      <c r="D134" s="346"/>
      <c r="F134" s="484"/>
      <c r="G134" s="587"/>
      <c r="H134" s="583"/>
      <c r="I134" s="587"/>
      <c r="J134" s="587"/>
      <c r="K134" s="484"/>
      <c r="L134" s="356"/>
    </row>
    <row r="135" spans="1:15">
      <c r="A135" s="346"/>
      <c r="D135" s="346"/>
      <c r="F135" s="484"/>
      <c r="G135" s="587"/>
      <c r="H135" s="583"/>
      <c r="I135" s="587"/>
      <c r="J135" s="587"/>
      <c r="K135" s="484"/>
      <c r="L135" s="356"/>
    </row>
    <row r="136" spans="1:15">
      <c r="A136" s="346"/>
      <c r="D136" s="346"/>
      <c r="F136" s="484"/>
      <c r="G136" s="587"/>
      <c r="H136" s="583"/>
      <c r="I136" s="587"/>
      <c r="J136" s="587"/>
      <c r="K136" s="484"/>
      <c r="L136" s="356"/>
    </row>
    <row r="137" spans="1:15" ht="13">
      <c r="A137" s="862" t="s">
        <v>528</v>
      </c>
      <c r="B137" s="863"/>
      <c r="C137" s="863"/>
      <c r="D137" s="863"/>
      <c r="E137" s="863"/>
      <c r="F137" s="863"/>
      <c r="G137" s="863"/>
      <c r="H137" s="863"/>
      <c r="I137" s="863"/>
      <c r="J137" s="863"/>
      <c r="K137" s="863"/>
      <c r="L137" s="863"/>
      <c r="M137" s="864"/>
    </row>
    <row r="138" spans="1:15">
      <c r="A138" s="346" t="s">
        <v>332</v>
      </c>
      <c r="B138" s="570">
        <v>46035</v>
      </c>
      <c r="C138" t="s">
        <v>147</v>
      </c>
      <c r="D138" s="346" t="s">
        <v>528</v>
      </c>
      <c r="F138" s="484">
        <v>-1400</v>
      </c>
      <c r="G138" s="587">
        <v>4627</v>
      </c>
      <c r="H138" s="583">
        <v>4608.7550000000001</v>
      </c>
      <c r="I138" s="587">
        <v>-14082.173913043478</v>
      </c>
      <c r="J138" s="587">
        <v>-14082.173913043478</v>
      </c>
      <c r="K138" s="484">
        <v>45.612499999999727</v>
      </c>
      <c r="L138" s="356">
        <v>-3.9431597147179366E-3</v>
      </c>
      <c r="M138">
        <v>0</v>
      </c>
      <c r="N138" s="570">
        <v>46038</v>
      </c>
      <c r="O138" s="609"/>
    </row>
    <row r="139" spans="1:15">
      <c r="A139" s="346" t="s">
        <v>332</v>
      </c>
      <c r="B139" s="570">
        <v>46008</v>
      </c>
      <c r="C139" t="s">
        <v>147</v>
      </c>
      <c r="D139" s="346" t="s">
        <v>528</v>
      </c>
      <c r="F139" s="484">
        <v>1400</v>
      </c>
      <c r="G139" s="587">
        <v>4333.3</v>
      </c>
      <c r="H139" s="583">
        <v>4608.7550000000001</v>
      </c>
      <c r="I139" s="587">
        <v>13188.304347826086</v>
      </c>
      <c r="J139" s="587">
        <v>13188.304347826086</v>
      </c>
      <c r="K139" s="484">
        <v>688.63749999999982</v>
      </c>
      <c r="L139" s="356">
        <v>6.3567027438672583E-2</v>
      </c>
      <c r="M139">
        <v>0</v>
      </c>
      <c r="N139" s="570">
        <v>46038</v>
      </c>
      <c r="O139" s="609"/>
    </row>
    <row r="140" spans="1:15">
      <c r="A140" s="346" t="s">
        <v>332</v>
      </c>
      <c r="B140" s="570">
        <v>46035</v>
      </c>
      <c r="C140" t="s">
        <v>147</v>
      </c>
      <c r="D140" s="346" t="s">
        <v>528</v>
      </c>
      <c r="F140" s="484">
        <v>1400</v>
      </c>
      <c r="G140" s="587">
        <v>4634.54</v>
      </c>
      <c r="H140" s="583">
        <v>5280.3249999999998</v>
      </c>
      <c r="I140" s="587">
        <v>14105.121739130434</v>
      </c>
      <c r="J140" s="587">
        <v>14105.121739130434</v>
      </c>
      <c r="K140" s="484">
        <v>1614.4624999999996</v>
      </c>
      <c r="L140" s="356">
        <v>0.13934176854660868</v>
      </c>
      <c r="M140">
        <v>2</v>
      </c>
      <c r="N140" s="570">
        <v>46052</v>
      </c>
      <c r="O140" s="609"/>
    </row>
    <row r="141" spans="1:15">
      <c r="A141" s="346" t="s">
        <v>332</v>
      </c>
      <c r="B141" s="570">
        <v>46050</v>
      </c>
      <c r="C141" t="s">
        <v>147</v>
      </c>
      <c r="D141" s="346" t="s">
        <v>528</v>
      </c>
      <c r="F141" s="484">
        <v>-1400</v>
      </c>
      <c r="G141" s="587">
        <v>5275</v>
      </c>
      <c r="H141" s="583">
        <v>5280.3249999999998</v>
      </c>
      <c r="I141" s="587">
        <v>-16054.347826086956</v>
      </c>
      <c r="J141" s="587">
        <v>-16054.347826086956</v>
      </c>
      <c r="K141" s="484">
        <v>-13.312499999999545</v>
      </c>
      <c r="L141" s="356">
        <v>1.0094786729857475E-3</v>
      </c>
      <c r="M141">
        <v>2</v>
      </c>
      <c r="N141" s="570">
        <v>46052</v>
      </c>
      <c r="O141" s="609"/>
    </row>
    <row r="142" spans="1:15">
      <c r="A142" s="346" t="s">
        <v>108</v>
      </c>
      <c r="B142" s="570">
        <v>46048</v>
      </c>
      <c r="C142" t="s">
        <v>681</v>
      </c>
      <c r="D142" s="346" t="s">
        <v>683</v>
      </c>
      <c r="F142" s="484">
        <v>3000</v>
      </c>
      <c r="G142" s="615">
        <v>110</v>
      </c>
      <c r="H142" s="583">
        <v>115.45755</v>
      </c>
      <c r="I142" s="587">
        <v>717.39130434782612</v>
      </c>
      <c r="J142" s="587">
        <v>717.39130434782612</v>
      </c>
      <c r="K142" s="484">
        <v>29.236874999999987</v>
      </c>
      <c r="L142" s="356">
        <v>4.9614090909090885E-2</v>
      </c>
      <c r="M142">
        <v>16</v>
      </c>
      <c r="N142" s="570">
        <v>46066</v>
      </c>
      <c r="O142" s="609"/>
    </row>
    <row r="143" spans="1:15">
      <c r="A143" s="346" t="s">
        <v>108</v>
      </c>
      <c r="B143" s="570">
        <v>46050</v>
      </c>
      <c r="C143" t="s">
        <v>681</v>
      </c>
      <c r="D143" s="346" t="s">
        <v>683</v>
      </c>
      <c r="F143" s="484">
        <v>-3000</v>
      </c>
      <c r="G143" s="615">
        <v>115.2</v>
      </c>
      <c r="H143" s="583">
        <v>115.45755</v>
      </c>
      <c r="I143" s="587">
        <v>-750</v>
      </c>
      <c r="J143" s="587">
        <v>-750</v>
      </c>
      <c r="K143" s="484">
        <v>-1.3797321428571152</v>
      </c>
      <c r="L143" s="356">
        <v>3.978695652173893E-3</v>
      </c>
      <c r="M143">
        <v>16</v>
      </c>
      <c r="N143" s="570">
        <v>46066</v>
      </c>
      <c r="O143" s="609"/>
    </row>
    <row r="144" spans="1:15">
      <c r="A144" s="346" t="s">
        <v>332</v>
      </c>
      <c r="B144" s="480">
        <v>46050</v>
      </c>
      <c r="C144" s="346" t="s">
        <v>147</v>
      </c>
      <c r="D144" s="346" t="s">
        <v>528</v>
      </c>
      <c r="E144" s="346"/>
      <c r="F144" s="577">
        <v>700</v>
      </c>
      <c r="G144" s="577">
        <v>5291.5</v>
      </c>
      <c r="H144" s="577">
        <v>5297.0001499999998</v>
      </c>
      <c r="I144" s="484">
        <v>8052.282608695652</v>
      </c>
      <c r="J144" s="484">
        <v>8052.282608695652</v>
      </c>
      <c r="K144" s="484">
        <v>6.8751874999998108</v>
      </c>
      <c r="L144" s="561">
        <v>1.0394311631862134E-3</v>
      </c>
      <c r="M144" s="346">
        <v>30</v>
      </c>
      <c r="N144" s="570">
        <v>46080</v>
      </c>
      <c r="O144" s="609"/>
    </row>
    <row r="145" spans="1:15">
      <c r="A145" s="346" t="s">
        <v>332</v>
      </c>
      <c r="B145" s="480">
        <v>46050</v>
      </c>
      <c r="C145" s="346" t="s">
        <v>147</v>
      </c>
      <c r="D145" s="346" t="s">
        <v>528</v>
      </c>
      <c r="E145" s="346"/>
      <c r="F145" s="577">
        <v>-200</v>
      </c>
      <c r="G145" s="577">
        <v>5285</v>
      </c>
      <c r="H145" s="577">
        <v>5297.0001499999998</v>
      </c>
      <c r="I145" s="484">
        <v>-2297.8260869565215</v>
      </c>
      <c r="J145" s="484">
        <v>-2297.8260869565215</v>
      </c>
      <c r="K145" s="484">
        <v>-4.2857678571428028</v>
      </c>
      <c r="L145" s="561">
        <v>2.2706054872279752E-3</v>
      </c>
      <c r="M145" s="346">
        <v>30</v>
      </c>
      <c r="N145" s="570">
        <v>46080</v>
      </c>
      <c r="O145" s="609"/>
    </row>
    <row r="146" spans="1:15">
      <c r="A146" t="s">
        <v>332</v>
      </c>
      <c r="B146" s="570">
        <v>46050</v>
      </c>
      <c r="C146" t="s">
        <v>147</v>
      </c>
      <c r="D146" t="s">
        <v>528</v>
      </c>
      <c r="F146">
        <v>-500</v>
      </c>
      <c r="G146">
        <v>5302</v>
      </c>
      <c r="H146">
        <v>5297.0001499999998</v>
      </c>
      <c r="I146" s="587">
        <v>-5763.04347826087</v>
      </c>
      <c r="J146" s="587">
        <v>-5763.04347826087</v>
      </c>
      <c r="K146" s="484">
        <v>4.4641517857144208</v>
      </c>
      <c r="L146" s="561">
        <v>-9.4301207091666373E-4</v>
      </c>
      <c r="M146" s="346">
        <v>30</v>
      </c>
      <c r="N146" s="570">
        <v>46080</v>
      </c>
      <c r="O146" s="609"/>
    </row>
    <row r="147" spans="1:15">
      <c r="A147" s="346" t="s">
        <v>62</v>
      </c>
      <c r="B147" s="570">
        <v>46056</v>
      </c>
      <c r="C147" t="s">
        <v>498</v>
      </c>
      <c r="D147" s="346" t="s">
        <v>688</v>
      </c>
      <c r="F147" s="484">
        <v>5600</v>
      </c>
      <c r="G147" s="587">
        <v>88.928200000000004</v>
      </c>
      <c r="H147" s="583">
        <v>84.321799999999996</v>
      </c>
      <c r="I147" s="587">
        <v>1082.6041739130435</v>
      </c>
      <c r="J147" s="587">
        <v>1082.6041739130435</v>
      </c>
      <c r="K147" s="484">
        <v>-46.064000000000078</v>
      </c>
      <c r="L147" s="356">
        <v>-4.6646620532069721E-2</v>
      </c>
      <c r="M147"/>
      <c r="N147" s="570">
        <v>46059</v>
      </c>
      <c r="O147" s="609"/>
    </row>
    <row r="148" spans="1:15">
      <c r="A148" s="346" t="s">
        <v>337</v>
      </c>
      <c r="B148" s="570">
        <v>46048</v>
      </c>
      <c r="C148" t="s">
        <v>681</v>
      </c>
      <c r="D148" s="346" t="s">
        <v>683</v>
      </c>
      <c r="F148" s="484">
        <v>6000</v>
      </c>
      <c r="G148" s="587">
        <v>110.75</v>
      </c>
      <c r="H148" s="583">
        <v>83.43</v>
      </c>
      <c r="I148" s="587">
        <v>1444.5652173913043</v>
      </c>
      <c r="J148" s="587">
        <v>1444.5652173913043</v>
      </c>
      <c r="K148" s="484">
        <v>-292.71428571428567</v>
      </c>
      <c r="L148" s="356">
        <v>-0.24668171557562071</v>
      </c>
      <c r="M148">
        <v>1</v>
      </c>
      <c r="N148" s="570">
        <v>46066</v>
      </c>
      <c r="O148" s="609"/>
    </row>
    <row r="149" spans="1:15">
      <c r="A149" s="346" t="s">
        <v>337</v>
      </c>
      <c r="B149" s="570">
        <v>46052</v>
      </c>
      <c r="C149" t="s">
        <v>681</v>
      </c>
      <c r="D149" s="346" t="s">
        <v>683</v>
      </c>
      <c r="F149" s="484">
        <v>6000</v>
      </c>
      <c r="G149" s="587">
        <v>103.5</v>
      </c>
      <c r="H149" s="583">
        <v>83.43</v>
      </c>
      <c r="I149" s="587">
        <v>1350</v>
      </c>
      <c r="J149" s="587">
        <v>1350</v>
      </c>
      <c r="K149" s="484">
        <v>-215.03571428571422</v>
      </c>
      <c r="L149" s="356">
        <v>-0.1939130434782608</v>
      </c>
      <c r="M149">
        <v>1</v>
      </c>
      <c r="N149" s="570">
        <v>46066</v>
      </c>
      <c r="O149" s="609"/>
    </row>
    <row r="150" spans="1:15">
      <c r="A150" s="346" t="s">
        <v>337</v>
      </c>
      <c r="B150" s="570">
        <v>46052</v>
      </c>
      <c r="C150" t="s">
        <v>681</v>
      </c>
      <c r="D150" s="346" t="s">
        <v>683</v>
      </c>
      <c r="F150" s="484">
        <v>3000</v>
      </c>
      <c r="G150" s="587">
        <v>86</v>
      </c>
      <c r="H150" s="583">
        <v>83.43</v>
      </c>
      <c r="I150" s="587">
        <v>560.86956521739125</v>
      </c>
      <c r="J150" s="587">
        <v>560.86956521739125</v>
      </c>
      <c r="K150" s="484">
        <v>-13.767857142857107</v>
      </c>
      <c r="L150" s="356">
        <v>-2.988372093023248E-2</v>
      </c>
      <c r="M150">
        <v>1</v>
      </c>
      <c r="N150" s="570">
        <v>46066</v>
      </c>
      <c r="O150" s="609"/>
    </row>
    <row r="151" spans="1:15">
      <c r="A151" s="346" t="s">
        <v>337</v>
      </c>
      <c r="B151" s="570">
        <v>46064</v>
      </c>
      <c r="C151" t="s">
        <v>681</v>
      </c>
      <c r="D151" s="346" t="s">
        <v>683</v>
      </c>
      <c r="F151" s="484">
        <v>-15000</v>
      </c>
      <c r="G151" s="587">
        <v>83.287999999999997</v>
      </c>
      <c r="H151" s="583">
        <v>83.43</v>
      </c>
      <c r="I151" s="587">
        <v>-2715.913043478261</v>
      </c>
      <c r="J151" s="587">
        <v>-2715.913043478261</v>
      </c>
      <c r="K151" s="484">
        <v>-3.8035714285716997</v>
      </c>
      <c r="L151" s="356">
        <v>1.7049274805495404E-3</v>
      </c>
      <c r="M151">
        <v>1</v>
      </c>
      <c r="N151" s="570">
        <v>46066</v>
      </c>
      <c r="O151" s="609"/>
    </row>
    <row r="152" spans="1:15">
      <c r="A152" s="346" t="s">
        <v>337</v>
      </c>
      <c r="B152" s="570">
        <v>46078</v>
      </c>
      <c r="C152" t="s">
        <v>681</v>
      </c>
      <c r="D152" s="346" t="s">
        <v>683</v>
      </c>
      <c r="F152" s="484">
        <v>-15000</v>
      </c>
      <c r="G152" s="587">
        <v>90.31</v>
      </c>
      <c r="H152" s="583">
        <v>90.273899999999998</v>
      </c>
      <c r="I152" s="587">
        <v>-2942.9347826086955</v>
      </c>
      <c r="J152" s="587">
        <v>-2942.9347826086955</v>
      </c>
      <c r="K152" s="484">
        <v>0.96696428571441118</v>
      </c>
      <c r="L152" s="356">
        <v>2.6481994459831126E-4</v>
      </c>
      <c r="M152">
        <v>2</v>
      </c>
      <c r="N152" s="570">
        <v>46080</v>
      </c>
      <c r="O152" s="609"/>
    </row>
    <row r="153" spans="1:15">
      <c r="A153" s="346" t="s">
        <v>337</v>
      </c>
      <c r="B153" s="570">
        <v>46064</v>
      </c>
      <c r="C153" t="s">
        <v>681</v>
      </c>
      <c r="D153" s="346" t="s">
        <v>683</v>
      </c>
      <c r="F153" s="484">
        <v>15000</v>
      </c>
      <c r="G153" s="587">
        <v>83.46</v>
      </c>
      <c r="H153" s="583">
        <v>90.273899999999998</v>
      </c>
      <c r="I153" s="587">
        <v>2721.521739130435</v>
      </c>
      <c r="J153" s="587">
        <v>2721.521739130435</v>
      </c>
      <c r="K153" s="484">
        <v>182.51517857142866</v>
      </c>
      <c r="L153" s="356">
        <v>8.1642703091301269E-2</v>
      </c>
      <c r="M153">
        <v>2</v>
      </c>
      <c r="N153" s="570">
        <v>46080</v>
      </c>
      <c r="O153" s="609"/>
    </row>
    <row r="154" spans="1:15">
      <c r="A154" s="346" t="s">
        <v>338</v>
      </c>
      <c r="B154" s="570">
        <v>46056</v>
      </c>
      <c r="C154" t="s">
        <v>147</v>
      </c>
      <c r="D154" s="346" t="s">
        <v>528</v>
      </c>
      <c r="F154" s="484">
        <v>200</v>
      </c>
      <c r="G154" s="587">
        <v>4933</v>
      </c>
      <c r="H154" s="583">
        <v>5184.7350000000006</v>
      </c>
      <c r="I154" s="587">
        <v>2144.782608695652</v>
      </c>
      <c r="J154" s="587">
        <v>2144.782608695652</v>
      </c>
      <c r="K154" s="484">
        <v>89.905357142857355</v>
      </c>
      <c r="L154" s="356">
        <v>5.1030812892763143E-2</v>
      </c>
      <c r="M154">
        <v>2</v>
      </c>
      <c r="N154" s="570">
        <v>46080</v>
      </c>
      <c r="O154" s="609"/>
    </row>
    <row r="155" spans="1:15">
      <c r="A155" s="346" t="s">
        <v>338</v>
      </c>
      <c r="B155" s="570">
        <v>46078</v>
      </c>
      <c r="C155" t="s">
        <v>147</v>
      </c>
      <c r="D155" s="346" t="s">
        <v>528</v>
      </c>
      <c r="F155" s="484">
        <v>-200</v>
      </c>
      <c r="G155" s="587">
        <v>5185</v>
      </c>
      <c r="H155" s="583">
        <v>5184.7350000000006</v>
      </c>
      <c r="I155" s="587">
        <v>-2254.3478260869565</v>
      </c>
      <c r="J155" s="587">
        <v>-2254.3478260869565</v>
      </c>
      <c r="K155" s="484">
        <v>9.4642857142649264E-2</v>
      </c>
      <c r="L155" s="356">
        <v>-5.1108968177322648E-5</v>
      </c>
      <c r="M155">
        <v>2</v>
      </c>
      <c r="N155" s="570">
        <v>46080</v>
      </c>
      <c r="O155" s="609"/>
    </row>
    <row r="156" spans="1:15">
      <c r="A156" s="346" t="s">
        <v>332</v>
      </c>
      <c r="B156" s="570">
        <v>46050</v>
      </c>
      <c r="C156" t="s">
        <v>147</v>
      </c>
      <c r="D156" s="346" t="s">
        <v>528</v>
      </c>
      <c r="F156" s="484">
        <v>700</v>
      </c>
      <c r="G156" s="587">
        <v>5291.5</v>
      </c>
      <c r="H156" s="583">
        <v>5182.7999999999993</v>
      </c>
      <c r="I156" s="587">
        <v>8052.282608695652</v>
      </c>
      <c r="J156" s="587">
        <v>8052.282608695652</v>
      </c>
      <c r="K156" s="484">
        <v>-135.87500000000091</v>
      </c>
      <c r="L156" s="356">
        <v>-2.0542379287536754E-2</v>
      </c>
      <c r="M156">
        <v>2</v>
      </c>
      <c r="N156" s="570">
        <v>46080</v>
      </c>
      <c r="O156" s="609"/>
    </row>
    <row r="157" spans="1:15">
      <c r="A157" s="346" t="s">
        <v>337</v>
      </c>
      <c r="B157" s="570">
        <v>46052</v>
      </c>
      <c r="C157" t="s">
        <v>147</v>
      </c>
      <c r="D157" s="346" t="s">
        <v>528</v>
      </c>
      <c r="F157" s="484">
        <v>400</v>
      </c>
      <c r="G157" s="587">
        <v>5143</v>
      </c>
      <c r="H157" s="583">
        <v>5182.7999999999993</v>
      </c>
      <c r="I157" s="587">
        <v>4472.173913043478</v>
      </c>
      <c r="J157" s="587">
        <v>4472.173913043478</v>
      </c>
      <c r="K157" s="484">
        <v>28.428571428570908</v>
      </c>
      <c r="L157" s="356">
        <v>7.7386739257241438E-3</v>
      </c>
      <c r="M157">
        <v>2</v>
      </c>
      <c r="N157" s="570">
        <v>46080</v>
      </c>
      <c r="O157" s="609"/>
    </row>
    <row r="158" spans="1:15">
      <c r="A158" s="346" t="s">
        <v>337</v>
      </c>
      <c r="B158" s="471">
        <v>46052</v>
      </c>
      <c r="C158" s="346" t="s">
        <v>147</v>
      </c>
      <c r="D158" s="346" t="s">
        <v>528</v>
      </c>
      <c r="E158" s="467"/>
      <c r="F158" s="346">
        <v>200</v>
      </c>
      <c r="G158" s="484">
        <v>4820</v>
      </c>
      <c r="H158" s="626">
        <v>5182.7999999999993</v>
      </c>
      <c r="I158" s="467">
        <v>2095.6521739130435</v>
      </c>
      <c r="J158" s="467">
        <v>2095.6521739130435</v>
      </c>
      <c r="K158" s="484">
        <v>129.5714285714283</v>
      </c>
      <c r="L158" s="561">
        <v>7.5269709543568319E-2</v>
      </c>
      <c r="M158">
        <v>2</v>
      </c>
      <c r="N158" s="570">
        <v>46080</v>
      </c>
      <c r="O158" s="609"/>
    </row>
    <row r="159" spans="1:15">
      <c r="A159" s="346" t="s">
        <v>332</v>
      </c>
      <c r="B159" s="471">
        <v>46078</v>
      </c>
      <c r="C159" s="346" t="s">
        <v>147</v>
      </c>
      <c r="D159" s="346" t="s">
        <v>528</v>
      </c>
      <c r="E159" s="467"/>
      <c r="F159" s="346">
        <v>200</v>
      </c>
      <c r="G159" s="587">
        <v>5185</v>
      </c>
      <c r="H159" s="626">
        <v>5182.7999999999993</v>
      </c>
      <c r="I159" s="467">
        <v>2144.782608695652</v>
      </c>
      <c r="J159" s="467">
        <v>2144.782608695652</v>
      </c>
      <c r="K159" s="484">
        <v>-0.7857142857145456</v>
      </c>
      <c r="L159" s="561">
        <v>5.0638556659233586E-2</v>
      </c>
      <c r="M159">
        <v>2</v>
      </c>
      <c r="N159" s="570">
        <v>46080</v>
      </c>
      <c r="O159" s="609"/>
    </row>
    <row r="160" spans="1:15">
      <c r="A160" s="346" t="s">
        <v>332</v>
      </c>
      <c r="B160" s="480">
        <v>46078</v>
      </c>
      <c r="C160" s="346" t="s">
        <v>147</v>
      </c>
      <c r="D160" s="346" t="s">
        <v>528</v>
      </c>
      <c r="E160" s="346"/>
      <c r="F160" s="346">
        <v>-900</v>
      </c>
      <c r="G160" s="346">
        <v>5182</v>
      </c>
      <c r="H160" s="346">
        <v>5182.7999999999993</v>
      </c>
      <c r="I160" s="484">
        <v>-10138.695652173914</v>
      </c>
      <c r="J160" s="484">
        <v>-10138.695652173914</v>
      </c>
      <c r="K160" s="484">
        <v>-1.2857142857131163</v>
      </c>
      <c r="L160" s="561">
        <v>1.5438054805080517E-4</v>
      </c>
      <c r="M160">
        <v>2</v>
      </c>
      <c r="N160" s="570">
        <v>46080</v>
      </c>
      <c r="O160" s="609"/>
    </row>
    <row r="161" spans="1:15">
      <c r="A161" s="346" t="s">
        <v>337</v>
      </c>
      <c r="B161" s="480">
        <v>46078</v>
      </c>
      <c r="C161" s="346" t="s">
        <v>147</v>
      </c>
      <c r="D161" s="346" t="s">
        <v>528</v>
      </c>
      <c r="E161" s="346"/>
      <c r="F161" s="346">
        <v>-600</v>
      </c>
      <c r="G161" s="346">
        <v>5182</v>
      </c>
      <c r="H161" s="346">
        <v>5182.7999999999993</v>
      </c>
      <c r="I161" s="484">
        <v>-6759.130434782609</v>
      </c>
      <c r="J161" s="484">
        <v>-6759.130434782609</v>
      </c>
      <c r="K161" s="484">
        <v>-0.85714285714207761</v>
      </c>
      <c r="L161" s="561">
        <v>1.5438054805080517E-4</v>
      </c>
      <c r="M161">
        <v>2</v>
      </c>
      <c r="N161" s="570">
        <v>46080</v>
      </c>
      <c r="O161" s="609"/>
    </row>
    <row r="162" spans="1:15">
      <c r="A162" t="s">
        <v>337</v>
      </c>
      <c r="B162" s="570">
        <v>46078</v>
      </c>
      <c r="C162" t="s">
        <v>681</v>
      </c>
      <c r="D162" t="s">
        <v>683</v>
      </c>
      <c r="F162">
        <v>15000</v>
      </c>
      <c r="G162">
        <v>90.525000000000006</v>
      </c>
      <c r="H162" s="346">
        <v>76.485500000000002</v>
      </c>
      <c r="I162" s="587">
        <v>2951.9021739130435</v>
      </c>
      <c r="J162" s="587">
        <v>2951.9021739130435</v>
      </c>
      <c r="K162" s="484">
        <v>-376.05803571428584</v>
      </c>
      <c r="L162" s="561">
        <v>-0.15508975421154381</v>
      </c>
      <c r="M162">
        <v>2</v>
      </c>
      <c r="N162" s="570">
        <v>46101</v>
      </c>
      <c r="O162" s="609"/>
    </row>
    <row r="163" spans="1:15">
      <c r="A163" t="s">
        <v>337</v>
      </c>
      <c r="B163" s="570">
        <v>46099</v>
      </c>
      <c r="C163" t="s">
        <v>681</v>
      </c>
      <c r="D163" t="s">
        <v>683</v>
      </c>
      <c r="F163">
        <v>-15000</v>
      </c>
      <c r="G163">
        <v>76.345299999999995</v>
      </c>
      <c r="H163">
        <v>76.540000000000006</v>
      </c>
      <c r="I163" s="587">
        <v>-2492.9347826086955</v>
      </c>
      <c r="J163" s="587">
        <v>-2492.9347826086955</v>
      </c>
      <c r="K163" s="484">
        <v>-5.2151785714288836</v>
      </c>
      <c r="L163" s="561">
        <v>1.1772400261609341E-3</v>
      </c>
      <c r="M163">
        <v>2</v>
      </c>
      <c r="N163" s="570">
        <v>46101</v>
      </c>
      <c r="O163" s="609"/>
    </row>
    <row r="164" spans="1:15">
      <c r="A164" t="s">
        <v>332</v>
      </c>
      <c r="B164" s="570">
        <v>46078</v>
      </c>
      <c r="C164" t="s">
        <v>147</v>
      </c>
      <c r="D164" t="s">
        <v>528</v>
      </c>
      <c r="F164">
        <v>900</v>
      </c>
      <c r="G164">
        <v>5195</v>
      </c>
      <c r="H164">
        <v>4864.1949999999997</v>
      </c>
      <c r="I164" s="587">
        <v>10164.130434782608</v>
      </c>
      <c r="J164" s="587">
        <v>10164.130434782608</v>
      </c>
      <c r="K164" s="484">
        <v>-531.65089285714328</v>
      </c>
      <c r="L164" s="561">
        <v>-6.3677574590952885E-2</v>
      </c>
      <c r="M164">
        <v>2</v>
      </c>
      <c r="N164" s="570">
        <v>46101</v>
      </c>
      <c r="O164" s="609"/>
    </row>
    <row r="165" spans="1:15">
      <c r="A165" t="s">
        <v>332</v>
      </c>
      <c r="B165" s="570">
        <v>46099</v>
      </c>
      <c r="C165" t="s">
        <v>147</v>
      </c>
      <c r="D165" t="s">
        <v>528</v>
      </c>
      <c r="F165">
        <v>-900</v>
      </c>
      <c r="G165">
        <v>4865.9859999999999</v>
      </c>
      <c r="H165">
        <v>4864.1949999999997</v>
      </c>
      <c r="I165" s="587">
        <v>-9518.4782608695659</v>
      </c>
      <c r="J165" s="587">
        <v>-9518.4782608695659</v>
      </c>
      <c r="K165" s="484">
        <v>2.8783928571431261</v>
      </c>
      <c r="L165" s="561">
        <v>-1.6546762589934039E-4</v>
      </c>
      <c r="M165">
        <v>2</v>
      </c>
      <c r="N165" s="570">
        <v>46101</v>
      </c>
      <c r="O165" s="609"/>
    </row>
    <row r="166" spans="1:15">
      <c r="A166" t="s">
        <v>337</v>
      </c>
      <c r="B166" s="570">
        <v>46078</v>
      </c>
      <c r="C166" t="s">
        <v>147</v>
      </c>
      <c r="D166" t="s">
        <v>528</v>
      </c>
      <c r="F166">
        <v>600</v>
      </c>
      <c r="G166">
        <v>5195</v>
      </c>
      <c r="H166">
        <v>4868.63</v>
      </c>
      <c r="I166" s="587">
        <v>6776.086956521739</v>
      </c>
      <c r="J166" s="587">
        <v>6776.086956521739</v>
      </c>
      <c r="K166" s="484">
        <v>-349.68214285714276</v>
      </c>
      <c r="L166" s="561">
        <v>-6.2823869104908545E-2</v>
      </c>
      <c r="M166">
        <v>2</v>
      </c>
      <c r="N166" s="570">
        <v>46101</v>
      </c>
      <c r="O166" s="609"/>
    </row>
    <row r="167" spans="1:15">
      <c r="A167" t="s">
        <v>337</v>
      </c>
      <c r="B167" s="570">
        <v>46099</v>
      </c>
      <c r="C167" t="s">
        <v>147</v>
      </c>
      <c r="D167" t="s">
        <v>528</v>
      </c>
      <c r="F167">
        <v>-600</v>
      </c>
      <c r="G167">
        <v>4856.95</v>
      </c>
      <c r="H167">
        <v>4868.63</v>
      </c>
      <c r="I167" s="587">
        <v>-6341.739130434783</v>
      </c>
      <c r="J167" s="587">
        <v>-6341.739130434783</v>
      </c>
      <c r="K167" s="484">
        <v>-12.514285714286027</v>
      </c>
      <c r="L167" s="561">
        <v>1.3636363636363861E-3</v>
      </c>
      <c r="M167">
        <v>2</v>
      </c>
      <c r="N167" s="570">
        <v>46101</v>
      </c>
      <c r="O167" s="609"/>
    </row>
    <row r="168" spans="1:15">
      <c r="I168" s="587"/>
      <c r="J168" s="587"/>
      <c r="K168" s="484"/>
      <c r="L168" s="561"/>
      <c r="M168"/>
      <c r="N168" s="570"/>
    </row>
    <row r="169" spans="1:15">
      <c r="I169" s="587"/>
      <c r="J169" s="587"/>
      <c r="K169" s="484"/>
      <c r="L169" s="561"/>
      <c r="M169" s="608"/>
    </row>
    <row r="170" spans="1:15">
      <c r="I170" s="587"/>
      <c r="J170" s="587"/>
      <c r="K170" s="484"/>
      <c r="L170" s="561"/>
      <c r="M170" s="608"/>
    </row>
    <row r="171" spans="1:15">
      <c r="I171" s="587"/>
      <c r="J171" s="587"/>
      <c r="K171" s="484"/>
      <c r="L171" s="561"/>
      <c r="M171" s="608"/>
    </row>
    <row r="172" spans="1:15">
      <c r="I172" s="587"/>
      <c r="J172" s="587"/>
      <c r="K172" s="484"/>
      <c r="L172" s="561"/>
      <c r="M172" s="608"/>
    </row>
    <row r="173" spans="1:15">
      <c r="I173" s="587"/>
      <c r="J173" s="587"/>
      <c r="K173" s="484"/>
      <c r="L173" s="561"/>
      <c r="M173" s="608"/>
    </row>
    <row r="174" spans="1:15">
      <c r="I174" s="587"/>
      <c r="J174" s="587"/>
      <c r="K174" s="484"/>
      <c r="L174" s="561"/>
      <c r="M174" s="608"/>
      <c r="N174" s="570"/>
    </row>
    <row r="175" spans="1:15">
      <c r="I175" s="587"/>
      <c r="J175" s="587"/>
      <c r="K175" s="484"/>
      <c r="L175" s="561"/>
      <c r="M175" s="608"/>
      <c r="N175" s="570"/>
    </row>
    <row r="176" spans="1:15">
      <c r="I176" s="587"/>
      <c r="J176" s="587"/>
      <c r="K176" s="484"/>
      <c r="L176" s="561"/>
      <c r="M176" s="608"/>
      <c r="N176" s="570"/>
    </row>
    <row r="177" spans="1:14">
      <c r="I177" s="587"/>
      <c r="J177" s="587"/>
      <c r="K177" s="484"/>
      <c r="L177" s="561"/>
      <c r="M177" s="608"/>
      <c r="N177" s="570"/>
    </row>
    <row r="178" spans="1:14">
      <c r="I178" s="587"/>
      <c r="J178" s="587"/>
      <c r="K178" s="484"/>
      <c r="L178" s="561"/>
      <c r="M178" s="608"/>
      <c r="N178" s="570"/>
    </row>
    <row r="179" spans="1:14">
      <c r="A179" s="346"/>
      <c r="B179" s="471"/>
      <c r="C179" s="346"/>
      <c r="D179" s="346"/>
      <c r="E179" s="467"/>
      <c r="F179" s="346"/>
      <c r="G179" s="577"/>
      <c r="H179" s="346"/>
      <c r="I179" s="467"/>
      <c r="J179" s="467"/>
      <c r="K179" s="484"/>
      <c r="L179" s="561"/>
      <c r="M179" s="607"/>
      <c r="N179" s="608"/>
    </row>
    <row r="180" spans="1:14">
      <c r="A180" s="346"/>
      <c r="B180" s="471"/>
      <c r="C180" s="346"/>
      <c r="D180" s="346"/>
      <c r="E180" s="467"/>
      <c r="F180" s="346"/>
      <c r="G180" s="577"/>
      <c r="H180" s="346"/>
      <c r="I180" s="467"/>
      <c r="J180" s="467"/>
      <c r="K180" s="484"/>
      <c r="L180" s="561"/>
      <c r="M180" s="607"/>
      <c r="N180" s="608"/>
    </row>
    <row r="181" spans="1:14">
      <c r="A181" s="346"/>
      <c r="B181" s="471"/>
      <c r="C181" s="346"/>
      <c r="D181" s="346"/>
      <c r="E181" s="467"/>
      <c r="F181" s="346"/>
      <c r="G181" s="577"/>
      <c r="H181" s="346"/>
      <c r="I181" s="467"/>
      <c r="J181" s="467"/>
      <c r="K181" s="484"/>
      <c r="L181" s="561"/>
      <c r="M181" s="607"/>
      <c r="N181" s="608"/>
    </row>
    <row r="182" spans="1:14">
      <c r="A182" s="346"/>
      <c r="B182" s="471"/>
      <c r="C182" s="346"/>
      <c r="D182" s="346"/>
      <c r="E182" s="467"/>
      <c r="F182" s="346"/>
      <c r="G182" s="577"/>
      <c r="H182" s="346"/>
      <c r="I182" s="467"/>
      <c r="J182" s="467"/>
      <c r="K182" s="484"/>
      <c r="L182" s="561"/>
      <c r="M182" s="607"/>
      <c r="N182" s="608"/>
    </row>
    <row r="183" spans="1:14">
      <c r="A183" s="346"/>
      <c r="B183" s="471"/>
      <c r="C183" s="346"/>
      <c r="D183" s="346"/>
      <c r="E183" s="467"/>
      <c r="F183" s="346"/>
      <c r="G183" s="577"/>
      <c r="H183" s="346"/>
      <c r="I183" s="467"/>
      <c r="J183" s="467"/>
      <c r="K183" s="484"/>
      <c r="L183" s="561"/>
      <c r="M183" s="607"/>
      <c r="N183" s="608"/>
    </row>
    <row r="184" spans="1:14">
      <c r="A184" s="346"/>
      <c r="B184" s="471"/>
      <c r="C184" s="346"/>
      <c r="D184" s="346"/>
      <c r="E184" s="467"/>
      <c r="F184" s="346"/>
      <c r="G184" s="577"/>
      <c r="H184" s="346"/>
      <c r="I184" s="467"/>
      <c r="J184" s="467"/>
      <c r="K184" s="484"/>
      <c r="L184" s="561"/>
      <c r="M184" s="607"/>
      <c r="N184" s="608"/>
    </row>
    <row r="185" spans="1:14">
      <c r="I185" s="587"/>
      <c r="J185" s="587"/>
      <c r="K185" s="484"/>
      <c r="L185" s="561"/>
      <c r="M185" s="480"/>
      <c r="N185" s="608"/>
    </row>
    <row r="186" spans="1:14">
      <c r="I186" s="587"/>
      <c r="J186" s="587"/>
      <c r="K186" s="484"/>
      <c r="L186" s="561"/>
      <c r="M186" s="480"/>
      <c r="N186" s="608"/>
    </row>
    <row r="187" spans="1:14">
      <c r="I187" s="587"/>
      <c r="J187" s="587"/>
      <c r="K187" s="484"/>
      <c r="L187" s="561"/>
      <c r="M187" s="480"/>
      <c r="N187" s="608"/>
    </row>
    <row r="188" spans="1:14">
      <c r="I188" s="587"/>
      <c r="J188" s="587"/>
      <c r="K188" s="484"/>
      <c r="L188" s="561"/>
      <c r="M188" s="480"/>
      <c r="N188" s="608"/>
    </row>
    <row r="189" spans="1:14">
      <c r="I189" s="587"/>
      <c r="J189" s="587"/>
      <c r="K189" s="484"/>
      <c r="L189" s="561"/>
      <c r="M189" s="480"/>
      <c r="N189" s="608"/>
    </row>
    <row r="190" spans="1:14">
      <c r="I190" s="587"/>
      <c r="J190" s="587"/>
      <c r="K190" s="484"/>
      <c r="L190" s="561"/>
      <c r="M190" s="480"/>
      <c r="N190" s="608"/>
    </row>
    <row r="191" spans="1:14">
      <c r="I191" s="587"/>
      <c r="J191" s="587"/>
      <c r="K191" s="484"/>
      <c r="L191" s="561"/>
      <c r="M191" s="480"/>
      <c r="N191" s="608"/>
    </row>
    <row r="192" spans="1:14">
      <c r="I192" s="587"/>
      <c r="J192" s="587"/>
      <c r="K192" s="484"/>
      <c r="L192" s="561"/>
      <c r="M192" s="480"/>
      <c r="N192" s="608"/>
    </row>
    <row r="193" spans="1:14">
      <c r="A193" s="346"/>
      <c r="B193" s="471"/>
      <c r="C193" s="346"/>
      <c r="D193" s="346"/>
      <c r="E193" s="467"/>
      <c r="F193" s="346"/>
      <c r="G193" s="484"/>
      <c r="H193" s="626"/>
      <c r="I193" s="467"/>
      <c r="J193" s="467"/>
      <c r="K193" s="484"/>
      <c r="L193" s="561"/>
      <c r="M193" s="607"/>
      <c r="N193" s="608"/>
    </row>
    <row r="194" spans="1:14" ht="13">
      <c r="J194" s="328" t="s">
        <v>50</v>
      </c>
      <c r="K194" s="617">
        <f>SUM(K138:K193)</f>
        <v>819.36171428571276</v>
      </c>
    </row>
    <row r="195" spans="1:14" ht="13">
      <c r="J195" s="328" t="s">
        <v>22</v>
      </c>
      <c r="K195" s="365">
        <f>cartera!K87</f>
        <v>-15767.891650000001</v>
      </c>
    </row>
    <row r="196" spans="1:14" ht="13">
      <c r="K196" s="328"/>
    </row>
    <row r="197" spans="1:14" ht="13">
      <c r="J197" s="328" t="s">
        <v>518</v>
      </c>
      <c r="K197" s="617">
        <f>K194+K195</f>
        <v>-14948.529935714289</v>
      </c>
    </row>
    <row r="203" spans="1:14">
      <c r="A203" s="346"/>
      <c r="B203" s="480"/>
      <c r="C203" s="480"/>
      <c r="D203" s="346"/>
      <c r="E203" s="346"/>
      <c r="F203" s="346"/>
      <c r="G203" s="577"/>
      <c r="H203" s="577"/>
      <c r="I203" s="577"/>
      <c r="J203" s="577"/>
      <c r="K203" s="484"/>
      <c r="L203" s="561"/>
      <c r="M203" s="480"/>
    </row>
    <row r="204" spans="1:14">
      <c r="A204" s="346"/>
      <c r="B204" s="480"/>
      <c r="C204" s="480"/>
      <c r="D204" s="346"/>
      <c r="E204" s="346"/>
      <c r="F204" s="346"/>
      <c r="G204" s="577"/>
      <c r="H204" s="577"/>
      <c r="I204" s="577"/>
      <c r="J204" s="577"/>
      <c r="K204" s="484"/>
      <c r="L204" s="561"/>
      <c r="M204" s="480"/>
    </row>
    <row r="205" spans="1:14">
      <c r="A205" s="346"/>
      <c r="D205" s="346"/>
      <c r="F205" s="346"/>
      <c r="H205" s="24"/>
      <c r="J205" s="609"/>
      <c r="K205" s="484"/>
    </row>
    <row r="206" spans="1:14" ht="18">
      <c r="A206" s="859" t="s">
        <v>519</v>
      </c>
      <c r="B206" s="860"/>
      <c r="C206" s="860"/>
      <c r="D206" s="860"/>
      <c r="E206" s="860"/>
      <c r="F206" s="860"/>
      <c r="G206" s="860"/>
      <c r="H206" s="860"/>
      <c r="I206" s="860"/>
      <c r="J206" s="860"/>
      <c r="K206" s="861"/>
    </row>
    <row r="208" spans="1:14">
      <c r="A208" s="17" t="s">
        <v>64</v>
      </c>
      <c r="B208" s="17" t="s">
        <v>324</v>
      </c>
      <c r="C208" s="17" t="s">
        <v>35</v>
      </c>
      <c r="D208" s="6" t="s">
        <v>17</v>
      </c>
      <c r="E208" s="6" t="s">
        <v>202</v>
      </c>
      <c r="F208" s="6" t="s">
        <v>201</v>
      </c>
      <c r="G208" s="6" t="s">
        <v>19</v>
      </c>
      <c r="H208" s="6" t="s">
        <v>18</v>
      </c>
      <c r="I208" s="6" t="s">
        <v>21</v>
      </c>
      <c r="J208" s="6" t="s">
        <v>331</v>
      </c>
      <c r="K208" s="6" t="s">
        <v>302</v>
      </c>
    </row>
    <row r="209" spans="1:13">
      <c r="A209" s="346" t="s">
        <v>606</v>
      </c>
      <c r="B209" s="471">
        <v>45986</v>
      </c>
      <c r="C209" s="643" t="s">
        <v>332</v>
      </c>
      <c r="D209" s="346">
        <v>39</v>
      </c>
      <c r="E209" s="561">
        <v>4.6699999999999998E-2</v>
      </c>
      <c r="F209" s="346"/>
      <c r="G209" s="644">
        <v>121.09375</v>
      </c>
      <c r="H209" s="484">
        <v>3190.4940119760481</v>
      </c>
      <c r="I209" s="517">
        <v>120.09375</v>
      </c>
      <c r="J209" s="484">
        <v>-1695.6521739130435</v>
      </c>
      <c r="K209" s="610">
        <v>46065</v>
      </c>
      <c r="L209" s="609"/>
      <c r="M209" s="609"/>
    </row>
    <row r="210" spans="1:13">
      <c r="A210" s="346" t="s">
        <v>606</v>
      </c>
      <c r="B210" s="471">
        <v>45986</v>
      </c>
      <c r="C210" s="643" t="s">
        <v>332</v>
      </c>
      <c r="D210" s="346">
        <v>11</v>
      </c>
      <c r="E210" s="561">
        <v>4.6699999999999998E-2</v>
      </c>
      <c r="F210" s="346"/>
      <c r="G210" s="644">
        <v>121.09375</v>
      </c>
      <c r="H210" s="484">
        <v>398.81175149700601</v>
      </c>
      <c r="I210" s="517">
        <v>120.09375</v>
      </c>
      <c r="J210" s="484">
        <v>-478.26086956521738</v>
      </c>
      <c r="K210" s="610">
        <v>46065</v>
      </c>
      <c r="L210" s="609"/>
      <c r="M210" s="609"/>
    </row>
    <row r="211" spans="1:13">
      <c r="A211" s="346" t="s">
        <v>606</v>
      </c>
      <c r="B211" s="471">
        <v>45986</v>
      </c>
      <c r="C211" s="643" t="s">
        <v>332</v>
      </c>
      <c r="D211" s="346">
        <v>49</v>
      </c>
      <c r="E211" s="561">
        <v>4.6699999999999998E-2</v>
      </c>
      <c r="F211" s="346"/>
      <c r="G211" s="644">
        <v>121.09375</v>
      </c>
      <c r="H211" s="484">
        <v>1776.5250748502995</v>
      </c>
      <c r="I211" s="517">
        <v>120.59375</v>
      </c>
      <c r="J211" s="484">
        <v>-1065.2173913043478</v>
      </c>
      <c r="K211" s="610">
        <v>46066</v>
      </c>
      <c r="L211" s="609"/>
    </row>
    <row r="212" spans="1:13">
      <c r="A212" s="346"/>
      <c r="B212" s="471"/>
      <c r="C212" s="643"/>
      <c r="D212" s="346"/>
      <c r="E212" s="561"/>
      <c r="F212" s="346"/>
      <c r="G212" s="644"/>
      <c r="H212" s="484"/>
      <c r="I212" s="517"/>
      <c r="J212" s="484"/>
      <c r="K212" s="610"/>
    </row>
    <row r="213" spans="1:13">
      <c r="A213" s="346"/>
      <c r="B213" s="471"/>
      <c r="C213" s="643"/>
      <c r="D213" s="346"/>
      <c r="E213" s="561"/>
      <c r="F213" s="346"/>
      <c r="G213" s="644"/>
      <c r="H213" s="484"/>
      <c r="I213" s="517"/>
      <c r="J213" s="484"/>
      <c r="K213" s="610"/>
    </row>
    <row r="214" spans="1:13">
      <c r="A214" s="346"/>
      <c r="B214" s="471"/>
      <c r="C214" s="643"/>
      <c r="D214" s="346"/>
      <c r="E214" s="561"/>
      <c r="F214" s="346"/>
      <c r="G214" s="644"/>
      <c r="H214" s="484"/>
      <c r="I214" s="517"/>
      <c r="J214" s="484"/>
      <c r="K214" s="610"/>
    </row>
    <row r="215" spans="1:13">
      <c r="A215" s="346"/>
      <c r="B215" s="471"/>
      <c r="C215" s="643"/>
      <c r="D215" s="346"/>
      <c r="E215" s="561"/>
      <c r="F215" s="346"/>
      <c r="G215" s="644"/>
      <c r="H215" s="484"/>
      <c r="I215" s="517"/>
      <c r="J215" s="484"/>
      <c r="K215" s="610"/>
    </row>
    <row r="216" spans="1:13">
      <c r="A216" s="346"/>
      <c r="B216" s="471"/>
      <c r="C216" s="643"/>
      <c r="D216" s="346"/>
      <c r="E216" s="561"/>
      <c r="F216" s="346"/>
      <c r="G216" s="644"/>
      <c r="H216" s="484"/>
      <c r="I216" s="517"/>
      <c r="J216" s="484"/>
      <c r="K216" s="610"/>
    </row>
    <row r="217" spans="1:13">
      <c r="A217" s="346"/>
      <c r="B217" s="471"/>
      <c r="C217" s="643"/>
      <c r="D217" s="346"/>
      <c r="E217" s="561"/>
      <c r="F217" s="346"/>
      <c r="G217" s="644"/>
      <c r="H217" s="484"/>
      <c r="I217" s="517"/>
      <c r="J217" s="484"/>
      <c r="K217" s="610"/>
    </row>
    <row r="218" spans="1:13">
      <c r="A218" s="346"/>
      <c r="B218" s="471"/>
      <c r="C218" s="643"/>
      <c r="D218" s="346"/>
      <c r="E218" s="561"/>
      <c r="F218" s="346"/>
      <c r="G218" s="644"/>
      <c r="H218" s="484"/>
      <c r="I218" s="517"/>
      <c r="J218" s="484"/>
      <c r="K218" s="610"/>
    </row>
    <row r="219" spans="1:13">
      <c r="A219" s="346"/>
      <c r="B219" s="471"/>
      <c r="C219" s="643"/>
      <c r="D219" s="346"/>
      <c r="E219" s="561"/>
      <c r="F219" s="346"/>
      <c r="G219" s="644"/>
      <c r="H219" s="484"/>
      <c r="I219" s="517"/>
      <c r="J219" s="484"/>
      <c r="K219" s="610"/>
    </row>
    <row r="220" spans="1:13">
      <c r="A220" s="346"/>
      <c r="B220" s="471"/>
      <c r="C220" s="643"/>
      <c r="D220" s="346"/>
      <c r="E220" s="561"/>
      <c r="F220" s="346"/>
      <c r="G220" s="644"/>
      <c r="H220" s="484"/>
      <c r="I220" s="517"/>
      <c r="J220" s="484"/>
      <c r="K220" s="610"/>
    </row>
    <row r="221" spans="1:13">
      <c r="A221" s="346"/>
      <c r="B221" s="471"/>
      <c r="C221" s="643"/>
      <c r="D221" s="346"/>
      <c r="E221" s="561"/>
      <c r="F221" s="346"/>
      <c r="G221" s="644"/>
      <c r="H221" s="484"/>
      <c r="I221" s="517"/>
      <c r="J221" s="484"/>
      <c r="K221" s="610"/>
    </row>
    <row r="223" spans="1:13">
      <c r="J223" s="609"/>
    </row>
    <row r="225" spans="9:10" ht="13">
      <c r="I225" s="328" t="s">
        <v>50</v>
      </c>
      <c r="J225" s="617">
        <f>SUM(J209:J224)</f>
        <v>-3239.130434782609</v>
      </c>
    </row>
    <row r="226" spans="9:10" ht="13">
      <c r="I226" s="328" t="s">
        <v>22</v>
      </c>
      <c r="J226" s="617">
        <f>cartera!J166</f>
        <v>-992.62500000000102</v>
      </c>
    </row>
    <row r="228" spans="9:10" ht="13">
      <c r="I228" s="328" t="s">
        <v>518</v>
      </c>
      <c r="J228" s="617">
        <f>J225+J226</f>
        <v>-4231.7554347826099</v>
      </c>
    </row>
  </sheetData>
  <autoFilter ref="A137:M161" xr:uid="{C1306B6A-00E2-490E-AF78-B75F9AAAD391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3">
    <mergeCell ref="A123:M123"/>
    <mergeCell ref="A137:M137"/>
    <mergeCell ref="A206:K20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4230-4FBE-4051-9259-CB558B585813}">
  <dimension ref="A1:AK42"/>
  <sheetViews>
    <sheetView workbookViewId="0">
      <selection activeCell="I24" sqref="I24"/>
    </sheetView>
  </sheetViews>
  <sheetFormatPr baseColWidth="10" defaultRowHeight="12.5"/>
  <cols>
    <col min="2" max="2" width="14.1796875" bestFit="1" customWidth="1"/>
    <col min="3" max="3" width="22" bestFit="1" customWidth="1"/>
    <col min="10" max="10" width="11.6328125" bestFit="1" customWidth="1"/>
    <col min="11" max="11" width="11.6328125" customWidth="1"/>
    <col min="26" max="26" width="12.90625" bestFit="1" customWidth="1"/>
    <col min="32" max="32" width="11.1796875" bestFit="1" customWidth="1"/>
    <col min="33" max="33" width="12.36328125" bestFit="1" customWidth="1"/>
    <col min="34" max="34" width="7.81640625" bestFit="1" customWidth="1"/>
  </cols>
  <sheetData>
    <row r="1" spans="1:35" ht="14.5">
      <c r="A1" s="482" t="s">
        <v>345</v>
      </c>
      <c r="B1" s="482" t="s">
        <v>343</v>
      </c>
      <c r="C1" s="578" t="s">
        <v>482</v>
      </c>
      <c r="D1" s="578" t="s">
        <v>466</v>
      </c>
      <c r="E1" s="483" t="s">
        <v>481</v>
      </c>
      <c r="F1" s="483" t="s">
        <v>480</v>
      </c>
      <c r="G1" s="482" t="s">
        <v>341</v>
      </c>
      <c r="H1" s="482" t="s">
        <v>479</v>
      </c>
      <c r="I1" s="482" t="s">
        <v>500</v>
      </c>
      <c r="J1" s="482" t="s">
        <v>527</v>
      </c>
      <c r="K1" s="482"/>
      <c r="L1" s="482" t="s">
        <v>477</v>
      </c>
      <c r="M1" s="483" t="s">
        <v>476</v>
      </c>
      <c r="N1" s="482" t="s">
        <v>475</v>
      </c>
      <c r="O1" s="482" t="s">
        <v>474</v>
      </c>
      <c r="P1" s="482" t="s">
        <v>473</v>
      </c>
      <c r="Q1" s="483" t="s">
        <v>472</v>
      </c>
      <c r="R1" s="483" t="s">
        <v>471</v>
      </c>
      <c r="S1" s="482" t="s">
        <v>470</v>
      </c>
      <c r="T1" s="482" t="s">
        <v>469</v>
      </c>
      <c r="U1" s="482" t="s">
        <v>468</v>
      </c>
      <c r="V1" s="482" t="s">
        <v>467</v>
      </c>
      <c r="W1" s="482" t="s">
        <v>466</v>
      </c>
      <c r="X1" s="482" t="s">
        <v>465</v>
      </c>
      <c r="Y1" s="482" t="s">
        <v>464</v>
      </c>
      <c r="Z1" s="482" t="s">
        <v>77</v>
      </c>
      <c r="AA1" s="482" t="s">
        <v>22</v>
      </c>
      <c r="AB1" s="482" t="s">
        <v>463</v>
      </c>
      <c r="AC1" s="482" t="s">
        <v>462</v>
      </c>
      <c r="AD1" s="482" t="s">
        <v>461</v>
      </c>
      <c r="AE1" s="482" t="s">
        <v>460</v>
      </c>
      <c r="AF1" s="482" t="s">
        <v>459</v>
      </c>
      <c r="AG1" s="482" t="s">
        <v>526</v>
      </c>
      <c r="AH1" s="346"/>
      <c r="AI1" s="346"/>
    </row>
    <row r="2" spans="1:35" ht="14.5">
      <c r="A2" s="468" t="s">
        <v>336</v>
      </c>
      <c r="B2" s="579" t="s">
        <v>415</v>
      </c>
      <c r="C2" s="479" t="s">
        <v>413</v>
      </c>
      <c r="D2" s="476">
        <v>23</v>
      </c>
      <c r="E2" s="478">
        <v>4.95</v>
      </c>
      <c r="F2" s="730" t="s">
        <v>414</v>
      </c>
      <c r="G2" s="477">
        <v>93.527000000000001</v>
      </c>
      <c r="H2" s="478"/>
      <c r="I2" s="478">
        <v>94.503</v>
      </c>
      <c r="J2" s="346">
        <v>94.173000000000002</v>
      </c>
      <c r="K2" s="346">
        <v>5.2562836481794148E-2</v>
      </c>
      <c r="L2" s="478">
        <v>5.4404152454544095</v>
      </c>
      <c r="M2" s="478">
        <v>12.378987001628255</v>
      </c>
      <c r="N2" s="478" t="s">
        <v>398</v>
      </c>
      <c r="O2" s="478" t="s">
        <v>397</v>
      </c>
      <c r="P2" s="478" t="s">
        <v>396</v>
      </c>
      <c r="Q2" s="478" t="s">
        <v>395</v>
      </c>
      <c r="R2" s="478" t="s">
        <v>393</v>
      </c>
      <c r="S2" s="478" t="s">
        <v>349</v>
      </c>
      <c r="T2" s="477" t="s">
        <v>357</v>
      </c>
      <c r="U2" s="477"/>
      <c r="V2" s="477" t="s">
        <v>365</v>
      </c>
      <c r="W2" s="476">
        <v>467635</v>
      </c>
      <c r="X2" s="476">
        <v>467635</v>
      </c>
      <c r="Y2" s="468"/>
      <c r="Z2" s="474">
        <v>34</v>
      </c>
      <c r="AA2" s="475">
        <v>-0.69708491761723346</v>
      </c>
      <c r="AB2" s="475">
        <v>-2.9450144386025917E-4</v>
      </c>
      <c r="AC2" s="468">
        <v>2561701.1245508906</v>
      </c>
      <c r="AD2" s="468">
        <v>5828831.7145216884</v>
      </c>
      <c r="AE2" s="731">
        <v>-3.5283928705079639E-3</v>
      </c>
      <c r="AF2" s="474">
        <f>+D2*E2/100/365*15</f>
        <v>4.6787671232876714E-2</v>
      </c>
      <c r="AG2" s="471">
        <v>46037</v>
      </c>
      <c r="AH2" s="346"/>
      <c r="AI2" s="548"/>
    </row>
    <row r="3" spans="1:35" ht="14.5">
      <c r="A3" s="468" t="s">
        <v>336</v>
      </c>
      <c r="B3" s="579" t="s">
        <v>409</v>
      </c>
      <c r="C3" s="479" t="s">
        <v>321</v>
      </c>
      <c r="D3" s="476">
        <v>23</v>
      </c>
      <c r="E3" s="478">
        <v>4.75</v>
      </c>
      <c r="F3" s="478" t="s">
        <v>435</v>
      </c>
      <c r="G3" s="477">
        <v>88.403099999999995</v>
      </c>
      <c r="H3" s="478"/>
      <c r="I3" s="478">
        <v>87.986000000000004</v>
      </c>
      <c r="J3" s="478">
        <v>88.298000000000002</v>
      </c>
      <c r="K3" s="478">
        <v>5.3795102946839111E-2</v>
      </c>
      <c r="L3" s="478">
        <v>5.7302764525346985</v>
      </c>
      <c r="M3" s="478">
        <v>12.65906180922781</v>
      </c>
      <c r="N3" s="478" t="s">
        <v>407</v>
      </c>
      <c r="O3" s="478" t="s">
        <v>408</v>
      </c>
      <c r="P3" s="478" t="s">
        <v>398</v>
      </c>
      <c r="Q3" s="478" t="s">
        <v>395</v>
      </c>
      <c r="R3" s="478" t="s">
        <v>393</v>
      </c>
      <c r="S3" s="478" t="s">
        <v>349</v>
      </c>
      <c r="T3" s="477" t="s">
        <v>357</v>
      </c>
      <c r="U3" s="477"/>
      <c r="V3" s="477" t="s">
        <v>365</v>
      </c>
      <c r="W3" s="476">
        <v>884031</v>
      </c>
      <c r="X3" s="476">
        <v>884031</v>
      </c>
      <c r="Y3" s="468"/>
      <c r="Z3" s="474">
        <v>34</v>
      </c>
      <c r="AA3" s="475">
        <v>1.3181242078580382</v>
      </c>
      <c r="AB3" s="475">
        <v>5.5687545748121597E-4</v>
      </c>
      <c r="AC3" s="468">
        <v>5059719.5020590881</v>
      </c>
      <c r="AD3" s="468">
        <v>11177698.39631197</v>
      </c>
      <c r="AE3" s="731">
        <v>3.5292880000814182E-3</v>
      </c>
      <c r="AF3" s="474">
        <f>+D3*E3/100/365*15</f>
        <v>4.4897260273972603E-2</v>
      </c>
      <c r="AG3" s="471">
        <v>46037</v>
      </c>
      <c r="AH3" s="346"/>
      <c r="AI3" s="548"/>
    </row>
    <row r="4" spans="1:35" ht="14.5">
      <c r="A4" s="468" t="s">
        <v>339</v>
      </c>
      <c r="B4" s="579" t="s">
        <v>447</v>
      </c>
      <c r="C4" s="479" t="s">
        <v>446</v>
      </c>
      <c r="D4" s="476">
        <v>23</v>
      </c>
      <c r="E4" s="478">
        <v>6.6130000000000004</v>
      </c>
      <c r="F4" s="478" t="s">
        <v>445</v>
      </c>
      <c r="G4" s="477">
        <v>115.09</v>
      </c>
      <c r="H4" s="478">
        <v>94.552999999999997</v>
      </c>
      <c r="I4" s="478">
        <v>100.175</v>
      </c>
      <c r="J4" s="478">
        <v>100</v>
      </c>
      <c r="K4" s="478">
        <v>6.6130000000000008E-2</v>
      </c>
      <c r="L4" s="478">
        <v>7.2589282619610129</v>
      </c>
      <c r="M4" s="478">
        <v>5.5555555558481663E-3</v>
      </c>
      <c r="N4" s="478" t="s">
        <v>396</v>
      </c>
      <c r="O4" s="478" t="s">
        <v>408</v>
      </c>
      <c r="P4" s="478" t="s">
        <v>354</v>
      </c>
      <c r="Q4" s="478" t="s">
        <v>444</v>
      </c>
      <c r="R4" s="478" t="s">
        <v>393</v>
      </c>
      <c r="S4" s="478" t="s">
        <v>349</v>
      </c>
      <c r="T4" s="477" t="s">
        <v>381</v>
      </c>
      <c r="U4" s="477"/>
      <c r="V4" s="477" t="s">
        <v>371</v>
      </c>
      <c r="W4" s="476">
        <v>195653</v>
      </c>
      <c r="X4" s="476">
        <v>195653</v>
      </c>
      <c r="Y4" s="468"/>
      <c r="Z4" s="474">
        <v>34</v>
      </c>
      <c r="AA4" s="475">
        <v>-0.12568652302492403</v>
      </c>
      <c r="AB4" s="475">
        <v>-5.3099502756621898E-5</v>
      </c>
      <c r="AC4" s="468">
        <v>1234017.8045333722</v>
      </c>
      <c r="AD4" s="468">
        <v>944.44444449418825</v>
      </c>
      <c r="AE4" s="731">
        <v>-1.5205491354591811E-3</v>
      </c>
      <c r="AF4" s="474">
        <f>+D4*E4/100/365*16</f>
        <v>6.667353424657535E-2</v>
      </c>
      <c r="AG4" s="471">
        <v>46037</v>
      </c>
      <c r="AH4" s="346"/>
    </row>
    <row r="5" spans="1:35" ht="14.5">
      <c r="A5" s="468" t="s">
        <v>338</v>
      </c>
      <c r="B5" s="579" t="s">
        <v>405</v>
      </c>
      <c r="C5" s="479" t="s">
        <v>404</v>
      </c>
      <c r="D5" s="476">
        <v>23</v>
      </c>
      <c r="E5" s="478">
        <v>3</v>
      </c>
      <c r="F5" s="730" t="s">
        <v>403</v>
      </c>
      <c r="G5" s="477">
        <v>85.04296875</v>
      </c>
      <c r="H5" s="478">
        <v>82.953125</v>
      </c>
      <c r="I5" s="478">
        <v>71.7734375</v>
      </c>
      <c r="J5" s="478">
        <v>71.640625</v>
      </c>
      <c r="K5" s="478">
        <v>4.1486603284356091E-2</v>
      </c>
      <c r="L5" s="478">
        <v>4.8671562800340666</v>
      </c>
      <c r="M5" s="478">
        <v>16.559257901622317</v>
      </c>
      <c r="N5" s="478" t="s">
        <v>354</v>
      </c>
      <c r="O5" s="478" t="s">
        <v>402</v>
      </c>
      <c r="P5" s="478" t="s">
        <v>354</v>
      </c>
      <c r="Q5" s="478" t="s">
        <v>358</v>
      </c>
      <c r="R5" s="478" t="s">
        <v>393</v>
      </c>
      <c r="S5" s="478" t="s">
        <v>349</v>
      </c>
      <c r="T5" s="477" t="s">
        <v>392</v>
      </c>
      <c r="U5" s="477"/>
      <c r="V5" s="477" t="s">
        <v>391</v>
      </c>
      <c r="W5" s="476">
        <v>1360687.5</v>
      </c>
      <c r="X5" s="476">
        <v>1360687.5</v>
      </c>
      <c r="Y5" s="468"/>
      <c r="Z5" s="474">
        <v>34</v>
      </c>
      <c r="AA5" s="475">
        <v>-1.2905312632023658E-5</v>
      </c>
      <c r="AB5" s="475">
        <v>-5.4521810866175151E-9</v>
      </c>
      <c r="AC5" s="468">
        <v>5631299.8159994148</v>
      </c>
      <c r="AD5" s="468">
        <v>19159061.392177019</v>
      </c>
      <c r="AE5" s="731">
        <v>6.3387074548711588E-3</v>
      </c>
      <c r="AF5" s="474">
        <v>48000</v>
      </c>
      <c r="AH5" s="346"/>
    </row>
    <row r="6" spans="1:35" ht="14.5">
      <c r="A6" s="468" t="s">
        <v>337</v>
      </c>
      <c r="B6" s="579" t="s">
        <v>420</v>
      </c>
      <c r="C6" s="479" t="s">
        <v>419</v>
      </c>
      <c r="D6" s="476">
        <v>23</v>
      </c>
      <c r="E6" s="478">
        <v>4.375</v>
      </c>
      <c r="F6" s="478" t="s">
        <v>418</v>
      </c>
      <c r="G6" s="477">
        <v>89.358000000000004</v>
      </c>
      <c r="H6" s="478">
        <v>85.29</v>
      </c>
      <c r="I6" s="478">
        <v>86.596999999999994</v>
      </c>
      <c r="J6" s="478">
        <v>86.251000000000005</v>
      </c>
      <c r="K6" s="478">
        <v>5.0724049576236795E-2</v>
      </c>
      <c r="L6" s="478">
        <v>5.4002231086371486</v>
      </c>
      <c r="M6" s="478">
        <v>13.066472032760396</v>
      </c>
      <c r="N6" s="478" t="s">
        <v>401</v>
      </c>
      <c r="O6" s="478" t="s">
        <v>412</v>
      </c>
      <c r="P6" s="478" t="s">
        <v>400</v>
      </c>
      <c r="Q6" s="478" t="s">
        <v>395</v>
      </c>
      <c r="R6" s="478" t="s">
        <v>393</v>
      </c>
      <c r="S6" s="478" t="s">
        <v>349</v>
      </c>
      <c r="T6" s="477" t="s">
        <v>357</v>
      </c>
      <c r="U6" s="477"/>
      <c r="V6" s="477" t="s">
        <v>347</v>
      </c>
      <c r="W6" s="476">
        <v>893580</v>
      </c>
      <c r="X6" s="476">
        <v>893580</v>
      </c>
      <c r="Y6" s="468"/>
      <c r="Z6" s="474">
        <v>34</v>
      </c>
      <c r="AA6" s="475">
        <v>-3.3620616814532136E-5</v>
      </c>
      <c r="AB6" s="475">
        <v>-1.4203893880241713E-8</v>
      </c>
      <c r="AC6" s="468">
        <v>4657746.433430627</v>
      </c>
      <c r="AD6" s="468">
        <v>11269962.792976169</v>
      </c>
      <c r="AE6" s="731">
        <v>-3.8720651760333646E-3</v>
      </c>
      <c r="AF6" s="474">
        <v>43750</v>
      </c>
      <c r="AG6" s="610">
        <v>46059</v>
      </c>
      <c r="AH6" s="346"/>
    </row>
    <row r="7" spans="1:35" ht="14.5">
      <c r="A7" s="468" t="s">
        <v>338</v>
      </c>
      <c r="B7" s="579" t="s">
        <v>405</v>
      </c>
      <c r="C7" s="479" t="s">
        <v>404</v>
      </c>
      <c r="D7" s="476">
        <v>23</v>
      </c>
      <c r="E7" s="478">
        <v>3</v>
      </c>
      <c r="F7" s="478" t="s">
        <v>403</v>
      </c>
      <c r="G7" s="477">
        <v>85.04296875</v>
      </c>
      <c r="H7" s="478">
        <v>82.953125</v>
      </c>
      <c r="I7" s="478">
        <v>71.7734375</v>
      </c>
      <c r="J7" s="478">
        <v>73.84375</v>
      </c>
      <c r="K7" s="478">
        <v>4.062632247143462E-2</v>
      </c>
      <c r="L7" s="478">
        <v>4.8711261442420808</v>
      </c>
      <c r="M7" s="478">
        <v>16.504394255269453</v>
      </c>
      <c r="N7" s="478" t="s">
        <v>354</v>
      </c>
      <c r="O7" s="478" t="s">
        <v>402</v>
      </c>
      <c r="P7" s="478" t="s">
        <v>354</v>
      </c>
      <c r="Q7" s="478" t="s">
        <v>358</v>
      </c>
      <c r="R7" s="478" t="s">
        <v>393</v>
      </c>
      <c r="S7" s="478" t="s">
        <v>349</v>
      </c>
      <c r="T7" s="477" t="s">
        <v>392</v>
      </c>
      <c r="U7" s="477"/>
      <c r="V7" s="477" t="s">
        <v>391</v>
      </c>
      <c r="W7" s="476">
        <v>1105558.59375</v>
      </c>
      <c r="X7" s="476">
        <v>1105558.59375</v>
      </c>
      <c r="Y7" s="468"/>
      <c r="Z7" s="474">
        <v>34</v>
      </c>
      <c r="AA7" s="475">
        <v>2.011710498521335E-4</v>
      </c>
      <c r="AB7" s="475">
        <v>8.4989881644331862E-8</v>
      </c>
      <c r="AC7" s="468">
        <v>4676128.8757803896</v>
      </c>
      <c r="AD7" s="468">
        <v>15843702.722738197</v>
      </c>
      <c r="AE7" s="731">
        <v>2.4344311239722565E-2</v>
      </c>
      <c r="AF7" s="474">
        <v>39000</v>
      </c>
      <c r="AG7" s="610">
        <v>46077</v>
      </c>
      <c r="AH7" s="346"/>
    </row>
    <row r="8" spans="1:35" ht="14.5">
      <c r="A8" s="468" t="s">
        <v>417</v>
      </c>
      <c r="B8" s="579" t="s">
        <v>405</v>
      </c>
      <c r="C8" s="479" t="s">
        <v>404</v>
      </c>
      <c r="D8" s="476">
        <v>23</v>
      </c>
      <c r="E8" s="478">
        <v>3</v>
      </c>
      <c r="F8" s="730" t="s">
        <v>403</v>
      </c>
      <c r="G8" s="477">
        <v>85.818209999999993</v>
      </c>
      <c r="H8" s="478">
        <v>82.953125</v>
      </c>
      <c r="I8" s="478">
        <v>71.7734375</v>
      </c>
      <c r="J8" s="478">
        <v>73.84375</v>
      </c>
      <c r="K8" s="478">
        <v>4.062632247143462E-2</v>
      </c>
      <c r="L8" s="478">
        <v>4.8711261442420808</v>
      </c>
      <c r="M8" s="478">
        <v>16.504394255269453</v>
      </c>
      <c r="N8" s="478" t="s">
        <v>354</v>
      </c>
      <c r="O8" s="478" t="s">
        <v>402</v>
      </c>
      <c r="P8" s="478" t="s">
        <v>354</v>
      </c>
      <c r="Q8" s="478" t="s">
        <v>358</v>
      </c>
      <c r="R8" s="478" t="s">
        <v>393</v>
      </c>
      <c r="S8" s="478" t="s">
        <v>349</v>
      </c>
      <c r="T8" s="477" t="s">
        <v>392</v>
      </c>
      <c r="U8" s="477"/>
      <c r="V8" s="477" t="s">
        <v>391</v>
      </c>
      <c r="W8" s="476">
        <v>600727.47</v>
      </c>
      <c r="X8" s="476">
        <v>600727.47</v>
      </c>
      <c r="Y8" s="468"/>
      <c r="Z8" s="474">
        <v>34</v>
      </c>
      <c r="AA8" s="475">
        <v>2.011710498521335E-4</v>
      </c>
      <c r="AB8" s="475">
        <v>8.4989881644331862E-8</v>
      </c>
      <c r="AC8" s="468">
        <v>2517915.548497133</v>
      </c>
      <c r="AD8" s="468">
        <v>8531224.5430128761</v>
      </c>
      <c r="AE8" s="731">
        <v>2.4124396209149551E-2</v>
      </c>
      <c r="AF8" s="474">
        <v>21000</v>
      </c>
      <c r="AG8" s="610">
        <v>46077</v>
      </c>
      <c r="AH8" s="346"/>
    </row>
    <row r="9" spans="1:35" ht="14.5">
      <c r="A9" s="468" t="s">
        <v>1</v>
      </c>
      <c r="B9" s="579" t="s">
        <v>415</v>
      </c>
      <c r="C9" s="479" t="s">
        <v>413</v>
      </c>
      <c r="D9" s="476">
        <v>23</v>
      </c>
      <c r="E9" s="478">
        <v>4.95</v>
      </c>
      <c r="F9" s="481" t="s">
        <v>414</v>
      </c>
      <c r="G9" s="477">
        <v>94.93</v>
      </c>
      <c r="H9" s="478"/>
      <c r="I9" s="478">
        <v>94.503</v>
      </c>
      <c r="J9" s="478">
        <v>93.046999999999997</v>
      </c>
      <c r="K9" s="478">
        <v>5.3198920975421025E-2</v>
      </c>
      <c r="L9" s="478">
        <v>5.4352650252287411</v>
      </c>
      <c r="M9" s="478">
        <v>12.300837356884108</v>
      </c>
      <c r="N9" s="478" t="s">
        <v>398</v>
      </c>
      <c r="O9" s="478" t="s">
        <v>397</v>
      </c>
      <c r="P9" s="478" t="s">
        <v>396</v>
      </c>
      <c r="Q9" s="478" t="s">
        <v>395</v>
      </c>
      <c r="R9" s="478" t="s">
        <v>393</v>
      </c>
      <c r="S9" s="478" t="s">
        <v>349</v>
      </c>
      <c r="T9" s="477" t="s">
        <v>357</v>
      </c>
      <c r="U9" s="477"/>
      <c r="V9" s="477" t="s">
        <v>365</v>
      </c>
      <c r="W9" s="476">
        <v>949300</v>
      </c>
      <c r="X9" s="476">
        <v>949300</v>
      </c>
      <c r="Y9" s="468"/>
      <c r="Z9" s="474">
        <v>34</v>
      </c>
      <c r="AA9" s="475">
        <v>-1.4147866497676414E-4</v>
      </c>
      <c r="AB9" s="475">
        <v>-5.9771299102984422E-8</v>
      </c>
      <c r="AC9" s="468">
        <v>5057351.0480245864</v>
      </c>
      <c r="AD9" s="468">
        <v>11445560.135459956</v>
      </c>
      <c r="AE9" s="731">
        <v>-1.5337617191614908E-2</v>
      </c>
      <c r="AF9" s="474">
        <v>49500</v>
      </c>
      <c r="AG9" s="610">
        <v>46091</v>
      </c>
      <c r="AH9" s="346"/>
    </row>
    <row r="10" spans="1:35" ht="14.5">
      <c r="A10" s="468" t="s">
        <v>356</v>
      </c>
      <c r="B10" s="579" t="s">
        <v>639</v>
      </c>
      <c r="C10" s="479" t="s">
        <v>394</v>
      </c>
      <c r="D10" s="476">
        <v>23</v>
      </c>
      <c r="E10" s="478">
        <v>0</v>
      </c>
      <c r="F10" s="730">
        <v>46177</v>
      </c>
      <c r="G10" s="477">
        <v>99.071749999999994</v>
      </c>
      <c r="H10" s="478"/>
      <c r="I10" s="478">
        <v>98.519400000000005</v>
      </c>
      <c r="J10" s="478">
        <v>99.151700000000005</v>
      </c>
      <c r="K10" s="478">
        <v>3.6958389783884653E-2</v>
      </c>
      <c r="L10" s="478">
        <v>3.661532353071574</v>
      </c>
      <c r="M10" s="478">
        <v>0.30684931506849317</v>
      </c>
      <c r="N10" s="478" t="s">
        <v>354</v>
      </c>
      <c r="O10" s="478" t="s">
        <v>354</v>
      </c>
      <c r="P10" s="478" t="s">
        <v>354</v>
      </c>
      <c r="Q10" s="478" t="s">
        <v>358</v>
      </c>
      <c r="R10" s="478" t="s">
        <v>393</v>
      </c>
      <c r="S10" s="478" t="s">
        <v>349</v>
      </c>
      <c r="T10" s="477" t="s">
        <v>392</v>
      </c>
      <c r="U10" s="477"/>
      <c r="V10" s="477" t="s">
        <v>391</v>
      </c>
      <c r="W10" s="476">
        <v>614244.85</v>
      </c>
      <c r="X10" s="476">
        <v>614244.85</v>
      </c>
      <c r="Y10" s="468"/>
      <c r="Z10" s="474">
        <v>34</v>
      </c>
      <c r="AA10" s="475">
        <v>6.144021968736805E-5</v>
      </c>
      <c r="AB10" s="475">
        <v>2.5957000290396305E-8</v>
      </c>
      <c r="AC10" s="468">
        <v>2249077.3909825957</v>
      </c>
      <c r="AD10" s="468">
        <v>188480.61150684932</v>
      </c>
      <c r="AE10" s="731">
        <v>5.575252279282337E-3</v>
      </c>
      <c r="AF10" s="474">
        <v>22701.500589043761</v>
      </c>
      <c r="AH10" s="346"/>
    </row>
    <row r="11" spans="1:35" ht="14.5">
      <c r="A11" s="468"/>
      <c r="B11" s="579"/>
      <c r="C11" s="479"/>
      <c r="D11" s="476"/>
      <c r="E11" s="478"/>
      <c r="F11" s="730"/>
      <c r="G11" s="477"/>
      <c r="H11" s="478"/>
      <c r="I11" s="478"/>
      <c r="J11" s="478"/>
      <c r="K11" s="478"/>
      <c r="L11" s="478"/>
      <c r="M11" s="478"/>
      <c r="N11" s="478"/>
      <c r="O11" s="478"/>
      <c r="P11" s="478"/>
      <c r="Q11" s="478"/>
      <c r="R11" s="478"/>
      <c r="S11" s="478"/>
      <c r="T11" s="477"/>
      <c r="U11" s="477"/>
      <c r="V11" s="477"/>
      <c r="W11" s="476"/>
      <c r="X11" s="476"/>
      <c r="Y11" s="468"/>
      <c r="Z11" s="474"/>
      <c r="AA11" s="475"/>
      <c r="AB11" s="475"/>
      <c r="AC11" s="468"/>
      <c r="AD11" s="468"/>
      <c r="AE11" s="731"/>
      <c r="AF11" s="474"/>
    </row>
    <row r="12" spans="1:35" ht="14.5">
      <c r="A12" s="468"/>
      <c r="B12" s="579"/>
      <c r="C12" s="479"/>
      <c r="D12" s="476"/>
      <c r="E12" s="478"/>
      <c r="F12" s="730"/>
      <c r="G12" s="477"/>
      <c r="H12" s="478"/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7"/>
      <c r="U12" s="477"/>
      <c r="V12" s="477"/>
      <c r="W12" s="476"/>
      <c r="X12" s="476"/>
      <c r="Y12" s="468"/>
      <c r="Z12" s="474"/>
      <c r="AA12" s="475"/>
      <c r="AB12" s="475"/>
      <c r="AC12" s="468"/>
      <c r="AD12" s="468"/>
      <c r="AE12" s="731"/>
      <c r="AF12" s="474"/>
      <c r="AG12" s="610"/>
    </row>
    <row r="13" spans="1:35" ht="14.5">
      <c r="A13" s="468"/>
      <c r="B13" s="579"/>
      <c r="C13" s="479"/>
      <c r="D13" s="476"/>
      <c r="E13" s="478"/>
      <c r="F13" s="730"/>
      <c r="G13" s="477"/>
      <c r="H13" s="478"/>
      <c r="I13" s="478"/>
      <c r="J13" s="478"/>
      <c r="K13" s="478"/>
      <c r="L13" s="478"/>
      <c r="M13" s="478"/>
      <c r="N13" s="478"/>
      <c r="O13" s="478"/>
      <c r="P13" s="478"/>
      <c r="Q13" s="478"/>
      <c r="R13" s="478"/>
      <c r="S13" s="478"/>
      <c r="T13" s="477"/>
      <c r="U13" s="477"/>
      <c r="V13" s="477"/>
      <c r="W13" s="476"/>
      <c r="X13" s="476"/>
      <c r="Y13" s="468"/>
      <c r="Z13" s="474"/>
      <c r="AA13" s="475"/>
      <c r="AB13" s="475"/>
      <c r="AC13" s="468"/>
      <c r="AD13" s="468"/>
      <c r="AE13" s="731"/>
      <c r="AF13" s="474"/>
      <c r="AG13" s="610"/>
    </row>
    <row r="14" spans="1:35" ht="14.5">
      <c r="A14" s="468"/>
      <c r="B14" s="579"/>
      <c r="C14" s="479"/>
      <c r="D14" s="476"/>
      <c r="E14" s="478"/>
      <c r="F14" s="730"/>
      <c r="G14" s="477"/>
      <c r="H14" s="478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478"/>
      <c r="T14" s="477"/>
      <c r="U14" s="477"/>
      <c r="V14" s="477"/>
      <c r="W14" s="476"/>
      <c r="X14" s="476"/>
      <c r="Y14" s="468"/>
      <c r="Z14" s="474"/>
      <c r="AA14" s="475"/>
      <c r="AB14" s="475"/>
      <c r="AC14" s="468"/>
      <c r="AD14" s="468"/>
      <c r="AE14" s="731"/>
      <c r="AF14" s="474"/>
      <c r="AG14" s="610"/>
    </row>
    <row r="15" spans="1:35" ht="14.5">
      <c r="A15" s="468"/>
      <c r="B15" s="579"/>
      <c r="C15" s="479"/>
      <c r="D15" s="476"/>
      <c r="E15" s="478"/>
      <c r="F15" s="730"/>
      <c r="G15" s="477"/>
      <c r="H15" s="478"/>
      <c r="I15" s="478"/>
      <c r="J15" s="478"/>
      <c r="K15" s="478"/>
      <c r="L15" s="478"/>
      <c r="M15" s="478"/>
      <c r="N15" s="478"/>
      <c r="O15" s="478"/>
      <c r="P15" s="478"/>
      <c r="Q15" s="478"/>
      <c r="R15" s="478"/>
      <c r="S15" s="478"/>
      <c r="T15" s="477"/>
      <c r="U15" s="477"/>
      <c r="V15" s="477"/>
      <c r="W15" s="476"/>
      <c r="X15" s="476"/>
      <c r="Y15" s="468"/>
      <c r="Z15" s="474"/>
      <c r="AA15" s="475"/>
      <c r="AB15" s="475"/>
      <c r="AC15" s="468"/>
      <c r="AD15" s="468"/>
      <c r="AE15" s="731"/>
      <c r="AF15" s="474"/>
      <c r="AG15" s="610"/>
    </row>
    <row r="16" spans="1:35" ht="14.5">
      <c r="A16" s="468"/>
      <c r="B16" s="579"/>
      <c r="C16" s="479"/>
      <c r="D16" s="476"/>
      <c r="E16" s="478"/>
      <c r="F16" s="730"/>
      <c r="G16" s="477"/>
      <c r="H16" s="478"/>
      <c r="I16" s="478"/>
      <c r="J16" s="478"/>
      <c r="K16" s="478"/>
      <c r="L16" s="478"/>
      <c r="M16" s="478"/>
      <c r="N16" s="478"/>
      <c r="O16" s="478"/>
      <c r="P16" s="478"/>
      <c r="Q16" s="478"/>
      <c r="R16" s="478"/>
      <c r="S16" s="478"/>
      <c r="T16" s="477"/>
      <c r="U16" s="477"/>
      <c r="V16" s="477"/>
      <c r="W16" s="476"/>
      <c r="X16" s="476"/>
      <c r="Y16" s="468"/>
      <c r="Z16" s="474"/>
      <c r="AA16" s="475"/>
      <c r="AB16" s="475"/>
      <c r="AC16" s="468"/>
      <c r="AD16" s="468"/>
      <c r="AE16" s="731"/>
      <c r="AF16" s="474"/>
      <c r="AG16" s="346"/>
      <c r="AH16" s="346"/>
      <c r="AI16" s="346"/>
    </row>
    <row r="17" spans="1:35" ht="14.5">
      <c r="A17" s="468"/>
      <c r="B17" s="579"/>
      <c r="C17" s="479"/>
      <c r="D17" s="476"/>
      <c r="E17" s="478"/>
      <c r="F17" s="730"/>
      <c r="G17" s="477"/>
      <c r="H17" s="478"/>
      <c r="I17" s="478"/>
      <c r="J17" s="478"/>
      <c r="K17" s="478"/>
      <c r="L17" s="478"/>
      <c r="M17" s="478"/>
      <c r="N17" s="478"/>
      <c r="O17" s="478"/>
      <c r="P17" s="478"/>
      <c r="Q17" s="478"/>
      <c r="R17" s="478"/>
      <c r="S17" s="478"/>
      <c r="T17" s="477"/>
      <c r="U17" s="477"/>
      <c r="V17" s="477"/>
      <c r="W17" s="476"/>
      <c r="X17" s="476"/>
      <c r="Y17" s="468"/>
      <c r="Z17" s="474"/>
      <c r="AA17" s="475"/>
      <c r="AB17" s="475"/>
      <c r="AC17" s="468"/>
      <c r="AD17" s="468"/>
      <c r="AE17" s="731"/>
      <c r="AF17" s="474"/>
      <c r="AG17" s="480"/>
      <c r="AH17" s="346"/>
      <c r="AI17" s="346"/>
    </row>
    <row r="18" spans="1:35" ht="14.5">
      <c r="A18" s="468"/>
      <c r="B18" s="579"/>
      <c r="C18" s="479"/>
      <c r="D18" s="476"/>
      <c r="E18" s="478"/>
      <c r="F18" s="730"/>
      <c r="G18" s="477"/>
      <c r="H18" s="478"/>
      <c r="I18" s="478"/>
      <c r="J18" s="478"/>
      <c r="K18" s="478"/>
      <c r="L18" s="478"/>
      <c r="M18" s="478"/>
      <c r="N18" s="478"/>
      <c r="O18" s="478"/>
      <c r="P18" s="478"/>
      <c r="Q18" s="478"/>
      <c r="R18" s="478"/>
      <c r="S18" s="478"/>
      <c r="T18" s="477"/>
      <c r="U18" s="477"/>
      <c r="V18" s="477"/>
      <c r="W18" s="476"/>
      <c r="X18" s="476"/>
      <c r="Y18" s="468"/>
      <c r="Z18" s="474"/>
      <c r="AA18" s="475"/>
      <c r="AB18" s="475"/>
      <c r="AC18" s="468"/>
      <c r="AD18" s="468"/>
      <c r="AE18" s="731"/>
      <c r="AF18" s="474"/>
      <c r="AG18" s="480"/>
    </row>
    <row r="19" spans="1:35" ht="14.5">
      <c r="A19" s="468"/>
      <c r="B19" s="579"/>
      <c r="C19" s="479"/>
      <c r="D19" s="476"/>
      <c r="E19" s="478"/>
      <c r="F19" s="730"/>
      <c r="G19" s="477"/>
      <c r="H19" s="478"/>
      <c r="I19" s="478"/>
      <c r="J19" s="478"/>
      <c r="K19" s="478"/>
      <c r="L19" s="478"/>
      <c r="M19" s="478"/>
      <c r="N19" s="478"/>
      <c r="O19" s="478"/>
      <c r="P19" s="478"/>
      <c r="Q19" s="478"/>
      <c r="R19" s="478"/>
      <c r="S19" s="478"/>
      <c r="T19" s="477"/>
      <c r="U19" s="477"/>
      <c r="V19" s="477"/>
      <c r="W19" s="476"/>
      <c r="X19" s="476"/>
      <c r="Y19" s="468"/>
      <c r="Z19" s="474"/>
      <c r="AA19" s="475"/>
      <c r="AB19" s="475"/>
      <c r="AC19" s="468"/>
      <c r="AD19" s="468"/>
      <c r="AE19" s="731"/>
      <c r="AF19" s="474"/>
    </row>
    <row r="20" spans="1:35" ht="14.5">
      <c r="A20" s="468"/>
      <c r="B20" s="579"/>
      <c r="C20" s="479"/>
      <c r="D20" s="476"/>
      <c r="E20" s="478"/>
      <c r="F20" s="730"/>
      <c r="G20" s="477"/>
      <c r="H20" s="478"/>
      <c r="I20" s="478"/>
      <c r="J20" s="478"/>
      <c r="K20" s="478"/>
      <c r="L20" s="478"/>
      <c r="M20" s="478"/>
      <c r="N20" s="478"/>
      <c r="O20" s="478"/>
      <c r="P20" s="478"/>
      <c r="Q20" s="478"/>
      <c r="R20" s="478"/>
      <c r="S20" s="478"/>
      <c r="T20" s="477"/>
      <c r="U20" s="477"/>
      <c r="V20" s="477"/>
      <c r="W20" s="476"/>
      <c r="X20" s="476"/>
      <c r="Y20" s="468"/>
      <c r="Z20" s="474"/>
      <c r="AA20" s="475"/>
      <c r="AB20" s="475"/>
      <c r="AC20" s="468"/>
      <c r="AD20" s="468"/>
      <c r="AE20" s="731"/>
      <c r="AF20" s="474"/>
    </row>
    <row r="21" spans="1:35" ht="14.5">
      <c r="A21" s="468"/>
      <c r="B21" s="579"/>
      <c r="C21" s="479"/>
      <c r="D21" s="476"/>
      <c r="E21" s="478"/>
      <c r="F21" s="730"/>
      <c r="G21" s="477"/>
      <c r="H21" s="478"/>
      <c r="I21" s="478"/>
      <c r="J21" s="478"/>
      <c r="K21" s="478"/>
      <c r="L21" s="478"/>
      <c r="M21" s="478"/>
      <c r="N21" s="478"/>
      <c r="O21" s="478"/>
      <c r="P21" s="478"/>
      <c r="Q21" s="478"/>
      <c r="R21" s="478"/>
      <c r="S21" s="478"/>
      <c r="T21" s="477"/>
      <c r="U21" s="477"/>
      <c r="V21" s="477"/>
      <c r="W21" s="476"/>
      <c r="X21" s="476"/>
      <c r="Y21" s="468"/>
      <c r="Z21" s="474"/>
      <c r="AA21" s="475"/>
      <c r="AB21" s="475"/>
      <c r="AC21" s="468"/>
      <c r="AD21" s="468"/>
      <c r="AE21" s="731"/>
      <c r="AF21" s="474"/>
    </row>
    <row r="22" spans="1:35" ht="14.5">
      <c r="A22" s="468"/>
      <c r="B22" s="579"/>
      <c r="C22" s="479"/>
      <c r="D22" s="476"/>
      <c r="E22" s="478"/>
      <c r="F22" s="730"/>
      <c r="G22" s="477"/>
      <c r="H22" s="478"/>
      <c r="I22" s="478"/>
      <c r="J22" s="478"/>
      <c r="K22" s="478"/>
      <c r="L22" s="478"/>
      <c r="M22" s="478"/>
      <c r="N22" s="478"/>
      <c r="O22" s="478"/>
      <c r="P22" s="478"/>
      <c r="Q22" s="478"/>
      <c r="R22" s="478"/>
      <c r="S22" s="478"/>
      <c r="T22" s="477"/>
      <c r="U22" s="477"/>
      <c r="V22" s="477"/>
      <c r="W22" s="476"/>
      <c r="X22" s="476"/>
      <c r="Y22" s="468"/>
      <c r="Z22" s="474"/>
      <c r="AA22" s="475"/>
      <c r="AB22" s="475"/>
      <c r="AC22" s="468"/>
      <c r="AD22" s="468"/>
      <c r="AE22" s="731"/>
      <c r="AF22" s="474"/>
    </row>
    <row r="23" spans="1:35" ht="14.5">
      <c r="A23" s="468"/>
      <c r="B23" s="579"/>
      <c r="C23" s="479"/>
      <c r="D23" s="476"/>
      <c r="E23" s="478"/>
      <c r="F23" s="730"/>
      <c r="G23" s="477"/>
      <c r="H23" s="478"/>
      <c r="I23" s="478"/>
      <c r="J23" s="478"/>
      <c r="K23" s="478"/>
      <c r="L23" s="478"/>
      <c r="M23" s="478"/>
      <c r="N23" s="478"/>
      <c r="O23" s="478"/>
      <c r="P23" s="478"/>
      <c r="Q23" s="478"/>
      <c r="R23" s="478"/>
      <c r="S23" s="478"/>
      <c r="T23" s="477"/>
      <c r="U23" s="477"/>
      <c r="V23" s="477"/>
      <c r="W23" s="476"/>
      <c r="X23" s="476"/>
      <c r="Y23" s="468"/>
      <c r="Z23" s="474"/>
      <c r="AA23" s="475"/>
      <c r="AB23" s="475"/>
      <c r="AC23" s="468"/>
      <c r="AD23" s="468"/>
      <c r="AE23" s="731"/>
      <c r="AF23" s="474"/>
    </row>
    <row r="24" spans="1:35" ht="14.5">
      <c r="A24" s="468"/>
      <c r="B24" s="579"/>
      <c r="C24" s="479"/>
      <c r="D24" s="476"/>
      <c r="E24" s="478"/>
      <c r="F24" s="730"/>
      <c r="G24" s="477"/>
      <c r="H24" s="478"/>
      <c r="I24" s="478"/>
      <c r="J24" s="478"/>
      <c r="K24" s="478"/>
      <c r="L24" s="478"/>
      <c r="M24" s="478"/>
      <c r="N24" s="478"/>
      <c r="O24" s="478"/>
      <c r="P24" s="478"/>
      <c r="Q24" s="478"/>
      <c r="R24" s="478"/>
      <c r="S24" s="478"/>
      <c r="T24" s="477"/>
      <c r="U24" s="477"/>
      <c r="V24" s="477"/>
      <c r="W24" s="476"/>
      <c r="X24" s="476"/>
      <c r="Y24" s="468"/>
      <c r="Z24" s="474"/>
      <c r="AA24" s="475"/>
      <c r="AB24" s="475"/>
      <c r="AC24" s="468"/>
      <c r="AD24" s="468"/>
      <c r="AE24" s="731"/>
      <c r="AF24" s="474"/>
    </row>
    <row r="25" spans="1:35" ht="14.5">
      <c r="A25" s="468"/>
      <c r="B25" s="579"/>
      <c r="C25" s="479"/>
      <c r="D25" s="476"/>
      <c r="E25" s="478"/>
      <c r="F25" s="730"/>
      <c r="G25" s="477"/>
      <c r="H25" s="478"/>
      <c r="I25" s="478"/>
      <c r="J25" s="478"/>
      <c r="K25" s="478"/>
      <c r="L25" s="478"/>
      <c r="M25" s="478"/>
      <c r="N25" s="478"/>
      <c r="O25" s="478"/>
      <c r="P25" s="478"/>
      <c r="Q25" s="478"/>
      <c r="R25" s="478"/>
      <c r="S25" s="478"/>
      <c r="T25" s="477"/>
      <c r="U25" s="477"/>
      <c r="V25" s="477"/>
      <c r="W25" s="476"/>
      <c r="X25" s="476"/>
      <c r="Y25" s="468"/>
      <c r="Z25" s="474"/>
      <c r="AA25" s="475"/>
      <c r="AB25" s="475"/>
      <c r="AC25" s="468"/>
      <c r="AD25" s="468"/>
      <c r="AE25" s="731"/>
      <c r="AF25" s="474"/>
    </row>
    <row r="26" spans="1:35" ht="14.5">
      <c r="A26" s="468"/>
      <c r="B26" s="579"/>
      <c r="C26" s="479"/>
      <c r="D26" s="476"/>
      <c r="E26" s="478"/>
      <c r="F26" s="730"/>
      <c r="G26" s="477"/>
      <c r="H26" s="478"/>
      <c r="I26" s="478"/>
      <c r="J26" s="478"/>
      <c r="K26" s="478"/>
      <c r="L26" s="478"/>
      <c r="M26" s="478"/>
      <c r="N26" s="478"/>
      <c r="O26" s="478"/>
      <c r="P26" s="478"/>
      <c r="Q26" s="478"/>
      <c r="R26" s="478"/>
      <c r="S26" s="478"/>
      <c r="T26" s="477"/>
      <c r="U26" s="477"/>
      <c r="V26" s="477"/>
      <c r="W26" s="476"/>
      <c r="X26" s="476"/>
      <c r="Y26" s="468"/>
      <c r="Z26" s="474"/>
      <c r="AA26" s="475"/>
      <c r="AB26" s="475"/>
      <c r="AC26" s="468"/>
      <c r="AD26" s="468"/>
      <c r="AE26" s="731"/>
      <c r="AF26" s="474"/>
    </row>
    <row r="27" spans="1:35" ht="14.5">
      <c r="A27" s="468"/>
      <c r="B27" s="579"/>
      <c r="C27" s="479"/>
      <c r="D27" s="476"/>
      <c r="E27" s="478"/>
      <c r="F27" s="730"/>
      <c r="G27" s="477"/>
      <c r="H27" s="478"/>
      <c r="I27" s="478"/>
      <c r="J27" s="478"/>
      <c r="K27" s="478"/>
      <c r="L27" s="478"/>
      <c r="M27" s="478"/>
      <c r="N27" s="478"/>
      <c r="O27" s="478"/>
      <c r="P27" s="478"/>
      <c r="Q27" s="478"/>
      <c r="R27" s="478"/>
      <c r="S27" s="478"/>
      <c r="T27" s="477"/>
      <c r="U27" s="477"/>
      <c r="V27" s="477"/>
      <c r="W27" s="476"/>
      <c r="X27" s="476"/>
      <c r="Y27" s="468"/>
      <c r="Z27" s="474"/>
      <c r="AA27" s="475"/>
      <c r="AB27" s="475"/>
      <c r="AC27" s="468"/>
      <c r="AD27" s="468"/>
      <c r="AE27" s="731"/>
      <c r="AF27" s="474"/>
    </row>
    <row r="28" spans="1:35" ht="14.5">
      <c r="A28" s="468"/>
      <c r="B28" s="579"/>
      <c r="C28" s="479"/>
      <c r="D28" s="476"/>
      <c r="E28" s="478"/>
      <c r="F28" s="730"/>
      <c r="G28" s="477"/>
      <c r="H28" s="478"/>
      <c r="I28" s="478"/>
      <c r="J28" s="478"/>
      <c r="K28" s="478"/>
      <c r="L28" s="478"/>
      <c r="M28" s="478"/>
      <c r="N28" s="478"/>
      <c r="O28" s="478"/>
      <c r="P28" s="478"/>
      <c r="Q28" s="478"/>
      <c r="R28" s="478"/>
      <c r="S28" s="478"/>
      <c r="T28" s="477"/>
      <c r="U28" s="477"/>
      <c r="V28" s="477"/>
      <c r="W28" s="476"/>
      <c r="X28" s="476"/>
      <c r="Y28" s="468"/>
      <c r="Z28" s="474"/>
      <c r="AA28" s="475"/>
      <c r="AB28" s="475"/>
      <c r="AC28" s="468"/>
      <c r="AD28" s="468"/>
      <c r="AE28" s="731"/>
      <c r="AF28" s="474"/>
    </row>
    <row r="29" spans="1:35" ht="14.5">
      <c r="A29" s="468"/>
      <c r="B29" s="579"/>
      <c r="C29" s="479"/>
      <c r="D29" s="476"/>
      <c r="E29" s="478"/>
      <c r="F29" s="730"/>
      <c r="G29" s="477"/>
      <c r="H29" s="478"/>
      <c r="I29" s="478"/>
      <c r="J29" s="478"/>
      <c r="K29" s="478"/>
      <c r="L29" s="478"/>
      <c r="M29" s="478"/>
      <c r="N29" s="478"/>
      <c r="O29" s="478"/>
      <c r="P29" s="478"/>
      <c r="Q29" s="478"/>
      <c r="R29" s="478"/>
      <c r="S29" s="478"/>
      <c r="T29" s="477"/>
      <c r="U29" s="477"/>
      <c r="V29" s="477"/>
      <c r="W29" s="476"/>
      <c r="X29" s="476"/>
      <c r="Y29" s="468"/>
      <c r="Z29" s="474"/>
      <c r="AA29" s="475"/>
      <c r="AB29" s="475"/>
      <c r="AC29" s="468"/>
      <c r="AD29" s="468"/>
      <c r="AE29" s="731"/>
      <c r="AF29" s="474"/>
    </row>
    <row r="30" spans="1:35" ht="14.5">
      <c r="A30" s="468"/>
      <c r="B30" s="579"/>
      <c r="C30" s="479"/>
      <c r="D30" s="476"/>
      <c r="E30" s="478"/>
      <c r="F30" s="730"/>
      <c r="G30" s="477"/>
      <c r="H30" s="478"/>
      <c r="I30" s="478"/>
      <c r="J30" s="478"/>
      <c r="K30" s="478"/>
      <c r="L30" s="478"/>
      <c r="M30" s="478"/>
      <c r="N30" s="478"/>
      <c r="O30" s="478"/>
      <c r="P30" s="478"/>
      <c r="Q30" s="478"/>
      <c r="R30" s="478"/>
      <c r="S30" s="478"/>
      <c r="T30" s="477"/>
      <c r="U30" s="477"/>
      <c r="V30" s="477"/>
      <c r="W30" s="476"/>
      <c r="X30" s="476"/>
      <c r="Y30" s="468"/>
      <c r="Z30" s="474"/>
      <c r="AA30" s="475"/>
      <c r="AB30" s="475"/>
      <c r="AC30" s="468"/>
      <c r="AD30" s="468"/>
      <c r="AE30" s="731"/>
      <c r="AF30" s="474"/>
      <c r="AG30" s="610"/>
    </row>
    <row r="31" spans="1:35" ht="14.5">
      <c r="A31" s="468"/>
      <c r="B31" s="579"/>
      <c r="C31" s="479"/>
      <c r="D31" s="476"/>
      <c r="E31" s="478"/>
      <c r="F31" s="730"/>
      <c r="G31" s="477"/>
      <c r="H31" s="478"/>
      <c r="I31" s="478"/>
      <c r="J31" s="478"/>
      <c r="K31" s="478"/>
      <c r="L31" s="478"/>
      <c r="M31" s="478"/>
      <c r="N31" s="478"/>
      <c r="O31" s="478"/>
      <c r="P31" s="478"/>
      <c r="Q31" s="478"/>
      <c r="R31" s="478"/>
      <c r="S31" s="478"/>
      <c r="T31" s="477"/>
      <c r="U31" s="477"/>
      <c r="V31" s="477"/>
      <c r="W31" s="476"/>
      <c r="X31" s="476"/>
      <c r="Y31" s="468"/>
      <c r="Z31" s="474"/>
      <c r="AA31" s="475"/>
      <c r="AB31" s="475"/>
      <c r="AC31" s="468"/>
      <c r="AD31" s="468"/>
      <c r="AE31" s="731"/>
      <c r="AF31" s="474"/>
      <c r="AG31" s="610"/>
    </row>
    <row r="32" spans="1:35" ht="14.5">
      <c r="A32" s="468"/>
      <c r="B32" s="579"/>
      <c r="C32" s="479"/>
      <c r="D32" s="476"/>
      <c r="E32" s="478"/>
      <c r="F32" s="730"/>
      <c r="G32" s="477"/>
      <c r="H32" s="478"/>
      <c r="I32" s="478"/>
      <c r="J32" s="478"/>
      <c r="K32" s="478"/>
      <c r="L32" s="478"/>
      <c r="M32" s="478"/>
      <c r="N32" s="478"/>
      <c r="O32" s="478"/>
      <c r="P32" s="478"/>
      <c r="Q32" s="478"/>
      <c r="R32" s="478"/>
      <c r="S32" s="478"/>
      <c r="T32" s="477"/>
      <c r="U32" s="477"/>
      <c r="V32" s="477"/>
      <c r="W32" s="476"/>
      <c r="X32" s="476"/>
      <c r="Y32" s="468"/>
      <c r="Z32" s="474"/>
      <c r="AA32" s="475"/>
      <c r="AB32" s="475"/>
      <c r="AC32" s="468"/>
      <c r="AD32" s="468"/>
      <c r="AE32" s="731"/>
      <c r="AF32" s="474"/>
      <c r="AG32" s="610"/>
    </row>
    <row r="33" spans="1:37" ht="14.5">
      <c r="A33" s="468"/>
      <c r="B33" s="579"/>
      <c r="C33" s="479"/>
      <c r="D33" s="476"/>
      <c r="E33" s="478"/>
      <c r="F33" s="730"/>
      <c r="G33" s="477"/>
      <c r="H33" s="478"/>
      <c r="I33" s="478"/>
      <c r="J33" s="478"/>
      <c r="K33" s="478"/>
      <c r="L33" s="478"/>
      <c r="M33" s="478"/>
      <c r="N33" s="478"/>
      <c r="O33" s="478"/>
      <c r="P33" s="478"/>
      <c r="Q33" s="478"/>
      <c r="R33" s="478"/>
      <c r="S33" s="478"/>
      <c r="T33" s="477"/>
      <c r="U33" s="477"/>
      <c r="V33" s="477"/>
      <c r="W33" s="476"/>
      <c r="X33" s="476"/>
      <c r="Y33" s="468"/>
      <c r="Z33" s="474"/>
      <c r="AA33" s="475"/>
      <c r="AB33" s="475"/>
      <c r="AC33" s="468"/>
      <c r="AD33" s="468"/>
      <c r="AE33" s="731"/>
      <c r="AF33" s="474"/>
      <c r="AG33" s="610"/>
    </row>
    <row r="34" spans="1:37" ht="14.5">
      <c r="A34" s="468"/>
      <c r="B34" s="579"/>
      <c r="C34" s="479"/>
      <c r="D34" s="476"/>
      <c r="E34" s="478"/>
      <c r="F34" s="730"/>
      <c r="G34" s="477"/>
      <c r="H34" s="478"/>
      <c r="I34" s="478"/>
      <c r="J34" s="478"/>
      <c r="K34" s="478"/>
      <c r="L34" s="478"/>
      <c r="M34" s="478"/>
      <c r="N34" s="478"/>
      <c r="O34" s="478"/>
      <c r="P34" s="478"/>
      <c r="Q34" s="478"/>
      <c r="R34" s="478"/>
      <c r="S34" s="478"/>
      <c r="T34" s="477"/>
      <c r="U34" s="477"/>
      <c r="V34" s="477"/>
      <c r="W34" s="476"/>
      <c r="X34" s="476"/>
      <c r="Y34" s="468"/>
      <c r="Z34" s="474"/>
      <c r="AA34" s="475"/>
      <c r="AB34" s="475"/>
      <c r="AC34" s="468"/>
      <c r="AD34" s="468"/>
      <c r="AE34" s="731"/>
      <c r="AF34" s="474"/>
      <c r="AG34" s="610"/>
    </row>
    <row r="35" spans="1:37" ht="14.5">
      <c r="A35" s="468"/>
      <c r="B35" s="579"/>
      <c r="C35" s="479"/>
      <c r="D35" s="476"/>
      <c r="E35" s="478"/>
      <c r="F35" s="730"/>
      <c r="G35" s="477"/>
      <c r="H35" s="478"/>
      <c r="I35" s="478"/>
      <c r="J35" s="478"/>
      <c r="K35" s="478"/>
      <c r="L35" s="478"/>
      <c r="M35" s="478"/>
      <c r="N35" s="478"/>
      <c r="O35" s="478"/>
      <c r="P35" s="478"/>
      <c r="Q35" s="478"/>
      <c r="R35" s="478"/>
      <c r="S35" s="478"/>
      <c r="T35" s="477"/>
      <c r="U35" s="477"/>
      <c r="V35" s="477"/>
      <c r="W35" s="476"/>
      <c r="X35" s="476"/>
      <c r="Y35" s="468"/>
      <c r="Z35" s="474"/>
      <c r="AA35" s="475"/>
      <c r="AB35" s="475"/>
      <c r="AC35" s="468"/>
      <c r="AD35" s="468"/>
      <c r="AE35" s="731"/>
      <c r="AF35" s="474"/>
      <c r="AG35" s="610"/>
    </row>
    <row r="36" spans="1:37" ht="14.5">
      <c r="A36" s="468"/>
      <c r="B36" s="579"/>
      <c r="C36" s="479"/>
      <c r="D36" s="476"/>
      <c r="E36" s="478"/>
      <c r="F36" s="730"/>
      <c r="G36" s="477"/>
      <c r="H36" s="478"/>
      <c r="I36" s="478"/>
      <c r="J36" s="478"/>
      <c r="K36" s="478"/>
      <c r="L36" s="478"/>
      <c r="M36" s="478"/>
      <c r="N36" s="478"/>
      <c r="O36" s="478"/>
      <c r="P36" s="478"/>
      <c r="Q36" s="478"/>
      <c r="R36" s="478"/>
      <c r="S36" s="478"/>
      <c r="T36" s="477"/>
      <c r="U36" s="477"/>
      <c r="V36" s="477"/>
      <c r="W36" s="476"/>
      <c r="X36" s="476"/>
      <c r="Y36" s="468"/>
      <c r="Z36" s="474"/>
      <c r="AA36" s="475"/>
      <c r="AB36" s="475"/>
      <c r="AC36" s="468"/>
      <c r="AD36" s="468"/>
      <c r="AE36" s="731"/>
      <c r="AF36" s="474"/>
      <c r="AG36" s="610"/>
    </row>
    <row r="37" spans="1:37" ht="14.5">
      <c r="A37" s="468"/>
      <c r="B37" s="579"/>
      <c r="C37" s="479"/>
      <c r="D37" s="476"/>
      <c r="E37" s="478"/>
      <c r="F37" s="730"/>
      <c r="G37" s="477"/>
      <c r="H37" s="478"/>
      <c r="I37" s="478"/>
      <c r="J37" s="478"/>
      <c r="K37" s="478"/>
      <c r="L37" s="478"/>
      <c r="M37" s="478"/>
      <c r="N37" s="478"/>
      <c r="O37" s="478"/>
      <c r="P37" s="478"/>
      <c r="Q37" s="478"/>
      <c r="R37" s="478"/>
      <c r="S37" s="478"/>
      <c r="T37" s="477"/>
      <c r="U37" s="477"/>
      <c r="V37" s="477"/>
      <c r="W37" s="476"/>
      <c r="X37" s="476"/>
      <c r="Y37" s="468"/>
      <c r="Z37" s="474"/>
      <c r="AA37" s="475"/>
      <c r="AB37" s="475"/>
      <c r="AC37" s="468"/>
      <c r="AD37" s="468"/>
      <c r="AE37" s="731"/>
      <c r="AF37" s="474"/>
      <c r="AG37" s="610"/>
    </row>
    <row r="38" spans="1:37" s="346" customFormat="1" ht="14.5">
      <c r="A38" s="468"/>
      <c r="B38" s="579"/>
      <c r="C38" s="479"/>
      <c r="D38" s="476"/>
      <c r="E38" s="478"/>
      <c r="F38" s="715"/>
      <c r="G38" s="477"/>
      <c r="H38" s="737"/>
      <c r="I38" s="478"/>
      <c r="J38" s="478"/>
      <c r="K38" s="777"/>
      <c r="L38" s="478"/>
      <c r="M38" s="478"/>
      <c r="N38" s="478"/>
      <c r="O38" s="478"/>
      <c r="P38" s="478"/>
      <c r="Q38" s="478"/>
      <c r="R38" s="478"/>
      <c r="S38" s="478"/>
      <c r="T38" s="477"/>
      <c r="U38" s="477"/>
      <c r="V38" s="477"/>
      <c r="W38" s="476"/>
      <c r="X38" s="476"/>
      <c r="Y38" s="468"/>
      <c r="Z38" s="474"/>
      <c r="AA38" s="475"/>
      <c r="AB38" s="475"/>
      <c r="AC38" s="468"/>
      <c r="AD38" s="468"/>
      <c r="AE38" s="716"/>
      <c r="AF38" s="474"/>
      <c r="AJ38" s="521"/>
      <c r="AK38" s="548"/>
    </row>
    <row r="40" spans="1:37">
      <c r="Z40" s="653">
        <f>SUM(Z2:Z39)</f>
        <v>306</v>
      </c>
      <c r="AA40" s="653">
        <f>SUM(AA2:AA39)</f>
        <v>0.49562854494084896</v>
      </c>
      <c r="AB40" s="653">
        <f>SUM(AB2:AB39)</f>
        <v>2.0939102025384411E-4</v>
      </c>
      <c r="AF40" s="653">
        <f>SUM(AF2:AF39)</f>
        <v>223951.65894750954</v>
      </c>
    </row>
    <row r="42" spans="1:37">
      <c r="K42" s="593"/>
      <c r="Z42" s="58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2210-C9DB-4324-92FA-59E89264F8F6}">
  <sheetPr codeName="Hoja9"/>
  <dimension ref="A1:AP95"/>
  <sheetViews>
    <sheetView zoomScale="90" zoomScaleNormal="90" workbookViewId="0">
      <selection activeCell="J89" sqref="J89"/>
    </sheetView>
  </sheetViews>
  <sheetFormatPr baseColWidth="10" defaultColWidth="11.453125" defaultRowHeight="13"/>
  <cols>
    <col min="1" max="1" width="14.6328125" style="346" bestFit="1" customWidth="1"/>
    <col min="2" max="2" width="15.90625" style="346" bestFit="1" customWidth="1"/>
    <col min="3" max="3" width="9" style="346" customWidth="1"/>
    <col min="4" max="4" width="12.453125" style="346" customWidth="1"/>
    <col min="5" max="5" width="16.90625" style="346" customWidth="1"/>
    <col min="6" max="6" width="14.90625" style="346" bestFit="1" customWidth="1"/>
    <col min="7" max="7" width="13" style="346" customWidth="1"/>
    <col min="8" max="8" width="18" style="144" bestFit="1" customWidth="1"/>
    <col min="9" max="9" width="14" style="496" bestFit="1" customWidth="1"/>
    <col min="10" max="10" width="19" style="346" bestFit="1" customWidth="1"/>
    <col min="11" max="11" width="13.90625" style="346" bestFit="1" customWidth="1"/>
    <col min="12" max="12" width="13.81640625" style="346" bestFit="1" customWidth="1"/>
    <col min="13" max="13" width="11" style="493" customWidth="1"/>
    <col min="14" max="14" width="12.90625" style="493" bestFit="1" customWidth="1"/>
    <col min="15" max="15" width="19.90625" style="346" customWidth="1"/>
    <col min="16" max="16" width="13.453125" style="346" bestFit="1" customWidth="1"/>
    <col min="17" max="17" width="11.453125" style="346"/>
    <col min="18" max="18" width="13.54296875" style="43" customWidth="1"/>
    <col min="19" max="20" width="16.6328125" style="43" bestFit="1" customWidth="1"/>
    <col min="21" max="21" width="12.90625" style="346" bestFit="1" customWidth="1"/>
    <col min="22" max="23" width="12.90625" style="346" customWidth="1"/>
    <col min="24" max="24" width="13.6328125" style="346" customWidth="1"/>
    <col min="25" max="28" width="13.90625" style="346" bestFit="1" customWidth="1"/>
    <col min="29" max="29" width="13.453125" style="346" bestFit="1" customWidth="1"/>
    <col min="30" max="30" width="13.453125" style="346" customWidth="1"/>
    <col min="31" max="31" width="11.453125" style="346"/>
    <col min="32" max="33" width="13.453125" style="346" bestFit="1" customWidth="1"/>
    <col min="34" max="35" width="11.90625" style="346" bestFit="1" customWidth="1"/>
    <col min="36" max="37" width="11.90625" style="346" customWidth="1"/>
    <col min="38" max="38" width="11.453125" style="346"/>
    <col min="39" max="40" width="13.453125" style="346" bestFit="1" customWidth="1"/>
    <col min="41" max="42" width="11.90625" style="346" bestFit="1" customWidth="1"/>
    <col min="43" max="16384" width="11.453125" style="346"/>
  </cols>
  <sheetData>
    <row r="1" spans="1:24" s="490" customFormat="1" ht="15.5">
      <c r="A1" s="486"/>
      <c r="B1" s="486"/>
      <c r="C1" s="487"/>
      <c r="D1" s="487"/>
      <c r="E1" s="487"/>
      <c r="F1" s="486" t="s">
        <v>39</v>
      </c>
      <c r="G1" s="486"/>
      <c r="H1" s="488"/>
      <c r="I1" s="489"/>
      <c r="M1" s="491"/>
      <c r="N1" s="491"/>
      <c r="R1" s="492"/>
      <c r="S1" s="492"/>
      <c r="T1" s="492"/>
    </row>
    <row r="2" spans="1:24">
      <c r="I2" s="269"/>
    </row>
    <row r="3" spans="1:24">
      <c r="I3" s="269"/>
    </row>
    <row r="4" spans="1:24">
      <c r="I4" s="173"/>
    </row>
    <row r="5" spans="1:24" ht="15.5">
      <c r="A5" s="870" t="s">
        <v>51</v>
      </c>
      <c r="B5" s="871"/>
      <c r="C5" s="871"/>
      <c r="I5" s="173"/>
    </row>
    <row r="6" spans="1:24">
      <c r="H6" s="43"/>
      <c r="I6" s="174"/>
      <c r="J6" s="494"/>
      <c r="K6" s="494"/>
    </row>
    <row r="7" spans="1:24" ht="15.5">
      <c r="A7" s="495"/>
      <c r="B7" s="495"/>
      <c r="R7" s="164" t="s">
        <v>1</v>
      </c>
      <c r="S7" s="164" t="s">
        <v>108</v>
      </c>
      <c r="T7" s="164" t="s">
        <v>36</v>
      </c>
      <c r="U7" s="164" t="s">
        <v>66</v>
      </c>
      <c r="V7" s="164"/>
      <c r="W7" s="164"/>
      <c r="X7" s="164" t="s">
        <v>123</v>
      </c>
    </row>
    <row r="8" spans="1:24">
      <c r="A8" s="497" t="s">
        <v>114</v>
      </c>
      <c r="B8" s="497" t="s">
        <v>115</v>
      </c>
      <c r="C8" s="497" t="s">
        <v>35</v>
      </c>
      <c r="D8" s="497" t="s">
        <v>25</v>
      </c>
      <c r="E8" s="497" t="s">
        <v>26</v>
      </c>
      <c r="F8" s="497" t="s">
        <v>18</v>
      </c>
      <c r="G8" s="497" t="s">
        <v>19</v>
      </c>
      <c r="H8" s="145" t="s">
        <v>21</v>
      </c>
      <c r="I8" s="497" t="s">
        <v>22</v>
      </c>
      <c r="J8" s="497" t="s">
        <v>27</v>
      </c>
      <c r="K8" s="497" t="s">
        <v>34</v>
      </c>
      <c r="L8" s="498" t="s">
        <v>55</v>
      </c>
      <c r="M8" s="498" t="s">
        <v>60</v>
      </c>
      <c r="N8" s="498" t="s">
        <v>61</v>
      </c>
    </row>
    <row r="9" spans="1:24">
      <c r="A9" s="499"/>
      <c r="B9" s="499"/>
      <c r="C9" s="499"/>
      <c r="D9" s="209"/>
      <c r="E9" s="209"/>
      <c r="F9" s="210"/>
      <c r="G9" s="219"/>
      <c r="H9" s="219"/>
      <c r="I9" s="500"/>
      <c r="J9" s="212"/>
      <c r="K9" s="501"/>
      <c r="L9" s="220"/>
      <c r="M9" s="502"/>
      <c r="N9" s="502"/>
      <c r="U9" s="43"/>
      <c r="V9" s="43"/>
      <c r="W9" s="43"/>
      <c r="X9" s="43"/>
    </row>
    <row r="10" spans="1:24">
      <c r="A10" s="499"/>
      <c r="B10" s="499"/>
      <c r="C10" s="499"/>
      <c r="D10" s="209"/>
      <c r="E10" s="209"/>
      <c r="F10" s="210"/>
      <c r="G10" s="219"/>
      <c r="H10" s="219"/>
      <c r="I10" s="500"/>
      <c r="J10" s="212"/>
      <c r="K10" s="501"/>
      <c r="L10" s="220"/>
      <c r="M10" s="502"/>
      <c r="N10" s="502"/>
      <c r="U10" s="43"/>
      <c r="V10" s="43"/>
      <c r="W10" s="43"/>
      <c r="X10" s="43"/>
    </row>
    <row r="11" spans="1:24">
      <c r="A11" s="499"/>
      <c r="B11" s="499"/>
      <c r="C11" s="499"/>
      <c r="D11" s="209"/>
      <c r="E11" s="209"/>
      <c r="F11" s="210"/>
      <c r="G11" s="219"/>
      <c r="H11" s="219"/>
      <c r="I11" s="500"/>
      <c r="J11" s="212"/>
      <c r="K11" s="501"/>
      <c r="L11" s="220"/>
      <c r="M11" s="502"/>
      <c r="N11" s="502"/>
      <c r="U11" s="43"/>
      <c r="V11" s="43"/>
      <c r="W11" s="43"/>
      <c r="X11" s="43"/>
    </row>
    <row r="12" spans="1:24">
      <c r="A12" s="499"/>
      <c r="B12" s="499"/>
      <c r="C12" s="499"/>
      <c r="D12" s="209"/>
      <c r="E12" s="209"/>
      <c r="F12" s="210"/>
      <c r="G12" s="219"/>
      <c r="H12" s="219"/>
      <c r="I12" s="500"/>
      <c r="J12" s="212"/>
      <c r="K12" s="501"/>
      <c r="L12" s="220"/>
      <c r="M12" s="502"/>
      <c r="N12" s="502"/>
      <c r="U12" s="43"/>
      <c r="V12" s="43"/>
      <c r="W12" s="43"/>
      <c r="X12" s="43"/>
    </row>
    <row r="13" spans="1:24">
      <c r="A13" s="499"/>
      <c r="B13" s="499"/>
      <c r="C13" s="499"/>
      <c r="D13" s="209"/>
      <c r="E13" s="209"/>
      <c r="F13" s="210"/>
      <c r="G13" s="219"/>
      <c r="H13" s="219"/>
      <c r="I13" s="500"/>
      <c r="J13" s="212"/>
      <c r="K13" s="501"/>
      <c r="L13" s="220"/>
      <c r="M13" s="502"/>
      <c r="N13" s="502"/>
      <c r="U13" s="43"/>
      <c r="V13" s="43"/>
      <c r="W13" s="43"/>
      <c r="X13" s="43"/>
    </row>
    <row r="14" spans="1:24">
      <c r="A14" s="499"/>
      <c r="B14" s="499"/>
      <c r="C14" s="499"/>
      <c r="D14" s="209"/>
      <c r="E14" s="209"/>
      <c r="F14" s="210"/>
      <c r="G14" s="219"/>
      <c r="H14" s="219"/>
      <c r="I14" s="500"/>
      <c r="J14" s="212"/>
      <c r="K14" s="501"/>
      <c r="L14" s="220"/>
      <c r="M14" s="502"/>
      <c r="N14" s="502"/>
      <c r="U14" s="43"/>
      <c r="V14" s="43"/>
      <c r="W14" s="43"/>
      <c r="X14" s="43"/>
    </row>
    <row r="15" spans="1:24">
      <c r="A15" s="499"/>
      <c r="B15" s="499"/>
      <c r="C15" s="499"/>
      <c r="D15" s="209"/>
      <c r="E15" s="209"/>
      <c r="F15" s="210"/>
      <c r="G15" s="219"/>
      <c r="H15" s="219"/>
      <c r="I15" s="500"/>
      <c r="J15" s="212"/>
      <c r="K15" s="501"/>
      <c r="L15" s="220"/>
      <c r="M15" s="502"/>
      <c r="N15" s="502"/>
      <c r="U15" s="43"/>
      <c r="V15" s="43"/>
      <c r="W15" s="43"/>
      <c r="X15" s="43"/>
    </row>
    <row r="16" spans="1:24">
      <c r="A16" s="499"/>
      <c r="B16" s="499"/>
      <c r="C16" s="499"/>
      <c r="D16" s="209"/>
      <c r="E16" s="209"/>
      <c r="F16" s="210"/>
      <c r="G16" s="219"/>
      <c r="H16" s="219"/>
      <c r="I16" s="500"/>
      <c r="J16" s="212"/>
      <c r="K16" s="501"/>
      <c r="L16" s="220"/>
      <c r="M16" s="502"/>
      <c r="N16" s="502"/>
      <c r="U16" s="43"/>
      <c r="V16" s="43"/>
      <c r="W16" s="43"/>
      <c r="X16" s="43"/>
    </row>
    <row r="17" spans="1:42">
      <c r="A17" s="499"/>
      <c r="B17" s="499"/>
      <c r="C17" s="499"/>
      <c r="D17" s="209"/>
      <c r="E17" s="209"/>
      <c r="F17" s="210"/>
      <c r="G17" s="219"/>
      <c r="H17" s="219"/>
      <c r="I17" s="500"/>
      <c r="J17" s="212"/>
      <c r="K17" s="501"/>
      <c r="L17" s="220"/>
      <c r="M17" s="502"/>
      <c r="N17" s="502"/>
      <c r="U17" s="43"/>
      <c r="V17" s="43"/>
      <c r="W17" s="43"/>
      <c r="X17" s="43"/>
    </row>
    <row r="18" spans="1:42">
      <c r="A18" s="499"/>
      <c r="B18" s="499"/>
      <c r="C18" s="499"/>
      <c r="D18" s="209"/>
      <c r="E18" s="209"/>
      <c r="F18" s="210"/>
      <c r="G18" s="219"/>
      <c r="H18" s="219"/>
      <c r="I18" s="500"/>
      <c r="J18" s="212"/>
      <c r="K18" s="501"/>
      <c r="L18" s="220"/>
      <c r="M18" s="502"/>
      <c r="N18" s="502"/>
      <c r="U18" s="43"/>
      <c r="V18" s="43"/>
      <c r="W18" s="43"/>
      <c r="X18" s="43"/>
    </row>
    <row r="19" spans="1:42">
      <c r="A19" s="499"/>
      <c r="B19" s="499"/>
      <c r="C19" s="499"/>
      <c r="D19" s="209"/>
      <c r="E19" s="209"/>
      <c r="F19" s="210"/>
      <c r="G19" s="219"/>
      <c r="H19" s="219"/>
      <c r="I19" s="500"/>
      <c r="J19" s="212"/>
      <c r="K19" s="501"/>
      <c r="L19" s="220"/>
      <c r="M19" s="502"/>
      <c r="N19" s="502"/>
      <c r="U19" s="43"/>
      <c r="V19" s="43"/>
      <c r="W19" s="43"/>
      <c r="X19" s="43"/>
    </row>
    <row r="20" spans="1:42">
      <c r="A20" s="499"/>
      <c r="B20" s="499"/>
      <c r="C20" s="499"/>
      <c r="D20" s="209"/>
      <c r="E20" s="209"/>
      <c r="F20" s="210"/>
      <c r="G20" s="219"/>
      <c r="H20" s="219"/>
      <c r="I20" s="500"/>
      <c r="J20" s="212"/>
      <c r="K20" s="501"/>
      <c r="L20" s="220"/>
      <c r="M20" s="502"/>
      <c r="N20" s="502"/>
      <c r="U20" s="43"/>
      <c r="V20" s="43"/>
      <c r="W20" s="43"/>
      <c r="X20" s="43"/>
    </row>
    <row r="21" spans="1:42">
      <c r="A21" s="499"/>
      <c r="B21" s="499"/>
      <c r="C21" s="499"/>
      <c r="D21" s="209"/>
      <c r="E21" s="209"/>
      <c r="F21" s="210"/>
      <c r="G21" s="219"/>
      <c r="H21" s="219"/>
      <c r="I21" s="500"/>
      <c r="J21" s="212"/>
      <c r="K21" s="501"/>
      <c r="L21" s="220"/>
      <c r="M21" s="502"/>
      <c r="N21" s="502"/>
      <c r="AF21" s="164" t="s">
        <v>168</v>
      </c>
      <c r="AG21" s="164" t="s">
        <v>166</v>
      </c>
      <c r="AH21" s="164" t="s">
        <v>165</v>
      </c>
      <c r="AI21" s="164" t="s">
        <v>167</v>
      </c>
      <c r="AJ21" s="164" t="s">
        <v>164</v>
      </c>
      <c r="AK21" s="164" t="s">
        <v>169</v>
      </c>
    </row>
    <row r="22" spans="1:42">
      <c r="A22" s="505"/>
      <c r="B22" s="505"/>
      <c r="C22" s="506"/>
      <c r="D22" s="196"/>
      <c r="E22" s="196"/>
      <c r="F22" s="197"/>
      <c r="G22" s="198"/>
      <c r="H22" s="198"/>
      <c r="I22" s="507">
        <f>SUM(I9:I21)</f>
        <v>0</v>
      </c>
      <c r="J22" s="507">
        <f>SUM(J9:J21)</f>
        <v>0</v>
      </c>
      <c r="K22" s="508"/>
      <c r="L22" s="202"/>
      <c r="R22" s="509"/>
      <c r="S22" s="509"/>
      <c r="T22" s="509"/>
      <c r="U22" s="509"/>
      <c r="V22" s="509"/>
      <c r="W22" s="509"/>
      <c r="X22" s="509"/>
      <c r="AE22" s="346" t="s">
        <v>87</v>
      </c>
      <c r="AF22" s="510">
        <v>0.15</v>
      </c>
      <c r="AG22" s="510">
        <v>0.09</v>
      </c>
      <c r="AH22" s="510">
        <v>0.09</v>
      </c>
      <c r="AI22" s="510">
        <v>0.15</v>
      </c>
      <c r="AJ22" s="510">
        <v>0.15</v>
      </c>
      <c r="AK22" s="510">
        <v>0.15</v>
      </c>
    </row>
    <row r="23" spans="1:42">
      <c r="F23" s="511"/>
      <c r="H23" s="13" t="s">
        <v>66</v>
      </c>
      <c r="I23" s="252">
        <f>SUMIF(C9:C21,"saxo",I9:I21)</f>
        <v>0</v>
      </c>
      <c r="K23" s="202"/>
      <c r="AE23" s="346" t="s">
        <v>2</v>
      </c>
      <c r="AF23" s="510">
        <v>7.0000000000000007E-2</v>
      </c>
      <c r="AG23" s="510">
        <v>7.0000000000000007E-2</v>
      </c>
      <c r="AH23" s="510">
        <v>7.0000000000000007E-2</v>
      </c>
      <c r="AI23" s="510">
        <v>7.0000000000000007E-2</v>
      </c>
      <c r="AJ23" s="510">
        <v>7.0000000000000007E-2</v>
      </c>
      <c r="AK23" s="510">
        <v>7.0000000000000007E-2</v>
      </c>
    </row>
    <row r="24" spans="1:42">
      <c r="F24" s="511"/>
      <c r="H24" s="13" t="s">
        <v>62</v>
      </c>
      <c r="I24" s="512">
        <f>SUMIF(C9:C21,"schwab",I9:I21)</f>
        <v>0</v>
      </c>
      <c r="K24" s="202"/>
      <c r="AE24" s="346" t="s">
        <v>103</v>
      </c>
      <c r="AF24" s="510">
        <v>0.09</v>
      </c>
      <c r="AG24" s="510">
        <v>0.09</v>
      </c>
      <c r="AH24" s="510">
        <v>0.09</v>
      </c>
      <c r="AI24" s="510">
        <v>0.09</v>
      </c>
      <c r="AJ24" s="510">
        <v>0.09</v>
      </c>
      <c r="AK24" s="510">
        <v>0.09</v>
      </c>
    </row>
    <row r="25" spans="1:42">
      <c r="F25" s="511"/>
      <c r="H25" s="13" t="s">
        <v>59</v>
      </c>
      <c r="I25" s="512">
        <f>SUMIF(C9:C21,"CHILE",I9:I21)</f>
        <v>0</v>
      </c>
      <c r="K25" s="513"/>
      <c r="M25" s="514"/>
      <c r="AE25" s="346" t="s">
        <v>144</v>
      </c>
      <c r="AF25" s="510">
        <v>7.0000000000000007E-2</v>
      </c>
      <c r="AG25" s="510">
        <v>7.0000000000000007E-2</v>
      </c>
      <c r="AH25" s="510">
        <v>7.0000000000000007E-2</v>
      </c>
      <c r="AI25" s="510">
        <v>7.0000000000000007E-2</v>
      </c>
      <c r="AJ25" s="510">
        <v>7.0000000000000007E-2</v>
      </c>
      <c r="AK25" s="510">
        <v>7.0000000000000007E-2</v>
      </c>
    </row>
    <row r="26" spans="1:42">
      <c r="F26" s="511"/>
      <c r="H26" s="13" t="s">
        <v>108</v>
      </c>
      <c r="I26" s="512">
        <f>SUMIF(C9:C21,"UBS",I9:I21)</f>
        <v>0</v>
      </c>
      <c r="K26" s="515"/>
      <c r="AE26" s="346" t="s">
        <v>127</v>
      </c>
      <c r="AF26" s="510">
        <v>7.0000000000000007E-2</v>
      </c>
      <c r="AG26" s="510">
        <v>7.0000000000000007E-2</v>
      </c>
      <c r="AH26" s="510">
        <v>7.0000000000000007E-2</v>
      </c>
      <c r="AI26" s="510">
        <v>7.0000000000000007E-2</v>
      </c>
      <c r="AJ26" s="510">
        <v>7.0000000000000007E-2</v>
      </c>
      <c r="AK26" s="510">
        <v>7.0000000000000007E-2</v>
      </c>
    </row>
    <row r="27" spans="1:42">
      <c r="E27" s="511"/>
      <c r="F27" s="511"/>
      <c r="H27" s="13" t="s">
        <v>36</v>
      </c>
      <c r="I27" s="512">
        <f>SUMIF(C9:C21,"SB",I9:I21)</f>
        <v>0</v>
      </c>
      <c r="K27" s="202"/>
      <c r="AE27" s="346" t="s">
        <v>147</v>
      </c>
      <c r="AF27" s="510">
        <v>0.12</v>
      </c>
      <c r="AG27" s="510">
        <v>0.15</v>
      </c>
      <c r="AH27" s="510">
        <v>0.15</v>
      </c>
      <c r="AI27" s="510">
        <v>0.12</v>
      </c>
      <c r="AJ27" s="510">
        <v>0.12</v>
      </c>
      <c r="AK27" s="510">
        <v>0.12</v>
      </c>
    </row>
    <row r="28" spans="1:42">
      <c r="A28" s="872" t="s">
        <v>42</v>
      </c>
      <c r="B28" s="871"/>
      <c r="C28" s="871"/>
      <c r="E28" s="516"/>
      <c r="F28" s="517"/>
      <c r="G28" s="517"/>
      <c r="H28" s="518"/>
      <c r="I28" s="519"/>
      <c r="J28" s="511"/>
      <c r="K28" s="520"/>
      <c r="AE28" s="346" t="s">
        <v>106</v>
      </c>
      <c r="AF28" s="521">
        <v>0.15</v>
      </c>
      <c r="AG28" s="521">
        <v>0.11</v>
      </c>
      <c r="AH28" s="521">
        <v>0.11</v>
      </c>
      <c r="AI28" s="521">
        <v>0.15</v>
      </c>
      <c r="AJ28" s="521">
        <v>0.15</v>
      </c>
      <c r="AK28" s="521">
        <v>0.15</v>
      </c>
    </row>
    <row r="29" spans="1:42">
      <c r="F29" s="517"/>
      <c r="G29" s="517"/>
      <c r="H29" s="518"/>
      <c r="I29" s="522"/>
      <c r="J29" s="511" t="s">
        <v>38</v>
      </c>
      <c r="AE29" s="521" t="s">
        <v>4</v>
      </c>
      <c r="AF29" s="521">
        <v>0.15</v>
      </c>
      <c r="AG29" s="521">
        <v>0.09</v>
      </c>
      <c r="AH29" s="521">
        <v>0.09</v>
      </c>
      <c r="AI29" s="521">
        <v>0.15</v>
      </c>
      <c r="AJ29" s="521">
        <v>0.15</v>
      </c>
      <c r="AK29" s="521">
        <v>0.15</v>
      </c>
    </row>
    <row r="30" spans="1:42">
      <c r="F30" s="517"/>
      <c r="H30" s="518"/>
      <c r="I30" s="522"/>
      <c r="J30" s="523"/>
      <c r="L30" s="517"/>
      <c r="R30" s="852" t="s">
        <v>22</v>
      </c>
      <c r="S30" s="852"/>
      <c r="T30" s="852"/>
      <c r="U30" s="852"/>
      <c r="V30" s="852"/>
      <c r="W30" s="325"/>
      <c r="Y30" s="873" t="s">
        <v>145</v>
      </c>
      <c r="Z30" s="873"/>
      <c r="AA30" s="873"/>
      <c r="AB30" s="873"/>
      <c r="AC30" s="873"/>
      <c r="AD30" s="524"/>
      <c r="AE30" s="346" t="s">
        <v>86</v>
      </c>
      <c r="AF30" s="521">
        <v>0.15</v>
      </c>
      <c r="AG30" s="521">
        <v>0.11</v>
      </c>
      <c r="AH30" s="521">
        <v>0.11</v>
      </c>
      <c r="AI30" s="521">
        <v>0.15</v>
      </c>
      <c r="AJ30" s="521">
        <v>0.15</v>
      </c>
      <c r="AK30" s="521">
        <v>0.15</v>
      </c>
      <c r="AM30" s="874" t="s">
        <v>146</v>
      </c>
      <c r="AN30" s="874"/>
      <c r="AO30" s="874"/>
      <c r="AP30" s="874"/>
    </row>
    <row r="31" spans="1:42">
      <c r="A31" s="498" t="s">
        <v>138</v>
      </c>
      <c r="B31" s="498" t="s">
        <v>35</v>
      </c>
      <c r="C31" s="498" t="s">
        <v>17</v>
      </c>
      <c r="D31" s="498" t="s">
        <v>25</v>
      </c>
      <c r="E31" s="498" t="s">
        <v>26</v>
      </c>
      <c r="F31" s="498" t="s">
        <v>18</v>
      </c>
      <c r="G31" s="498" t="s">
        <v>19</v>
      </c>
      <c r="H31" s="147" t="s">
        <v>21</v>
      </c>
      <c r="I31" s="497" t="s">
        <v>22</v>
      </c>
      <c r="J31" s="498" t="s">
        <v>27</v>
      </c>
      <c r="K31" s="498" t="s">
        <v>34</v>
      </c>
      <c r="L31" s="498" t="s">
        <v>55</v>
      </c>
      <c r="M31" s="498" t="s">
        <v>55</v>
      </c>
      <c r="N31" s="498" t="s">
        <v>124</v>
      </c>
      <c r="O31" s="498" t="s">
        <v>140</v>
      </c>
      <c r="R31" s="164" t="s">
        <v>184</v>
      </c>
      <c r="S31" s="164" t="s">
        <v>166</v>
      </c>
      <c r="T31" s="164" t="s">
        <v>165</v>
      </c>
      <c r="U31" s="164" t="s">
        <v>167</v>
      </c>
      <c r="V31" s="164" t="s">
        <v>164</v>
      </c>
      <c r="W31" s="164" t="s">
        <v>169</v>
      </c>
      <c r="Y31" s="164" t="s">
        <v>184</v>
      </c>
      <c r="Z31" s="164" t="s">
        <v>166</v>
      </c>
      <c r="AA31" s="164" t="s">
        <v>165</v>
      </c>
      <c r="AB31" s="164" t="s">
        <v>167</v>
      </c>
      <c r="AC31" s="164" t="s">
        <v>164</v>
      </c>
      <c r="AD31" s="164" t="s">
        <v>169</v>
      </c>
      <c r="AF31" s="164" t="s">
        <v>168</v>
      </c>
      <c r="AG31" s="164" t="s">
        <v>166</v>
      </c>
      <c r="AH31" s="164" t="s">
        <v>165</v>
      </c>
      <c r="AI31" s="164" t="s">
        <v>167</v>
      </c>
      <c r="AJ31" s="164" t="s">
        <v>164</v>
      </c>
      <c r="AK31" s="164" t="s">
        <v>169</v>
      </c>
      <c r="AM31" s="164" t="s">
        <v>1</v>
      </c>
      <c r="AN31" s="164" t="s">
        <v>108</v>
      </c>
      <c r="AO31" s="164" t="s">
        <v>36</v>
      </c>
      <c r="AP31" s="164" t="s">
        <v>66</v>
      </c>
    </row>
    <row r="32" spans="1:42">
      <c r="A32" s="525"/>
      <c r="B32" s="20"/>
      <c r="C32" s="526"/>
      <c r="D32" s="20" t="s">
        <v>106</v>
      </c>
      <c r="E32" s="20"/>
      <c r="F32" s="186"/>
      <c r="G32" s="167"/>
      <c r="H32" s="150">
        <f>'ppal B'!F2</f>
        <v>898.375</v>
      </c>
      <c r="I32" s="348">
        <f>+((F32*(H32-G32)))/H32</f>
        <v>0</v>
      </c>
      <c r="J32" s="39" t="str">
        <f>IF(G32="","",(H32-G32)/G32)</f>
        <v/>
      </c>
      <c r="K32" s="527">
        <f>ABS(F32)</f>
        <v>0</v>
      </c>
      <c r="L32" s="168"/>
      <c r="M32" s="168" t="str">
        <f ca="1">IF(N32="","",N32-TODAY())</f>
        <v/>
      </c>
      <c r="N32" s="503"/>
      <c r="O32" s="503"/>
      <c r="R32" s="43">
        <f t="shared" ref="R32:R56" si="0">IF($B32="DB-KIF",$I32,0)</f>
        <v>0</v>
      </c>
      <c r="S32" s="43">
        <f t="shared" ref="S32:S56" si="1">IF($B32="UBS-MON",$I32,0)</f>
        <v>0</v>
      </c>
      <c r="T32" s="43">
        <f t="shared" ref="T32:T56" si="2">IF($B32="UBS-KIF",$I32,0)</f>
        <v>0</v>
      </c>
      <c r="U32" s="43">
        <f t="shared" ref="U32:U56" si="3">IF($B32="SAXO-MON",$I32,0)</f>
        <v>0</v>
      </c>
      <c r="V32" s="43">
        <f t="shared" ref="V32:V56" si="4">IF($B32="SAXO-KIF",$I32,0)</f>
        <v>0</v>
      </c>
      <c r="W32" s="43">
        <f t="shared" ref="W32:W56" si="5">IF($B32="chile",$I32,0)</f>
        <v>0</v>
      </c>
      <c r="Y32" s="43">
        <f t="shared" ref="Y32:AD49" si="6">IF(R32&lt;&gt;0,$F32,0)</f>
        <v>0</v>
      </c>
      <c r="Z32" s="43">
        <f t="shared" si="6"/>
        <v>0</v>
      </c>
      <c r="AA32" s="43">
        <f t="shared" si="6"/>
        <v>0</v>
      </c>
      <c r="AB32" s="43">
        <f t="shared" si="6"/>
        <v>0</v>
      </c>
      <c r="AC32" s="43">
        <f t="shared" si="6"/>
        <v>0</v>
      </c>
      <c r="AD32" s="43">
        <f t="shared" si="6"/>
        <v>0</v>
      </c>
      <c r="AF32" s="43">
        <f t="shared" ref="AF32:AF56" si="7">+$AF$28*Y32</f>
        <v>0</v>
      </c>
      <c r="AG32" s="43">
        <f t="shared" ref="AG32:AG56" si="8">+$AG$28*Z32</f>
        <v>0</v>
      </c>
      <c r="AH32" s="43">
        <f t="shared" ref="AH32:AH56" si="9">+$AH$28*AA32</f>
        <v>0</v>
      </c>
      <c r="AI32" s="43">
        <f t="shared" ref="AI32:AI56" si="10">+$AI$28*AB32</f>
        <v>0</v>
      </c>
      <c r="AJ32" s="43">
        <f t="shared" ref="AJ32:AJ56" si="11">+$AJ$28*AC32</f>
        <v>0</v>
      </c>
      <c r="AK32" s="43">
        <f t="shared" ref="AK32:AK56" si="12">+$AK$28*AD32</f>
        <v>0</v>
      </c>
      <c r="AM32" s="517">
        <f t="shared" ref="AM32:AP49" si="13">+AF32-R32</f>
        <v>0</v>
      </c>
      <c r="AN32" s="517">
        <f t="shared" si="13"/>
        <v>0</v>
      </c>
      <c r="AO32" s="517">
        <f t="shared" si="13"/>
        <v>0</v>
      </c>
      <c r="AP32" s="517">
        <f t="shared" si="13"/>
        <v>0</v>
      </c>
    </row>
    <row r="33" spans="1:42">
      <c r="A33" s="525"/>
      <c r="B33" s="20"/>
      <c r="C33" s="526"/>
      <c r="D33" s="20" t="s">
        <v>106</v>
      </c>
      <c r="E33" s="20"/>
      <c r="F33" s="186"/>
      <c r="G33" s="167"/>
      <c r="H33" s="150">
        <f t="shared" ref="H33:H55" si="14">+H32</f>
        <v>898.375</v>
      </c>
      <c r="I33" s="348">
        <f t="shared" ref="I33:I48" si="15">+((F33*(H33-G33)))/H33</f>
        <v>0</v>
      </c>
      <c r="J33" s="39" t="str">
        <f t="shared" ref="J33:J56" si="16">IF(G33="","",(H33-G33)/G33)</f>
        <v/>
      </c>
      <c r="K33" s="527">
        <f t="shared" ref="K33:K48" si="17">ABS(F33)</f>
        <v>0</v>
      </c>
      <c r="L33" s="168"/>
      <c r="M33" s="168" t="str">
        <f t="shared" ref="M33:M56" ca="1" si="18">IF(N33="","",N33-TODAY())</f>
        <v/>
      </c>
      <c r="N33" s="503"/>
      <c r="O33" s="503"/>
      <c r="R33" s="43">
        <f t="shared" si="0"/>
        <v>0</v>
      </c>
      <c r="S33" s="43">
        <f t="shared" si="1"/>
        <v>0</v>
      </c>
      <c r="T33" s="43">
        <f t="shared" si="2"/>
        <v>0</v>
      </c>
      <c r="U33" s="43">
        <f t="shared" si="3"/>
        <v>0</v>
      </c>
      <c r="V33" s="43">
        <f t="shared" si="4"/>
        <v>0</v>
      </c>
      <c r="W33" s="43">
        <f t="shared" si="5"/>
        <v>0</v>
      </c>
      <c r="Y33" s="43">
        <f t="shared" si="6"/>
        <v>0</v>
      </c>
      <c r="Z33" s="43">
        <f t="shared" si="6"/>
        <v>0</v>
      </c>
      <c r="AA33" s="43">
        <f t="shared" si="6"/>
        <v>0</v>
      </c>
      <c r="AB33" s="43">
        <f t="shared" si="6"/>
        <v>0</v>
      </c>
      <c r="AC33" s="43">
        <f t="shared" si="6"/>
        <v>0</v>
      </c>
      <c r="AD33" s="43">
        <f t="shared" si="6"/>
        <v>0</v>
      </c>
      <c r="AF33" s="43">
        <f t="shared" si="7"/>
        <v>0</v>
      </c>
      <c r="AG33" s="43">
        <f t="shared" si="8"/>
        <v>0</v>
      </c>
      <c r="AH33" s="43">
        <f t="shared" si="9"/>
        <v>0</v>
      </c>
      <c r="AI33" s="43">
        <f t="shared" si="10"/>
        <v>0</v>
      </c>
      <c r="AJ33" s="43">
        <f t="shared" si="11"/>
        <v>0</v>
      </c>
      <c r="AK33" s="43">
        <f t="shared" si="12"/>
        <v>0</v>
      </c>
      <c r="AM33" s="517">
        <f t="shared" si="13"/>
        <v>0</v>
      </c>
      <c r="AN33" s="517">
        <f t="shared" si="13"/>
        <v>0</v>
      </c>
      <c r="AO33" s="517">
        <f t="shared" si="13"/>
        <v>0</v>
      </c>
      <c r="AP33" s="517">
        <f t="shared" si="13"/>
        <v>0</v>
      </c>
    </row>
    <row r="34" spans="1:42">
      <c r="A34" s="525"/>
      <c r="B34" s="20"/>
      <c r="C34" s="526"/>
      <c r="D34" s="20" t="s">
        <v>106</v>
      </c>
      <c r="E34" s="20"/>
      <c r="F34" s="186"/>
      <c r="G34" s="167"/>
      <c r="H34" s="150">
        <f t="shared" si="14"/>
        <v>898.375</v>
      </c>
      <c r="I34" s="348">
        <f t="shared" si="15"/>
        <v>0</v>
      </c>
      <c r="J34" s="39" t="str">
        <f t="shared" si="16"/>
        <v/>
      </c>
      <c r="K34" s="527">
        <f t="shared" si="17"/>
        <v>0</v>
      </c>
      <c r="L34" s="168"/>
      <c r="M34" s="168" t="str">
        <f t="shared" ca="1" si="18"/>
        <v/>
      </c>
      <c r="N34" s="503"/>
      <c r="O34" s="503"/>
      <c r="R34" s="43">
        <f t="shared" si="0"/>
        <v>0</v>
      </c>
      <c r="S34" s="43">
        <f t="shared" si="1"/>
        <v>0</v>
      </c>
      <c r="T34" s="43">
        <f t="shared" si="2"/>
        <v>0</v>
      </c>
      <c r="U34" s="43">
        <f t="shared" si="3"/>
        <v>0</v>
      </c>
      <c r="V34" s="43">
        <f t="shared" si="4"/>
        <v>0</v>
      </c>
      <c r="W34" s="43">
        <f t="shared" si="5"/>
        <v>0</v>
      </c>
      <c r="Y34" s="43">
        <f t="shared" si="6"/>
        <v>0</v>
      </c>
      <c r="Z34" s="43">
        <f t="shared" si="6"/>
        <v>0</v>
      </c>
      <c r="AA34" s="43">
        <f t="shared" si="6"/>
        <v>0</v>
      </c>
      <c r="AB34" s="43">
        <f t="shared" si="6"/>
        <v>0</v>
      </c>
      <c r="AC34" s="43">
        <f t="shared" si="6"/>
        <v>0</v>
      </c>
      <c r="AD34" s="43">
        <f t="shared" si="6"/>
        <v>0</v>
      </c>
      <c r="AF34" s="43">
        <f t="shared" si="7"/>
        <v>0</v>
      </c>
      <c r="AG34" s="43">
        <f t="shared" si="8"/>
        <v>0</v>
      </c>
      <c r="AH34" s="43">
        <f t="shared" si="9"/>
        <v>0</v>
      </c>
      <c r="AI34" s="43">
        <f t="shared" si="10"/>
        <v>0</v>
      </c>
      <c r="AJ34" s="43">
        <f t="shared" si="11"/>
        <v>0</v>
      </c>
      <c r="AK34" s="43">
        <f t="shared" si="12"/>
        <v>0</v>
      </c>
      <c r="AM34" s="517">
        <f t="shared" si="13"/>
        <v>0</v>
      </c>
      <c r="AN34" s="517">
        <f t="shared" si="13"/>
        <v>0</v>
      </c>
      <c r="AO34" s="517">
        <f t="shared" si="13"/>
        <v>0</v>
      </c>
      <c r="AP34" s="517">
        <f t="shared" si="13"/>
        <v>0</v>
      </c>
    </row>
    <row r="35" spans="1:42">
      <c r="A35" s="525"/>
      <c r="B35" s="20"/>
      <c r="C35" s="526"/>
      <c r="D35" s="20" t="s">
        <v>106</v>
      </c>
      <c r="E35" s="20"/>
      <c r="F35" s="186"/>
      <c r="G35" s="167"/>
      <c r="H35" s="150">
        <f t="shared" si="14"/>
        <v>898.375</v>
      </c>
      <c r="I35" s="348">
        <f t="shared" si="15"/>
        <v>0</v>
      </c>
      <c r="J35" s="39" t="str">
        <f t="shared" si="16"/>
        <v/>
      </c>
      <c r="K35" s="527">
        <f t="shared" si="17"/>
        <v>0</v>
      </c>
      <c r="L35" s="168"/>
      <c r="M35" s="168" t="str">
        <f t="shared" ca="1" si="18"/>
        <v/>
      </c>
      <c r="N35" s="503"/>
      <c r="O35" s="503"/>
      <c r="R35" s="43">
        <f t="shared" si="0"/>
        <v>0</v>
      </c>
      <c r="S35" s="43">
        <f t="shared" si="1"/>
        <v>0</v>
      </c>
      <c r="T35" s="43">
        <f t="shared" si="2"/>
        <v>0</v>
      </c>
      <c r="U35" s="43">
        <f t="shared" si="3"/>
        <v>0</v>
      </c>
      <c r="V35" s="43">
        <f t="shared" si="4"/>
        <v>0</v>
      </c>
      <c r="W35" s="43">
        <f t="shared" si="5"/>
        <v>0</v>
      </c>
      <c r="Y35" s="43">
        <f t="shared" si="6"/>
        <v>0</v>
      </c>
      <c r="Z35" s="43">
        <f t="shared" si="6"/>
        <v>0</v>
      </c>
      <c r="AA35" s="43">
        <f t="shared" si="6"/>
        <v>0</v>
      </c>
      <c r="AB35" s="43">
        <f t="shared" si="6"/>
        <v>0</v>
      </c>
      <c r="AC35" s="43">
        <f t="shared" si="6"/>
        <v>0</v>
      </c>
      <c r="AD35" s="43">
        <f t="shared" si="6"/>
        <v>0</v>
      </c>
      <c r="AF35" s="43">
        <f t="shared" si="7"/>
        <v>0</v>
      </c>
      <c r="AG35" s="43">
        <f t="shared" si="8"/>
        <v>0</v>
      </c>
      <c r="AH35" s="43">
        <f t="shared" si="9"/>
        <v>0</v>
      </c>
      <c r="AI35" s="43">
        <f t="shared" si="10"/>
        <v>0</v>
      </c>
      <c r="AJ35" s="43">
        <f t="shared" si="11"/>
        <v>0</v>
      </c>
      <c r="AK35" s="43">
        <f t="shared" si="12"/>
        <v>0</v>
      </c>
      <c r="AM35" s="517">
        <f t="shared" si="13"/>
        <v>0</v>
      </c>
      <c r="AN35" s="517">
        <f t="shared" si="13"/>
        <v>0</v>
      </c>
      <c r="AO35" s="517">
        <f t="shared" si="13"/>
        <v>0</v>
      </c>
      <c r="AP35" s="517">
        <f t="shared" si="13"/>
        <v>0</v>
      </c>
    </row>
    <row r="36" spans="1:42">
      <c r="A36" s="525"/>
      <c r="B36" s="20"/>
      <c r="C36" s="526"/>
      <c r="D36" s="20" t="s">
        <v>106</v>
      </c>
      <c r="E36" s="20"/>
      <c r="F36" s="186"/>
      <c r="G36" s="167"/>
      <c r="H36" s="150">
        <f t="shared" si="14"/>
        <v>898.375</v>
      </c>
      <c r="I36" s="348">
        <f t="shared" si="15"/>
        <v>0</v>
      </c>
      <c r="J36" s="39" t="str">
        <f t="shared" si="16"/>
        <v/>
      </c>
      <c r="K36" s="527">
        <f t="shared" si="17"/>
        <v>0</v>
      </c>
      <c r="L36" s="168"/>
      <c r="M36" s="168" t="str">
        <f ca="1">IF(N36="","",N36-TODAY())</f>
        <v/>
      </c>
      <c r="N36" s="503"/>
      <c r="O36" s="503"/>
      <c r="R36" s="43">
        <f t="shared" si="0"/>
        <v>0</v>
      </c>
      <c r="S36" s="43">
        <f t="shared" si="1"/>
        <v>0</v>
      </c>
      <c r="T36" s="43">
        <f t="shared" si="2"/>
        <v>0</v>
      </c>
      <c r="U36" s="43">
        <f t="shared" si="3"/>
        <v>0</v>
      </c>
      <c r="V36" s="43">
        <f t="shared" si="4"/>
        <v>0</v>
      </c>
      <c r="W36" s="43">
        <f t="shared" si="5"/>
        <v>0</v>
      </c>
      <c r="Y36" s="43">
        <f t="shared" si="6"/>
        <v>0</v>
      </c>
      <c r="Z36" s="43">
        <f t="shared" si="6"/>
        <v>0</v>
      </c>
      <c r="AA36" s="43">
        <f t="shared" si="6"/>
        <v>0</v>
      </c>
      <c r="AB36" s="43">
        <f t="shared" si="6"/>
        <v>0</v>
      </c>
      <c r="AC36" s="43">
        <f t="shared" si="6"/>
        <v>0</v>
      </c>
      <c r="AD36" s="43">
        <f t="shared" si="6"/>
        <v>0</v>
      </c>
      <c r="AF36" s="43">
        <f t="shared" si="7"/>
        <v>0</v>
      </c>
      <c r="AG36" s="43">
        <f t="shared" si="8"/>
        <v>0</v>
      </c>
      <c r="AH36" s="43">
        <f t="shared" si="9"/>
        <v>0</v>
      </c>
      <c r="AI36" s="43">
        <f t="shared" si="10"/>
        <v>0</v>
      </c>
      <c r="AJ36" s="43">
        <f t="shared" si="11"/>
        <v>0</v>
      </c>
      <c r="AK36" s="43">
        <f t="shared" si="12"/>
        <v>0</v>
      </c>
      <c r="AM36" s="517">
        <f t="shared" si="13"/>
        <v>0</v>
      </c>
      <c r="AN36" s="517">
        <f t="shared" si="13"/>
        <v>0</v>
      </c>
      <c r="AO36" s="517">
        <f t="shared" si="13"/>
        <v>0</v>
      </c>
      <c r="AP36" s="517">
        <f t="shared" si="13"/>
        <v>0</v>
      </c>
    </row>
    <row r="37" spans="1:42">
      <c r="A37" s="525"/>
      <c r="B37" s="20"/>
      <c r="C37" s="526"/>
      <c r="D37" s="20" t="s">
        <v>106</v>
      </c>
      <c r="E37" s="20"/>
      <c r="F37" s="186"/>
      <c r="G37" s="167"/>
      <c r="H37" s="150">
        <f t="shared" si="14"/>
        <v>898.375</v>
      </c>
      <c r="I37" s="348">
        <f t="shared" si="15"/>
        <v>0</v>
      </c>
      <c r="J37" s="39" t="str">
        <f t="shared" si="16"/>
        <v/>
      </c>
      <c r="K37" s="527">
        <f t="shared" si="17"/>
        <v>0</v>
      </c>
      <c r="L37" s="168"/>
      <c r="M37" s="168" t="str">
        <f ca="1">IF(N37="","",N37-TODAY())</f>
        <v/>
      </c>
      <c r="N37" s="503"/>
      <c r="O37" s="503"/>
      <c r="R37" s="43">
        <f t="shared" si="0"/>
        <v>0</v>
      </c>
      <c r="S37" s="43">
        <f t="shared" si="1"/>
        <v>0</v>
      </c>
      <c r="T37" s="43">
        <f t="shared" si="2"/>
        <v>0</v>
      </c>
      <c r="U37" s="43">
        <f t="shared" si="3"/>
        <v>0</v>
      </c>
      <c r="V37" s="43">
        <f t="shared" si="4"/>
        <v>0</v>
      </c>
      <c r="W37" s="43">
        <f t="shared" si="5"/>
        <v>0</v>
      </c>
      <c r="Y37" s="43">
        <f t="shared" si="6"/>
        <v>0</v>
      </c>
      <c r="Z37" s="43">
        <f t="shared" si="6"/>
        <v>0</v>
      </c>
      <c r="AA37" s="43">
        <f t="shared" si="6"/>
        <v>0</v>
      </c>
      <c r="AB37" s="43">
        <f t="shared" si="6"/>
        <v>0</v>
      </c>
      <c r="AC37" s="43">
        <f t="shared" si="6"/>
        <v>0</v>
      </c>
      <c r="AD37" s="43">
        <f t="shared" si="6"/>
        <v>0</v>
      </c>
      <c r="AF37" s="43">
        <f t="shared" si="7"/>
        <v>0</v>
      </c>
      <c r="AG37" s="43">
        <f t="shared" si="8"/>
        <v>0</v>
      </c>
      <c r="AH37" s="43">
        <f t="shared" si="9"/>
        <v>0</v>
      </c>
      <c r="AI37" s="43">
        <f t="shared" si="10"/>
        <v>0</v>
      </c>
      <c r="AJ37" s="43">
        <f t="shared" si="11"/>
        <v>0</v>
      </c>
      <c r="AK37" s="43">
        <f t="shared" si="12"/>
        <v>0</v>
      </c>
      <c r="AM37" s="517">
        <f t="shared" si="13"/>
        <v>0</v>
      </c>
      <c r="AN37" s="517">
        <f t="shared" si="13"/>
        <v>0</v>
      </c>
      <c r="AO37" s="517">
        <f t="shared" si="13"/>
        <v>0</v>
      </c>
      <c r="AP37" s="517">
        <f t="shared" si="13"/>
        <v>0</v>
      </c>
    </row>
    <row r="38" spans="1:42">
      <c r="A38" s="525"/>
      <c r="B38" s="20"/>
      <c r="C38" s="526"/>
      <c r="D38" s="20" t="s">
        <v>106</v>
      </c>
      <c r="E38" s="20"/>
      <c r="F38" s="186"/>
      <c r="G38" s="167"/>
      <c r="H38" s="150">
        <f t="shared" si="14"/>
        <v>898.375</v>
      </c>
      <c r="I38" s="348">
        <f>+((F38*(H38-G38)))/H38</f>
        <v>0</v>
      </c>
      <c r="J38" s="39" t="str">
        <f>IF(G38="","",(H38-G38)/G38)</f>
        <v/>
      </c>
      <c r="K38" s="527">
        <f>ABS(F38)</f>
        <v>0</v>
      </c>
      <c r="L38" s="168"/>
      <c r="M38" s="168" t="str">
        <f t="shared" ca="1" si="18"/>
        <v/>
      </c>
      <c r="N38" s="503"/>
      <c r="O38" s="503"/>
      <c r="R38" s="43">
        <f t="shared" si="0"/>
        <v>0</v>
      </c>
      <c r="S38" s="43">
        <f t="shared" si="1"/>
        <v>0</v>
      </c>
      <c r="T38" s="43">
        <f t="shared" si="2"/>
        <v>0</v>
      </c>
      <c r="U38" s="43">
        <f t="shared" si="3"/>
        <v>0</v>
      </c>
      <c r="V38" s="43">
        <f t="shared" si="4"/>
        <v>0</v>
      </c>
      <c r="W38" s="43">
        <f t="shared" si="5"/>
        <v>0</v>
      </c>
      <c r="Y38" s="43">
        <f t="shared" si="6"/>
        <v>0</v>
      </c>
      <c r="Z38" s="43">
        <f t="shared" si="6"/>
        <v>0</v>
      </c>
      <c r="AA38" s="43">
        <f t="shared" si="6"/>
        <v>0</v>
      </c>
      <c r="AB38" s="43">
        <f t="shared" si="6"/>
        <v>0</v>
      </c>
      <c r="AC38" s="43">
        <f t="shared" si="6"/>
        <v>0</v>
      </c>
      <c r="AD38" s="43">
        <f t="shared" si="6"/>
        <v>0</v>
      </c>
      <c r="AF38" s="43">
        <f>+$AF$28*Y38</f>
        <v>0</v>
      </c>
      <c r="AG38" s="43">
        <f>+$AG$28*Z38</f>
        <v>0</v>
      </c>
      <c r="AH38" s="43">
        <f>+$AH$28*AA38</f>
        <v>0</v>
      </c>
      <c r="AI38" s="43">
        <f>+$AI$28*AB38</f>
        <v>0</v>
      </c>
      <c r="AJ38" s="43">
        <f>+$AJ$28*AC38</f>
        <v>0</v>
      </c>
      <c r="AK38" s="43">
        <f>+$AK$28*AD38</f>
        <v>0</v>
      </c>
      <c r="AM38" s="517">
        <f>+AF38-R38</f>
        <v>0</v>
      </c>
      <c r="AN38" s="517">
        <f>+AG38-S38</f>
        <v>0</v>
      </c>
      <c r="AO38" s="517">
        <f>+AH38-T38</f>
        <v>0</v>
      </c>
      <c r="AP38" s="517">
        <f>+AI38-U38</f>
        <v>0</v>
      </c>
    </row>
    <row r="39" spans="1:42">
      <c r="A39" s="525"/>
      <c r="B39" s="20"/>
      <c r="C39" s="526"/>
      <c r="D39" s="20" t="s">
        <v>106</v>
      </c>
      <c r="E39" s="20"/>
      <c r="F39" s="186"/>
      <c r="G39" s="167"/>
      <c r="H39" s="150">
        <f t="shared" si="14"/>
        <v>898.375</v>
      </c>
      <c r="I39" s="348">
        <f t="shared" si="15"/>
        <v>0</v>
      </c>
      <c r="J39" s="39" t="str">
        <f t="shared" si="16"/>
        <v/>
      </c>
      <c r="K39" s="527">
        <f t="shared" si="17"/>
        <v>0</v>
      </c>
      <c r="L39" s="168"/>
      <c r="M39" s="168" t="str">
        <f t="shared" ca="1" si="18"/>
        <v/>
      </c>
      <c r="N39" s="503"/>
      <c r="O39" s="503"/>
      <c r="R39" s="43">
        <f t="shared" si="0"/>
        <v>0</v>
      </c>
      <c r="S39" s="43">
        <f t="shared" si="1"/>
        <v>0</v>
      </c>
      <c r="T39" s="43">
        <f t="shared" si="2"/>
        <v>0</v>
      </c>
      <c r="U39" s="43">
        <f t="shared" si="3"/>
        <v>0</v>
      </c>
      <c r="V39" s="43">
        <f t="shared" si="4"/>
        <v>0</v>
      </c>
      <c r="W39" s="43">
        <f t="shared" si="5"/>
        <v>0</v>
      </c>
      <c r="Y39" s="43">
        <f t="shared" si="6"/>
        <v>0</v>
      </c>
      <c r="Z39" s="43">
        <f t="shared" si="6"/>
        <v>0</v>
      </c>
      <c r="AA39" s="43">
        <f t="shared" si="6"/>
        <v>0</v>
      </c>
      <c r="AB39" s="43">
        <f t="shared" si="6"/>
        <v>0</v>
      </c>
      <c r="AC39" s="43">
        <f t="shared" si="6"/>
        <v>0</v>
      </c>
      <c r="AD39" s="43">
        <f t="shared" si="6"/>
        <v>0</v>
      </c>
      <c r="AF39" s="43">
        <f t="shared" si="7"/>
        <v>0</v>
      </c>
      <c r="AG39" s="43">
        <f t="shared" si="8"/>
        <v>0</v>
      </c>
      <c r="AH39" s="43">
        <f t="shared" si="9"/>
        <v>0</v>
      </c>
      <c r="AI39" s="43">
        <f t="shared" si="10"/>
        <v>0</v>
      </c>
      <c r="AJ39" s="43">
        <f t="shared" si="11"/>
        <v>0</v>
      </c>
      <c r="AK39" s="43">
        <f t="shared" si="12"/>
        <v>0</v>
      </c>
      <c r="AM39" s="517">
        <f t="shared" si="13"/>
        <v>0</v>
      </c>
      <c r="AN39" s="517">
        <f t="shared" si="13"/>
        <v>0</v>
      </c>
      <c r="AO39" s="517">
        <f t="shared" si="13"/>
        <v>0</v>
      </c>
      <c r="AP39" s="517">
        <f t="shared" si="13"/>
        <v>0</v>
      </c>
    </row>
    <row r="40" spans="1:42">
      <c r="A40" s="525"/>
      <c r="B40" s="20"/>
      <c r="C40" s="526"/>
      <c r="D40" s="20" t="s">
        <v>106</v>
      </c>
      <c r="E40" s="20"/>
      <c r="F40" s="186"/>
      <c r="G40" s="167"/>
      <c r="H40" s="150">
        <f t="shared" si="14"/>
        <v>898.375</v>
      </c>
      <c r="I40" s="348">
        <f t="shared" si="15"/>
        <v>0</v>
      </c>
      <c r="J40" s="39" t="str">
        <f t="shared" si="16"/>
        <v/>
      </c>
      <c r="K40" s="527">
        <f t="shared" si="17"/>
        <v>0</v>
      </c>
      <c r="L40" s="168"/>
      <c r="M40" s="168" t="str">
        <f t="shared" ca="1" si="18"/>
        <v/>
      </c>
      <c r="N40" s="503"/>
      <c r="O40" s="503"/>
      <c r="R40" s="43">
        <f t="shared" si="0"/>
        <v>0</v>
      </c>
      <c r="S40" s="43">
        <f t="shared" si="1"/>
        <v>0</v>
      </c>
      <c r="T40" s="43">
        <f t="shared" si="2"/>
        <v>0</v>
      </c>
      <c r="U40" s="43">
        <f t="shared" si="3"/>
        <v>0</v>
      </c>
      <c r="V40" s="43">
        <f t="shared" si="4"/>
        <v>0</v>
      </c>
      <c r="W40" s="43">
        <f t="shared" si="5"/>
        <v>0</v>
      </c>
      <c r="Y40" s="43">
        <f t="shared" si="6"/>
        <v>0</v>
      </c>
      <c r="Z40" s="43">
        <f t="shared" si="6"/>
        <v>0</v>
      </c>
      <c r="AA40" s="43">
        <f t="shared" si="6"/>
        <v>0</v>
      </c>
      <c r="AB40" s="43">
        <f t="shared" si="6"/>
        <v>0</v>
      </c>
      <c r="AC40" s="43">
        <f t="shared" si="6"/>
        <v>0</v>
      </c>
      <c r="AD40" s="43">
        <f t="shared" si="6"/>
        <v>0</v>
      </c>
      <c r="AF40" s="43">
        <f>+$AF$28*Y40</f>
        <v>0</v>
      </c>
      <c r="AG40" s="43">
        <f>+$AG$28*Z40</f>
        <v>0</v>
      </c>
      <c r="AH40" s="43">
        <f>+$AH$28*AA40</f>
        <v>0</v>
      </c>
      <c r="AI40" s="43">
        <f>+$AI$28*AB40</f>
        <v>0</v>
      </c>
      <c r="AJ40" s="43">
        <f>+$AJ$28*AC40</f>
        <v>0</v>
      </c>
      <c r="AK40" s="43">
        <f>+$AK$28*AD40</f>
        <v>0</v>
      </c>
      <c r="AM40" s="517">
        <f t="shared" si="13"/>
        <v>0</v>
      </c>
      <c r="AN40" s="517">
        <f t="shared" si="13"/>
        <v>0</v>
      </c>
      <c r="AO40" s="517">
        <f t="shared" si="13"/>
        <v>0</v>
      </c>
      <c r="AP40" s="517">
        <f t="shared" si="13"/>
        <v>0</v>
      </c>
    </row>
    <row r="41" spans="1:42">
      <c r="A41" s="525"/>
      <c r="B41" s="20"/>
      <c r="C41" s="526"/>
      <c r="D41" s="20" t="s">
        <v>106</v>
      </c>
      <c r="E41" s="20"/>
      <c r="F41" s="186"/>
      <c r="G41" s="167"/>
      <c r="H41" s="150">
        <f t="shared" si="14"/>
        <v>898.375</v>
      </c>
      <c r="I41" s="348">
        <f t="shared" si="15"/>
        <v>0</v>
      </c>
      <c r="J41" s="39" t="str">
        <f t="shared" si="16"/>
        <v/>
      </c>
      <c r="K41" s="527">
        <f t="shared" si="17"/>
        <v>0</v>
      </c>
      <c r="L41" s="168"/>
      <c r="M41" s="168" t="str">
        <f ca="1">IF(N41="","",N41-TODAY())</f>
        <v/>
      </c>
      <c r="N41" s="503"/>
      <c r="O41" s="503"/>
      <c r="R41" s="43">
        <f t="shared" si="0"/>
        <v>0</v>
      </c>
      <c r="S41" s="43">
        <f t="shared" si="1"/>
        <v>0</v>
      </c>
      <c r="T41" s="43">
        <f t="shared" si="2"/>
        <v>0</v>
      </c>
      <c r="U41" s="43">
        <f t="shared" si="3"/>
        <v>0</v>
      </c>
      <c r="V41" s="43">
        <f t="shared" si="4"/>
        <v>0</v>
      </c>
      <c r="W41" s="43">
        <f t="shared" si="5"/>
        <v>0</v>
      </c>
      <c r="Y41" s="43">
        <f t="shared" si="6"/>
        <v>0</v>
      </c>
      <c r="Z41" s="43">
        <f t="shared" si="6"/>
        <v>0</v>
      </c>
      <c r="AA41" s="43">
        <f t="shared" si="6"/>
        <v>0</v>
      </c>
      <c r="AB41" s="43">
        <f t="shared" si="6"/>
        <v>0</v>
      </c>
      <c r="AC41" s="43">
        <f t="shared" si="6"/>
        <v>0</v>
      </c>
      <c r="AD41" s="43">
        <f t="shared" si="6"/>
        <v>0</v>
      </c>
      <c r="AF41" s="43">
        <f>+$AF$28*Y41</f>
        <v>0</v>
      </c>
      <c r="AG41" s="43">
        <f>+$AG$28*Z41</f>
        <v>0</v>
      </c>
      <c r="AH41" s="43">
        <f>+$AH$28*AA41</f>
        <v>0</v>
      </c>
      <c r="AI41" s="43">
        <f>+$AI$28*AB41</f>
        <v>0</v>
      </c>
      <c r="AJ41" s="43">
        <f>+$AJ$28*AC41</f>
        <v>0</v>
      </c>
      <c r="AK41" s="43">
        <f>+$AK$28*AD41</f>
        <v>0</v>
      </c>
      <c r="AM41" s="517">
        <f t="shared" si="13"/>
        <v>0</v>
      </c>
      <c r="AN41" s="517">
        <f t="shared" si="13"/>
        <v>0</v>
      </c>
      <c r="AO41" s="517">
        <f t="shared" si="13"/>
        <v>0</v>
      </c>
      <c r="AP41" s="517">
        <f t="shared" si="13"/>
        <v>0</v>
      </c>
    </row>
    <row r="42" spans="1:42">
      <c r="A42" s="525"/>
      <c r="B42" s="20"/>
      <c r="C42" s="526"/>
      <c r="D42" s="20" t="s">
        <v>106</v>
      </c>
      <c r="E42" s="20"/>
      <c r="F42" s="186"/>
      <c r="G42" s="167"/>
      <c r="H42" s="150">
        <f t="shared" si="14"/>
        <v>898.375</v>
      </c>
      <c r="I42" s="348">
        <f t="shared" si="15"/>
        <v>0</v>
      </c>
      <c r="J42" s="39" t="str">
        <f t="shared" si="16"/>
        <v/>
      </c>
      <c r="K42" s="527">
        <f t="shared" si="17"/>
        <v>0</v>
      </c>
      <c r="L42" s="168"/>
      <c r="M42" s="168" t="str">
        <f ca="1">IF(N42="","",N42-TODAY())</f>
        <v/>
      </c>
      <c r="N42" s="503"/>
      <c r="O42" s="503"/>
      <c r="R42" s="43">
        <f t="shared" si="0"/>
        <v>0</v>
      </c>
      <c r="S42" s="43">
        <f t="shared" si="1"/>
        <v>0</v>
      </c>
      <c r="T42" s="43">
        <f t="shared" si="2"/>
        <v>0</v>
      </c>
      <c r="U42" s="43">
        <f t="shared" si="3"/>
        <v>0</v>
      </c>
      <c r="V42" s="43">
        <f t="shared" si="4"/>
        <v>0</v>
      </c>
      <c r="W42" s="43">
        <f t="shared" si="5"/>
        <v>0</v>
      </c>
      <c r="Y42" s="43">
        <f t="shared" si="6"/>
        <v>0</v>
      </c>
      <c r="Z42" s="43">
        <f t="shared" si="6"/>
        <v>0</v>
      </c>
      <c r="AA42" s="43">
        <f t="shared" si="6"/>
        <v>0</v>
      </c>
      <c r="AB42" s="43">
        <f t="shared" si="6"/>
        <v>0</v>
      </c>
      <c r="AC42" s="43">
        <f t="shared" si="6"/>
        <v>0</v>
      </c>
      <c r="AD42" s="43">
        <f t="shared" si="6"/>
        <v>0</v>
      </c>
      <c r="AF42" s="43">
        <f>+$AF$28*Y42</f>
        <v>0</v>
      </c>
      <c r="AG42" s="43">
        <f>+$AG$28*Z42</f>
        <v>0</v>
      </c>
      <c r="AH42" s="43">
        <f>+$AH$28*AA42</f>
        <v>0</v>
      </c>
      <c r="AI42" s="43">
        <f>+$AI$28*AB42</f>
        <v>0</v>
      </c>
      <c r="AJ42" s="43">
        <f>+$AJ$28*AC42</f>
        <v>0</v>
      </c>
      <c r="AK42" s="43">
        <f>+$AK$28*AD42</f>
        <v>0</v>
      </c>
      <c r="AM42" s="517">
        <f t="shared" si="13"/>
        <v>0</v>
      </c>
      <c r="AN42" s="517">
        <f t="shared" si="13"/>
        <v>0</v>
      </c>
      <c r="AO42" s="517">
        <f t="shared" si="13"/>
        <v>0</v>
      </c>
      <c r="AP42" s="517">
        <f t="shared" si="13"/>
        <v>0</v>
      </c>
    </row>
    <row r="43" spans="1:42">
      <c r="A43" s="525"/>
      <c r="B43" s="20"/>
      <c r="C43" s="526"/>
      <c r="D43" s="20" t="s">
        <v>106</v>
      </c>
      <c r="E43" s="20"/>
      <c r="F43" s="186"/>
      <c r="G43" s="167"/>
      <c r="H43" s="150">
        <f t="shared" si="14"/>
        <v>898.375</v>
      </c>
      <c r="I43" s="348">
        <f t="shared" si="15"/>
        <v>0</v>
      </c>
      <c r="J43" s="39" t="str">
        <f t="shared" si="16"/>
        <v/>
      </c>
      <c r="K43" s="527">
        <f t="shared" si="17"/>
        <v>0</v>
      </c>
      <c r="L43" s="168"/>
      <c r="M43" s="168" t="str">
        <f t="shared" ca="1" si="18"/>
        <v/>
      </c>
      <c r="N43" s="503"/>
      <c r="O43" s="503"/>
      <c r="R43" s="43">
        <f t="shared" si="0"/>
        <v>0</v>
      </c>
      <c r="S43" s="43">
        <f t="shared" si="1"/>
        <v>0</v>
      </c>
      <c r="T43" s="43">
        <f t="shared" si="2"/>
        <v>0</v>
      </c>
      <c r="U43" s="43">
        <f t="shared" si="3"/>
        <v>0</v>
      </c>
      <c r="V43" s="43">
        <f t="shared" si="4"/>
        <v>0</v>
      </c>
      <c r="W43" s="43">
        <f t="shared" si="5"/>
        <v>0</v>
      </c>
      <c r="Y43" s="43">
        <f t="shared" si="6"/>
        <v>0</v>
      </c>
      <c r="Z43" s="43">
        <f t="shared" si="6"/>
        <v>0</v>
      </c>
      <c r="AA43" s="43">
        <f t="shared" si="6"/>
        <v>0</v>
      </c>
      <c r="AB43" s="43">
        <f t="shared" si="6"/>
        <v>0</v>
      </c>
      <c r="AC43" s="43">
        <f t="shared" si="6"/>
        <v>0</v>
      </c>
      <c r="AD43" s="43">
        <f t="shared" si="6"/>
        <v>0</v>
      </c>
      <c r="AF43" s="43">
        <f t="shared" si="7"/>
        <v>0</v>
      </c>
      <c r="AG43" s="43">
        <f t="shared" si="8"/>
        <v>0</v>
      </c>
      <c r="AH43" s="43">
        <f t="shared" si="9"/>
        <v>0</v>
      </c>
      <c r="AI43" s="43">
        <f t="shared" si="10"/>
        <v>0</v>
      </c>
      <c r="AJ43" s="43">
        <f t="shared" si="11"/>
        <v>0</v>
      </c>
      <c r="AK43" s="43">
        <f t="shared" si="12"/>
        <v>0</v>
      </c>
      <c r="AM43" s="517">
        <f t="shared" si="13"/>
        <v>0</v>
      </c>
      <c r="AN43" s="517">
        <f t="shared" si="13"/>
        <v>0</v>
      </c>
      <c r="AO43" s="517">
        <f t="shared" si="13"/>
        <v>0</v>
      </c>
      <c r="AP43" s="517">
        <f t="shared" si="13"/>
        <v>0</v>
      </c>
    </row>
    <row r="44" spans="1:42">
      <c r="A44" s="525"/>
      <c r="B44" s="20"/>
      <c r="C44" s="526"/>
      <c r="D44" s="20" t="s">
        <v>106</v>
      </c>
      <c r="E44" s="20"/>
      <c r="F44" s="186"/>
      <c r="G44" s="167"/>
      <c r="H44" s="150">
        <f t="shared" si="14"/>
        <v>898.375</v>
      </c>
      <c r="I44" s="348">
        <f t="shared" si="15"/>
        <v>0</v>
      </c>
      <c r="J44" s="39" t="str">
        <f t="shared" si="16"/>
        <v/>
      </c>
      <c r="K44" s="527">
        <f t="shared" si="17"/>
        <v>0</v>
      </c>
      <c r="L44" s="168"/>
      <c r="M44" s="168" t="str">
        <f t="shared" ca="1" si="18"/>
        <v/>
      </c>
      <c r="N44" s="503"/>
      <c r="O44" s="503"/>
      <c r="R44" s="43">
        <f t="shared" si="0"/>
        <v>0</v>
      </c>
      <c r="S44" s="43">
        <f t="shared" si="1"/>
        <v>0</v>
      </c>
      <c r="T44" s="43">
        <f t="shared" si="2"/>
        <v>0</v>
      </c>
      <c r="U44" s="43">
        <f t="shared" si="3"/>
        <v>0</v>
      </c>
      <c r="V44" s="43">
        <f t="shared" si="4"/>
        <v>0</v>
      </c>
      <c r="W44" s="43">
        <f t="shared" si="5"/>
        <v>0</v>
      </c>
      <c r="Y44" s="43">
        <f t="shared" si="6"/>
        <v>0</v>
      </c>
      <c r="Z44" s="43">
        <f t="shared" si="6"/>
        <v>0</v>
      </c>
      <c r="AA44" s="43">
        <f t="shared" si="6"/>
        <v>0</v>
      </c>
      <c r="AB44" s="43">
        <f t="shared" si="6"/>
        <v>0</v>
      </c>
      <c r="AC44" s="43">
        <f t="shared" si="6"/>
        <v>0</v>
      </c>
      <c r="AD44" s="43">
        <f t="shared" si="6"/>
        <v>0</v>
      </c>
      <c r="AF44" s="43">
        <f t="shared" si="7"/>
        <v>0</v>
      </c>
      <c r="AG44" s="43">
        <f t="shared" si="8"/>
        <v>0</v>
      </c>
      <c r="AH44" s="43">
        <f t="shared" si="9"/>
        <v>0</v>
      </c>
      <c r="AI44" s="43">
        <f t="shared" si="10"/>
        <v>0</v>
      </c>
      <c r="AJ44" s="43">
        <f t="shared" si="11"/>
        <v>0</v>
      </c>
      <c r="AK44" s="43">
        <f t="shared" si="12"/>
        <v>0</v>
      </c>
      <c r="AM44" s="517">
        <f t="shared" si="13"/>
        <v>0</v>
      </c>
      <c r="AN44" s="517">
        <f t="shared" si="13"/>
        <v>0</v>
      </c>
      <c r="AO44" s="517">
        <f t="shared" si="13"/>
        <v>0</v>
      </c>
      <c r="AP44" s="517">
        <f t="shared" si="13"/>
        <v>0</v>
      </c>
    </row>
    <row r="45" spans="1:42">
      <c r="A45" s="525"/>
      <c r="B45" s="20"/>
      <c r="C45" s="526"/>
      <c r="D45" s="20" t="s">
        <v>106</v>
      </c>
      <c r="E45" s="20"/>
      <c r="F45" s="186"/>
      <c r="G45" s="167"/>
      <c r="H45" s="150">
        <f t="shared" si="14"/>
        <v>898.375</v>
      </c>
      <c r="I45" s="348">
        <f>+((F45*(H45-G45)))/H45</f>
        <v>0</v>
      </c>
      <c r="J45" s="39" t="str">
        <f>IF(G45="","",(H45-G45)/G45)</f>
        <v/>
      </c>
      <c r="K45" s="527">
        <f>ABS(F45)</f>
        <v>0</v>
      </c>
      <c r="L45" s="168"/>
      <c r="M45" s="168" t="str">
        <f ca="1">IF(N45="","",N45-TODAY())</f>
        <v/>
      </c>
      <c r="N45" s="503"/>
      <c r="O45" s="503"/>
      <c r="R45" s="43">
        <f t="shared" si="0"/>
        <v>0</v>
      </c>
      <c r="S45" s="43">
        <f t="shared" si="1"/>
        <v>0</v>
      </c>
      <c r="T45" s="43">
        <f t="shared" si="2"/>
        <v>0</v>
      </c>
      <c r="U45" s="43">
        <f t="shared" si="3"/>
        <v>0</v>
      </c>
      <c r="V45" s="43">
        <f t="shared" si="4"/>
        <v>0</v>
      </c>
      <c r="W45" s="43">
        <f t="shared" si="5"/>
        <v>0</v>
      </c>
      <c r="Y45" s="43">
        <f t="shared" si="6"/>
        <v>0</v>
      </c>
      <c r="Z45" s="43">
        <f t="shared" si="6"/>
        <v>0</v>
      </c>
      <c r="AA45" s="43">
        <f t="shared" si="6"/>
        <v>0</v>
      </c>
      <c r="AB45" s="43">
        <f t="shared" si="6"/>
        <v>0</v>
      </c>
      <c r="AC45" s="43">
        <f t="shared" si="6"/>
        <v>0</v>
      </c>
      <c r="AD45" s="43">
        <f t="shared" si="6"/>
        <v>0</v>
      </c>
      <c r="AF45" s="43">
        <f t="shared" si="7"/>
        <v>0</v>
      </c>
      <c r="AG45" s="43">
        <f t="shared" si="8"/>
        <v>0</v>
      </c>
      <c r="AH45" s="43">
        <f t="shared" si="9"/>
        <v>0</v>
      </c>
      <c r="AI45" s="43">
        <f t="shared" si="10"/>
        <v>0</v>
      </c>
      <c r="AJ45" s="43">
        <f t="shared" si="11"/>
        <v>0</v>
      </c>
      <c r="AK45" s="43">
        <f t="shared" si="12"/>
        <v>0</v>
      </c>
      <c r="AM45" s="517">
        <f t="shared" si="13"/>
        <v>0</v>
      </c>
      <c r="AN45" s="517">
        <f t="shared" si="13"/>
        <v>0</v>
      </c>
      <c r="AO45" s="517">
        <f t="shared" si="13"/>
        <v>0</v>
      </c>
      <c r="AP45" s="517">
        <f t="shared" si="13"/>
        <v>0</v>
      </c>
    </row>
    <row r="46" spans="1:42">
      <c r="A46" s="525"/>
      <c r="B46" s="20"/>
      <c r="C46" s="526"/>
      <c r="D46" s="20" t="s">
        <v>106</v>
      </c>
      <c r="E46" s="20"/>
      <c r="F46" s="186"/>
      <c r="G46" s="167"/>
      <c r="H46" s="150">
        <f t="shared" si="14"/>
        <v>898.375</v>
      </c>
      <c r="I46" s="348">
        <f>+((F46*(H46-G46)))/H46</f>
        <v>0</v>
      </c>
      <c r="J46" s="39" t="str">
        <f>IF(G46="","",(H46-G46)/G46)</f>
        <v/>
      </c>
      <c r="K46" s="527">
        <f>ABS(F46)</f>
        <v>0</v>
      </c>
      <c r="L46" s="168"/>
      <c r="M46" s="168" t="str">
        <f ca="1">IF(N46="","",N46-TODAY())</f>
        <v/>
      </c>
      <c r="N46" s="503"/>
      <c r="O46" s="503"/>
      <c r="R46" s="43">
        <f t="shared" si="0"/>
        <v>0</v>
      </c>
      <c r="S46" s="43">
        <f t="shared" si="1"/>
        <v>0</v>
      </c>
      <c r="T46" s="43">
        <f t="shared" si="2"/>
        <v>0</v>
      </c>
      <c r="U46" s="43">
        <f t="shared" si="3"/>
        <v>0</v>
      </c>
      <c r="V46" s="43">
        <f t="shared" si="4"/>
        <v>0</v>
      </c>
      <c r="W46" s="43">
        <f t="shared" si="5"/>
        <v>0</v>
      </c>
      <c r="Y46" s="43">
        <f t="shared" si="6"/>
        <v>0</v>
      </c>
      <c r="Z46" s="43">
        <f t="shared" si="6"/>
        <v>0</v>
      </c>
      <c r="AA46" s="43">
        <f t="shared" si="6"/>
        <v>0</v>
      </c>
      <c r="AB46" s="43">
        <f t="shared" si="6"/>
        <v>0</v>
      </c>
      <c r="AC46" s="43">
        <f t="shared" si="6"/>
        <v>0</v>
      </c>
      <c r="AD46" s="43">
        <f t="shared" si="6"/>
        <v>0</v>
      </c>
      <c r="AF46" s="43">
        <f t="shared" si="7"/>
        <v>0</v>
      </c>
      <c r="AG46" s="43">
        <f t="shared" si="8"/>
        <v>0</v>
      </c>
      <c r="AH46" s="43">
        <f t="shared" si="9"/>
        <v>0</v>
      </c>
      <c r="AI46" s="43">
        <f t="shared" si="10"/>
        <v>0</v>
      </c>
      <c r="AJ46" s="43">
        <f t="shared" si="11"/>
        <v>0</v>
      </c>
      <c r="AK46" s="43">
        <f t="shared" si="12"/>
        <v>0</v>
      </c>
      <c r="AM46" s="517">
        <f t="shared" si="13"/>
        <v>0</v>
      </c>
      <c r="AN46" s="517">
        <f t="shared" si="13"/>
        <v>0</v>
      </c>
      <c r="AO46" s="517">
        <f t="shared" si="13"/>
        <v>0</v>
      </c>
      <c r="AP46" s="517">
        <f t="shared" si="13"/>
        <v>0</v>
      </c>
    </row>
    <row r="47" spans="1:42">
      <c r="A47" s="525"/>
      <c r="B47" s="20"/>
      <c r="C47" s="526"/>
      <c r="D47" s="20" t="s">
        <v>106</v>
      </c>
      <c r="E47" s="20"/>
      <c r="F47" s="186"/>
      <c r="G47" s="167"/>
      <c r="H47" s="150">
        <f t="shared" si="14"/>
        <v>898.375</v>
      </c>
      <c r="I47" s="348">
        <f t="shared" si="15"/>
        <v>0</v>
      </c>
      <c r="J47" s="39" t="str">
        <f t="shared" si="16"/>
        <v/>
      </c>
      <c r="K47" s="527">
        <f t="shared" si="17"/>
        <v>0</v>
      </c>
      <c r="L47" s="168"/>
      <c r="M47" s="168" t="str">
        <f t="shared" ca="1" si="18"/>
        <v/>
      </c>
      <c r="N47" s="503"/>
      <c r="O47" s="503"/>
      <c r="R47" s="43">
        <f t="shared" si="0"/>
        <v>0</v>
      </c>
      <c r="S47" s="43">
        <f t="shared" si="1"/>
        <v>0</v>
      </c>
      <c r="T47" s="43">
        <f t="shared" si="2"/>
        <v>0</v>
      </c>
      <c r="U47" s="43">
        <f t="shared" si="3"/>
        <v>0</v>
      </c>
      <c r="V47" s="43">
        <f t="shared" si="4"/>
        <v>0</v>
      </c>
      <c r="W47" s="43">
        <f t="shared" si="5"/>
        <v>0</v>
      </c>
      <c r="Y47" s="43">
        <f t="shared" si="6"/>
        <v>0</v>
      </c>
      <c r="Z47" s="43">
        <f t="shared" si="6"/>
        <v>0</v>
      </c>
      <c r="AA47" s="43">
        <f t="shared" si="6"/>
        <v>0</v>
      </c>
      <c r="AB47" s="43">
        <f t="shared" si="6"/>
        <v>0</v>
      </c>
      <c r="AC47" s="43">
        <f t="shared" si="6"/>
        <v>0</v>
      </c>
      <c r="AD47" s="43">
        <f t="shared" si="6"/>
        <v>0</v>
      </c>
      <c r="AF47" s="43">
        <f t="shared" si="7"/>
        <v>0</v>
      </c>
      <c r="AG47" s="43">
        <f t="shared" si="8"/>
        <v>0</v>
      </c>
      <c r="AH47" s="43">
        <f t="shared" si="9"/>
        <v>0</v>
      </c>
      <c r="AI47" s="43">
        <f t="shared" si="10"/>
        <v>0</v>
      </c>
      <c r="AJ47" s="43">
        <f t="shared" si="11"/>
        <v>0</v>
      </c>
      <c r="AK47" s="43">
        <f t="shared" si="12"/>
        <v>0</v>
      </c>
      <c r="AM47" s="517">
        <f t="shared" si="13"/>
        <v>0</v>
      </c>
      <c r="AN47" s="517">
        <f t="shared" si="13"/>
        <v>0</v>
      </c>
      <c r="AO47" s="517">
        <f t="shared" si="13"/>
        <v>0</v>
      </c>
      <c r="AP47" s="517">
        <f t="shared" si="13"/>
        <v>0</v>
      </c>
    </row>
    <row r="48" spans="1:42">
      <c r="A48" s="525"/>
      <c r="B48" s="20"/>
      <c r="C48" s="526"/>
      <c r="D48" s="20" t="s">
        <v>106</v>
      </c>
      <c r="E48" s="20"/>
      <c r="F48" s="186"/>
      <c r="G48" s="167"/>
      <c r="H48" s="150">
        <f t="shared" si="14"/>
        <v>898.375</v>
      </c>
      <c r="I48" s="348">
        <f t="shared" si="15"/>
        <v>0</v>
      </c>
      <c r="J48" s="39" t="str">
        <f t="shared" si="16"/>
        <v/>
      </c>
      <c r="K48" s="527">
        <f t="shared" si="17"/>
        <v>0</v>
      </c>
      <c r="L48" s="168"/>
      <c r="M48" s="168" t="str">
        <f t="shared" ca="1" si="18"/>
        <v/>
      </c>
      <c r="N48" s="503"/>
      <c r="O48" s="503"/>
      <c r="R48" s="43">
        <f t="shared" si="0"/>
        <v>0</v>
      </c>
      <c r="S48" s="43">
        <f t="shared" si="1"/>
        <v>0</v>
      </c>
      <c r="T48" s="43">
        <f t="shared" si="2"/>
        <v>0</v>
      </c>
      <c r="U48" s="43">
        <f t="shared" si="3"/>
        <v>0</v>
      </c>
      <c r="V48" s="43">
        <f t="shared" si="4"/>
        <v>0</v>
      </c>
      <c r="W48" s="43">
        <f t="shared" si="5"/>
        <v>0</v>
      </c>
      <c r="Y48" s="43">
        <f t="shared" si="6"/>
        <v>0</v>
      </c>
      <c r="Z48" s="43">
        <f t="shared" si="6"/>
        <v>0</v>
      </c>
      <c r="AA48" s="43">
        <f t="shared" si="6"/>
        <v>0</v>
      </c>
      <c r="AB48" s="43">
        <f t="shared" si="6"/>
        <v>0</v>
      </c>
      <c r="AC48" s="43">
        <f t="shared" si="6"/>
        <v>0</v>
      </c>
      <c r="AD48" s="43">
        <f t="shared" si="6"/>
        <v>0</v>
      </c>
      <c r="AF48" s="43">
        <f>+$AF$28*Y48</f>
        <v>0</v>
      </c>
      <c r="AG48" s="43">
        <f>+$AG$28*Z48</f>
        <v>0</v>
      </c>
      <c r="AH48" s="43">
        <f>+$AH$28*AA48</f>
        <v>0</v>
      </c>
      <c r="AI48" s="43">
        <f>+$AI$28*AB48</f>
        <v>0</v>
      </c>
      <c r="AJ48" s="43">
        <f>+$AJ$28*AC48</f>
        <v>0</v>
      </c>
      <c r="AK48" s="43">
        <f>+$AK$28*AD48</f>
        <v>0</v>
      </c>
      <c r="AM48" s="517">
        <f>+AF48-R48</f>
        <v>0</v>
      </c>
      <c r="AN48" s="517">
        <f>+AG48-S48</f>
        <v>0</v>
      </c>
      <c r="AO48" s="517">
        <f>+AH48-T48</f>
        <v>0</v>
      </c>
      <c r="AP48" s="517">
        <f>+AI48-U48</f>
        <v>0</v>
      </c>
    </row>
    <row r="49" spans="1:42">
      <c r="A49" s="525"/>
      <c r="B49" s="20"/>
      <c r="C49" s="526"/>
      <c r="D49" s="20" t="s">
        <v>106</v>
      </c>
      <c r="E49" s="20"/>
      <c r="F49" s="186"/>
      <c r="G49" s="167"/>
      <c r="H49" s="150">
        <f t="shared" si="14"/>
        <v>898.375</v>
      </c>
      <c r="I49" s="348">
        <f>+((F49*(H49-G49)))/H49</f>
        <v>0</v>
      </c>
      <c r="J49" s="39" t="str">
        <f t="shared" si="16"/>
        <v/>
      </c>
      <c r="K49" s="527">
        <f>ABS(F49)</f>
        <v>0</v>
      </c>
      <c r="L49" s="168"/>
      <c r="M49" s="168" t="str">
        <f t="shared" ca="1" si="18"/>
        <v/>
      </c>
      <c r="N49" s="503"/>
      <c r="O49" s="503"/>
      <c r="R49" s="43">
        <f t="shared" si="0"/>
        <v>0</v>
      </c>
      <c r="S49" s="43">
        <f t="shared" si="1"/>
        <v>0</v>
      </c>
      <c r="T49" s="43">
        <f t="shared" si="2"/>
        <v>0</v>
      </c>
      <c r="U49" s="43">
        <f t="shared" si="3"/>
        <v>0</v>
      </c>
      <c r="V49" s="43">
        <f t="shared" si="4"/>
        <v>0</v>
      </c>
      <c r="W49" s="43">
        <f t="shared" si="5"/>
        <v>0</v>
      </c>
      <c r="Y49" s="43">
        <f t="shared" si="6"/>
        <v>0</v>
      </c>
      <c r="Z49" s="43">
        <f t="shared" si="6"/>
        <v>0</v>
      </c>
      <c r="AA49" s="43">
        <f t="shared" si="6"/>
        <v>0</v>
      </c>
      <c r="AB49" s="43">
        <f t="shared" si="6"/>
        <v>0</v>
      </c>
      <c r="AC49" s="43">
        <f t="shared" si="6"/>
        <v>0</v>
      </c>
      <c r="AD49" s="43">
        <f t="shared" si="6"/>
        <v>0</v>
      </c>
      <c r="AF49" s="43">
        <f t="shared" si="7"/>
        <v>0</v>
      </c>
      <c r="AG49" s="43">
        <f t="shared" si="8"/>
        <v>0</v>
      </c>
      <c r="AH49" s="43">
        <f t="shared" si="9"/>
        <v>0</v>
      </c>
      <c r="AI49" s="43">
        <f t="shared" si="10"/>
        <v>0</v>
      </c>
      <c r="AJ49" s="43">
        <f t="shared" si="11"/>
        <v>0</v>
      </c>
      <c r="AK49" s="43">
        <f t="shared" si="12"/>
        <v>0</v>
      </c>
      <c r="AM49" s="517">
        <f t="shared" si="13"/>
        <v>0</v>
      </c>
      <c r="AN49" s="517">
        <f t="shared" si="13"/>
        <v>0</v>
      </c>
      <c r="AO49" s="517">
        <f t="shared" si="13"/>
        <v>0</v>
      </c>
      <c r="AP49" s="517">
        <f t="shared" si="13"/>
        <v>0</v>
      </c>
    </row>
    <row r="50" spans="1:42">
      <c r="A50" s="528"/>
      <c r="B50" s="529"/>
      <c r="C50" s="530"/>
      <c r="D50" s="529" t="s">
        <v>106</v>
      </c>
      <c r="E50" s="529"/>
      <c r="F50" s="531"/>
      <c r="G50" s="532"/>
      <c r="H50" s="533">
        <f t="shared" si="14"/>
        <v>898.375</v>
      </c>
      <c r="I50" s="504">
        <f>+IF(H50&gt;G50,(H50-G50)*F50,0)/H50</f>
        <v>0</v>
      </c>
      <c r="J50" s="534" t="str">
        <f t="shared" si="16"/>
        <v/>
      </c>
      <c r="K50" s="535">
        <f>IF(I50&lt;&gt;0,F50,0)</f>
        <v>0</v>
      </c>
      <c r="L50" s="536"/>
      <c r="M50" s="536" t="str">
        <f t="shared" ca="1" si="18"/>
        <v/>
      </c>
      <c r="N50" s="537"/>
      <c r="O50" s="537"/>
      <c r="U50" s="43"/>
      <c r="V50" s="43"/>
      <c r="W50" s="43"/>
      <c r="Y50" s="43"/>
      <c r="Z50" s="43"/>
      <c r="AA50" s="43"/>
      <c r="AB50" s="43"/>
      <c r="AC50" s="43"/>
      <c r="AD50" s="43"/>
      <c r="AF50" s="43"/>
      <c r="AG50" s="43"/>
      <c r="AH50" s="43"/>
      <c r="AI50" s="43"/>
      <c r="AJ50" s="43"/>
      <c r="AK50" s="43"/>
      <c r="AM50" s="517"/>
      <c r="AN50" s="517"/>
      <c r="AO50" s="517"/>
      <c r="AP50" s="517"/>
    </row>
    <row r="51" spans="1:42">
      <c r="A51" s="525"/>
      <c r="B51" s="20"/>
      <c r="C51" s="526"/>
      <c r="D51" s="20" t="s">
        <v>82</v>
      </c>
      <c r="E51" s="20"/>
      <c r="F51" s="186"/>
      <c r="G51" s="167"/>
      <c r="H51" s="150">
        <f t="shared" si="14"/>
        <v>898.375</v>
      </c>
      <c r="I51" s="348">
        <f>+IF(H51&gt;G51,(H51-G51)*F51,0)/H51</f>
        <v>0</v>
      </c>
      <c r="J51" s="39" t="str">
        <f t="shared" si="16"/>
        <v/>
      </c>
      <c r="K51" s="527">
        <f>IF(I51&lt;&gt;0,F51,0)</f>
        <v>0</v>
      </c>
      <c r="L51" s="168"/>
      <c r="M51" s="168" t="str">
        <f t="shared" ca="1" si="18"/>
        <v/>
      </c>
      <c r="N51" s="503"/>
      <c r="O51" s="503"/>
      <c r="U51" s="43"/>
      <c r="V51" s="43"/>
      <c r="W51" s="43"/>
      <c r="Y51" s="43"/>
      <c r="Z51" s="43"/>
      <c r="AA51" s="43"/>
      <c r="AB51" s="43"/>
      <c r="AC51" s="43"/>
      <c r="AD51" s="43"/>
      <c r="AF51" s="43"/>
      <c r="AG51" s="43"/>
      <c r="AH51" s="43"/>
      <c r="AI51" s="43"/>
      <c r="AJ51" s="43"/>
      <c r="AK51" s="43"/>
      <c r="AM51" s="517"/>
      <c r="AN51" s="517"/>
      <c r="AO51" s="517"/>
      <c r="AP51" s="517"/>
    </row>
    <row r="52" spans="1:42">
      <c r="A52" s="525"/>
      <c r="B52" s="20"/>
      <c r="C52" s="526"/>
      <c r="D52" s="20" t="s">
        <v>83</v>
      </c>
      <c r="E52" s="20"/>
      <c r="F52" s="186"/>
      <c r="G52" s="167"/>
      <c r="H52" s="150">
        <f t="shared" si="14"/>
        <v>898.375</v>
      </c>
      <c r="I52" s="348">
        <f>+IF(H52&lt;G52,-(H52-G52)*F52,0)/H52</f>
        <v>0</v>
      </c>
      <c r="J52" s="39" t="str">
        <f>IF(G52="","",(H52-G52)/G52)</f>
        <v/>
      </c>
      <c r="K52" s="527">
        <f>IF(I52&lt;&gt;0,F52,0)</f>
        <v>0</v>
      </c>
      <c r="L52" s="168"/>
      <c r="M52" s="168" t="str">
        <f t="shared" ca="1" si="18"/>
        <v/>
      </c>
      <c r="N52" s="503"/>
      <c r="O52" s="503"/>
      <c r="U52" s="43"/>
      <c r="V52" s="43"/>
      <c r="W52" s="43"/>
      <c r="Y52" s="43"/>
      <c r="Z52" s="43"/>
      <c r="AA52" s="43"/>
      <c r="AB52" s="43"/>
      <c r="AC52" s="43"/>
      <c r="AD52" s="43"/>
      <c r="AF52" s="43"/>
      <c r="AG52" s="43"/>
      <c r="AH52" s="43"/>
      <c r="AI52" s="43"/>
      <c r="AJ52" s="43"/>
      <c r="AK52" s="43"/>
      <c r="AM52" s="517"/>
      <c r="AN52" s="517"/>
      <c r="AO52" s="517"/>
      <c r="AP52" s="517"/>
    </row>
    <row r="53" spans="1:42">
      <c r="A53" s="525"/>
      <c r="B53" s="20"/>
      <c r="C53" s="526"/>
      <c r="D53" s="20" t="s">
        <v>83</v>
      </c>
      <c r="E53" s="20"/>
      <c r="F53" s="186"/>
      <c r="G53" s="167"/>
      <c r="H53" s="150">
        <f t="shared" si="14"/>
        <v>898.375</v>
      </c>
      <c r="I53" s="348">
        <f>+IF(H53&lt;G53,-(H53-G53)*F53,0)/H53</f>
        <v>0</v>
      </c>
      <c r="J53" s="39" t="str">
        <f>IF(G53="","",(H53-G53)/G53)</f>
        <v/>
      </c>
      <c r="K53" s="527">
        <f>IF(I53&lt;&gt;0,F53,0)</f>
        <v>0</v>
      </c>
      <c r="L53" s="168"/>
      <c r="M53" s="168" t="str">
        <f t="shared" ca="1" si="18"/>
        <v/>
      </c>
      <c r="N53" s="503"/>
      <c r="O53" s="503"/>
      <c r="U53" s="43"/>
      <c r="V53" s="43"/>
      <c r="W53" s="43"/>
      <c r="Y53" s="43"/>
      <c r="Z53" s="43"/>
      <c r="AA53" s="43"/>
      <c r="AB53" s="43"/>
      <c r="AC53" s="43"/>
      <c r="AD53" s="43"/>
      <c r="AF53" s="43"/>
      <c r="AG53" s="43"/>
      <c r="AH53" s="43"/>
      <c r="AI53" s="43"/>
      <c r="AJ53" s="43"/>
      <c r="AK53" s="43"/>
      <c r="AM53" s="517"/>
      <c r="AN53" s="517"/>
      <c r="AO53" s="517"/>
      <c r="AP53" s="517"/>
    </row>
    <row r="54" spans="1:42">
      <c r="A54" s="525"/>
      <c r="B54" s="20"/>
      <c r="C54" s="526"/>
      <c r="D54" s="20" t="s">
        <v>83</v>
      </c>
      <c r="E54" s="20"/>
      <c r="F54" s="186"/>
      <c r="G54" s="167"/>
      <c r="H54" s="150">
        <f t="shared" si="14"/>
        <v>898.375</v>
      </c>
      <c r="I54" s="348">
        <f>+IF(H54&lt;G54,-(H54-G54)*F54,0)/H54</f>
        <v>0</v>
      </c>
      <c r="J54" s="39" t="str">
        <f>IF(G54="","",(H54-G54)/G54)</f>
        <v/>
      </c>
      <c r="K54" s="527">
        <f>IF(I54&lt;&gt;0,F54,0)</f>
        <v>0</v>
      </c>
      <c r="L54" s="168"/>
      <c r="M54" s="168" t="str">
        <f t="shared" ca="1" si="18"/>
        <v/>
      </c>
      <c r="N54" s="503"/>
      <c r="O54" s="503"/>
      <c r="U54" s="43"/>
      <c r="V54" s="43"/>
      <c r="W54" s="43"/>
      <c r="Y54" s="43"/>
      <c r="Z54" s="43"/>
      <c r="AA54" s="43"/>
      <c r="AB54" s="43"/>
      <c r="AC54" s="43"/>
      <c r="AD54" s="43"/>
      <c r="AF54" s="43"/>
      <c r="AG54" s="43"/>
      <c r="AH54" s="43"/>
      <c r="AI54" s="43"/>
      <c r="AJ54" s="43"/>
      <c r="AK54" s="43"/>
      <c r="AM54" s="517"/>
      <c r="AN54" s="517"/>
      <c r="AO54" s="517"/>
      <c r="AP54" s="517"/>
    </row>
    <row r="55" spans="1:42">
      <c r="A55" s="525"/>
      <c r="B55" s="20"/>
      <c r="C55" s="526"/>
      <c r="D55" s="20"/>
      <c r="E55" s="20"/>
      <c r="F55" s="186"/>
      <c r="G55" s="167"/>
      <c r="H55" s="150">
        <f t="shared" si="14"/>
        <v>898.375</v>
      </c>
      <c r="I55" s="348"/>
      <c r="J55" s="39"/>
      <c r="K55" s="527"/>
      <c r="L55" s="168"/>
      <c r="M55" s="168"/>
      <c r="N55" s="503"/>
      <c r="O55" s="503"/>
      <c r="U55" s="43"/>
      <c r="V55" s="43"/>
      <c r="W55" s="43"/>
      <c r="Y55" s="43"/>
      <c r="Z55" s="43"/>
      <c r="AA55" s="43"/>
      <c r="AB55" s="43"/>
      <c r="AC55" s="43"/>
      <c r="AD55" s="43"/>
      <c r="AF55" s="43"/>
      <c r="AG55" s="43"/>
      <c r="AH55" s="43"/>
      <c r="AI55" s="43"/>
      <c r="AJ55" s="43"/>
      <c r="AK55" s="43"/>
      <c r="AM55" s="517"/>
      <c r="AN55" s="517"/>
      <c r="AO55" s="517"/>
      <c r="AP55" s="517"/>
    </row>
    <row r="56" spans="1:42">
      <c r="A56" s="525"/>
      <c r="B56" s="20"/>
      <c r="C56" s="526"/>
      <c r="D56" s="20"/>
      <c r="E56" s="20"/>
      <c r="F56" s="186"/>
      <c r="G56" s="167"/>
      <c r="H56" s="150">
        <f>+H54</f>
        <v>898.375</v>
      </c>
      <c r="I56" s="348">
        <f>+((F56*(H56-G56)))/H56</f>
        <v>0</v>
      </c>
      <c r="J56" s="39" t="str">
        <f t="shared" si="16"/>
        <v/>
      </c>
      <c r="K56" s="527">
        <f>ABS(F56)</f>
        <v>0</v>
      </c>
      <c r="L56" s="168"/>
      <c r="M56" s="168" t="str">
        <f t="shared" ca="1" si="18"/>
        <v/>
      </c>
      <c r="N56" s="503"/>
      <c r="O56" s="503"/>
      <c r="R56" s="43">
        <f t="shared" si="0"/>
        <v>0</v>
      </c>
      <c r="S56" s="43">
        <f t="shared" si="1"/>
        <v>0</v>
      </c>
      <c r="T56" s="43">
        <f t="shared" si="2"/>
        <v>0</v>
      </c>
      <c r="U56" s="43">
        <f t="shared" si="3"/>
        <v>0</v>
      </c>
      <c r="V56" s="43">
        <f t="shared" si="4"/>
        <v>0</v>
      </c>
      <c r="W56" s="43">
        <f t="shared" si="5"/>
        <v>0</v>
      </c>
      <c r="Y56" s="43">
        <f t="shared" ref="Y56:AD56" si="19">IF(R56&lt;&gt;0,$F56,0)</f>
        <v>0</v>
      </c>
      <c r="Z56" s="43">
        <f t="shared" si="19"/>
        <v>0</v>
      </c>
      <c r="AA56" s="43">
        <f t="shared" si="19"/>
        <v>0</v>
      </c>
      <c r="AB56" s="43">
        <f t="shared" si="19"/>
        <v>0</v>
      </c>
      <c r="AC56" s="43">
        <f t="shared" si="19"/>
        <v>0</v>
      </c>
      <c r="AD56" s="43">
        <f t="shared" si="19"/>
        <v>0</v>
      </c>
      <c r="AF56" s="43">
        <f t="shared" si="7"/>
        <v>0</v>
      </c>
      <c r="AG56" s="43">
        <f t="shared" si="8"/>
        <v>0</v>
      </c>
      <c r="AH56" s="43">
        <f t="shared" si="9"/>
        <v>0</v>
      </c>
      <c r="AI56" s="43">
        <f t="shared" si="10"/>
        <v>0</v>
      </c>
      <c r="AJ56" s="43">
        <f t="shared" si="11"/>
        <v>0</v>
      </c>
      <c r="AK56" s="43">
        <f t="shared" si="12"/>
        <v>0</v>
      </c>
      <c r="AM56" s="517">
        <f>+AF56-R56</f>
        <v>0</v>
      </c>
      <c r="AN56" s="517">
        <f>+AG56-S56</f>
        <v>0</v>
      </c>
      <c r="AO56" s="517">
        <f>+AH56-T56</f>
        <v>0</v>
      </c>
      <c r="AP56" s="517">
        <f>+AI56-U56</f>
        <v>0</v>
      </c>
    </row>
    <row r="57" spans="1:42">
      <c r="A57" s="538"/>
      <c r="B57" s="224"/>
      <c r="C57" s="539"/>
      <c r="D57" s="224"/>
      <c r="E57" s="224"/>
      <c r="F57" s="226"/>
      <c r="G57" s="227"/>
      <c r="H57" s="245"/>
      <c r="I57" s="540"/>
      <c r="J57" s="229"/>
      <c r="K57" s="541"/>
      <c r="L57" s="231"/>
      <c r="M57" s="231"/>
      <c r="N57" s="542"/>
      <c r="O57" s="542"/>
      <c r="U57" s="43"/>
      <c r="V57" s="43"/>
      <c r="W57" s="43"/>
      <c r="Y57" s="43"/>
      <c r="Z57" s="43"/>
      <c r="AA57" s="43"/>
      <c r="AB57" s="43"/>
      <c r="AC57" s="43"/>
      <c r="AD57" s="43"/>
      <c r="AF57" s="43"/>
      <c r="AG57" s="43"/>
      <c r="AH57" s="43"/>
      <c r="AI57" s="43"/>
      <c r="AJ57" s="43"/>
      <c r="AK57" s="43"/>
      <c r="AM57" s="517"/>
      <c r="AN57" s="517"/>
      <c r="AO57" s="517"/>
      <c r="AP57" s="517"/>
    </row>
    <row r="58" spans="1:42">
      <c r="E58" s="346" t="s">
        <v>483</v>
      </c>
      <c r="F58" s="543">
        <f>SUM(F32:F49)</f>
        <v>0</v>
      </c>
      <c r="G58" s="347"/>
      <c r="H58" s="148" t="s">
        <v>23</v>
      </c>
      <c r="I58" s="544">
        <f>SUM(I32:I57)</f>
        <v>0</v>
      </c>
      <c r="J58" s="545"/>
      <c r="M58" s="346"/>
      <c r="N58" s="546"/>
      <c r="U58" s="43"/>
      <c r="V58" s="43"/>
      <c r="W58" s="43"/>
      <c r="Y58" s="43"/>
      <c r="Z58" s="43"/>
      <c r="AA58" s="43"/>
      <c r="AB58" s="43"/>
      <c r="AC58" s="43"/>
      <c r="AD58" s="43"/>
      <c r="AF58" s="43"/>
      <c r="AG58" s="43"/>
      <c r="AH58" s="43"/>
      <c r="AI58" s="43"/>
      <c r="AJ58" s="43"/>
      <c r="AK58" s="43"/>
      <c r="AM58" s="517"/>
      <c r="AN58" s="517"/>
      <c r="AO58" s="517"/>
      <c r="AP58" s="517"/>
    </row>
    <row r="59" spans="1:42">
      <c r="E59" s="346" t="s">
        <v>128</v>
      </c>
      <c r="F59" s="547">
        <f>SUM(K50:K51)</f>
        <v>0</v>
      </c>
      <c r="I59" s="522"/>
      <c r="L59" s="548"/>
      <c r="U59" s="43"/>
      <c r="V59" s="43"/>
      <c r="W59" s="43"/>
      <c r="Y59" s="43"/>
      <c r="Z59" s="43"/>
      <c r="AA59" s="43"/>
      <c r="AB59" s="43"/>
      <c r="AC59" s="43"/>
      <c r="AD59" s="43"/>
      <c r="AF59" s="43"/>
      <c r="AG59" s="43"/>
      <c r="AH59" s="43"/>
      <c r="AI59" s="43"/>
      <c r="AJ59" s="43"/>
      <c r="AK59" s="43"/>
      <c r="AM59" s="517"/>
      <c r="AN59" s="517"/>
      <c r="AO59" s="517"/>
      <c r="AP59" s="517"/>
    </row>
    <row r="60" spans="1:42">
      <c r="E60" s="255"/>
      <c r="F60" s="256"/>
      <c r="H60" s="13" t="s">
        <v>123</v>
      </c>
      <c r="I60" s="252">
        <f>SUMIF(B32:B57,"HEDGE",F32:F57)</f>
        <v>0</v>
      </c>
      <c r="J60" s="43"/>
      <c r="L60" s="44"/>
      <c r="U60" s="43"/>
      <c r="V60" s="43"/>
      <c r="W60" s="43"/>
      <c r="AC60" s="43"/>
      <c r="AD60" s="43"/>
      <c r="AF60" s="43"/>
      <c r="AG60" s="43"/>
      <c r="AH60" s="43"/>
      <c r="AI60" s="43"/>
      <c r="AJ60" s="43"/>
      <c r="AK60" s="43"/>
      <c r="AM60" s="517"/>
      <c r="AN60" s="517"/>
      <c r="AO60" s="517"/>
      <c r="AP60" s="517"/>
    </row>
    <row r="61" spans="1:42">
      <c r="E61" s="255" t="s">
        <v>484</v>
      </c>
      <c r="F61" s="549">
        <f>F58+F59</f>
        <v>0</v>
      </c>
      <c r="H61" s="13" t="s">
        <v>1</v>
      </c>
      <c r="I61" s="252">
        <f>SUMIF(B32:B57,"DB",F32:F57)</f>
        <v>0</v>
      </c>
      <c r="K61" s="550">
        <v>1</v>
      </c>
      <c r="L61" s="44">
        <f ca="1">SUMIF(M32:M56,K61,F32:F56)</f>
        <v>0</v>
      </c>
      <c r="U61" s="43"/>
      <c r="V61" s="43"/>
      <c r="W61" s="43"/>
      <c r="AC61" s="43"/>
      <c r="AD61" s="43"/>
      <c r="AF61" s="43"/>
      <c r="AG61" s="43"/>
      <c r="AH61" s="43"/>
      <c r="AI61" s="43"/>
      <c r="AJ61" s="43"/>
      <c r="AK61" s="43"/>
      <c r="AM61" s="517"/>
      <c r="AN61" s="517"/>
      <c r="AO61" s="517"/>
      <c r="AP61" s="517"/>
    </row>
    <row r="62" spans="1:42">
      <c r="E62" s="255"/>
      <c r="F62" s="551"/>
      <c r="H62" s="13" t="s">
        <v>108</v>
      </c>
      <c r="I62" s="512">
        <f>SUMIF(B32:B57,"UBS",F32:F57)</f>
        <v>0</v>
      </c>
      <c r="K62" s="550">
        <v>38</v>
      </c>
      <c r="L62" s="44">
        <f ca="1">SUMIF(M32:M56,K62,F32:F56)</f>
        <v>0</v>
      </c>
      <c r="U62" s="43"/>
      <c r="V62" s="43"/>
      <c r="W62" s="43"/>
      <c r="AC62" s="43"/>
      <c r="AD62" s="43"/>
      <c r="AF62" s="43"/>
      <c r="AG62" s="43"/>
      <c r="AH62" s="43"/>
      <c r="AI62" s="43"/>
      <c r="AJ62" s="43"/>
      <c r="AK62" s="43"/>
      <c r="AM62" s="517"/>
      <c r="AN62" s="517"/>
      <c r="AO62" s="517"/>
      <c r="AP62" s="517"/>
    </row>
    <row r="63" spans="1:42">
      <c r="E63" s="255"/>
      <c r="F63" s="551"/>
      <c r="H63" s="13" t="s">
        <v>36</v>
      </c>
      <c r="I63" s="512">
        <f>SUMIF(B32:B57,"SB",F32:F57)</f>
        <v>0</v>
      </c>
      <c r="K63" s="550">
        <v>101</v>
      </c>
      <c r="L63" s="44">
        <f ca="1">SUMIF(M32:M56,K63,F32:F56)</f>
        <v>0</v>
      </c>
      <c r="U63" s="43"/>
      <c r="V63" s="43"/>
      <c r="W63" s="43"/>
      <c r="AC63" s="43"/>
      <c r="AD63" s="43"/>
      <c r="AF63" s="43"/>
      <c r="AG63" s="43"/>
      <c r="AH63" s="43"/>
      <c r="AI63" s="43"/>
      <c r="AJ63" s="43"/>
      <c r="AK63" s="43"/>
      <c r="AM63" s="517"/>
      <c r="AN63" s="517"/>
      <c r="AO63" s="517"/>
      <c r="AP63" s="517"/>
    </row>
    <row r="64" spans="1:42">
      <c r="E64" s="255"/>
      <c r="F64" s="551"/>
      <c r="G64" s="43"/>
      <c r="H64" s="255"/>
      <c r="I64" s="551"/>
      <c r="J64" s="511"/>
      <c r="K64" s="550"/>
      <c r="L64" s="44"/>
      <c r="U64" s="43"/>
      <c r="V64" s="43"/>
      <c r="W64" s="43"/>
      <c r="Y64" s="43"/>
      <c r="Z64" s="43"/>
      <c r="AA64" s="43"/>
      <c r="AB64" s="43"/>
      <c r="AC64" s="43"/>
      <c r="AD64" s="43"/>
      <c r="AF64" s="43"/>
      <c r="AG64" s="43"/>
      <c r="AH64" s="43"/>
      <c r="AI64" s="43"/>
      <c r="AJ64" s="43"/>
      <c r="AK64" s="43"/>
      <c r="AM64" s="517"/>
      <c r="AN64" s="517"/>
      <c r="AO64" s="517"/>
      <c r="AP64" s="517"/>
    </row>
    <row r="65" spans="1:42">
      <c r="A65" s="9" t="s">
        <v>114</v>
      </c>
      <c r="B65" s="9" t="s">
        <v>35</v>
      </c>
      <c r="C65" s="9" t="s">
        <v>17</v>
      </c>
      <c r="D65" s="9" t="s">
        <v>25</v>
      </c>
      <c r="E65" s="9" t="s">
        <v>26</v>
      </c>
      <c r="F65" s="9" t="s">
        <v>18</v>
      </c>
      <c r="G65" s="9" t="s">
        <v>90</v>
      </c>
      <c r="H65" s="9" t="s">
        <v>21</v>
      </c>
      <c r="I65" s="9" t="s">
        <v>22</v>
      </c>
      <c r="J65" s="286" t="s">
        <v>90</v>
      </c>
      <c r="K65" s="9" t="s">
        <v>91</v>
      </c>
      <c r="L65" s="9" t="s">
        <v>185</v>
      </c>
      <c r="M65" s="9" t="s">
        <v>0</v>
      </c>
      <c r="U65" s="43"/>
      <c r="V65" s="43"/>
      <c r="W65" s="43"/>
      <c r="Y65" s="43"/>
      <c r="Z65" s="43"/>
      <c r="AA65" s="43"/>
      <c r="AB65" s="43"/>
      <c r="AC65" s="43"/>
      <c r="AD65" s="43"/>
      <c r="AF65" s="43"/>
      <c r="AG65" s="43"/>
      <c r="AH65" s="43"/>
      <c r="AI65" s="43"/>
      <c r="AJ65" s="43"/>
      <c r="AK65" s="43"/>
      <c r="AM65" s="517"/>
      <c r="AN65" s="517"/>
      <c r="AO65" s="517"/>
      <c r="AP65" s="517"/>
    </row>
    <row r="66" spans="1:42">
      <c r="A66" s="188"/>
      <c r="B66" s="10"/>
      <c r="C66" s="7"/>
      <c r="D66" s="21"/>
      <c r="E66" s="21"/>
      <c r="F66" s="109"/>
      <c r="G66" s="22"/>
      <c r="H66" s="552"/>
      <c r="I66" s="29"/>
      <c r="J66" s="258"/>
      <c r="K66" s="292"/>
      <c r="L66" s="283"/>
      <c r="M66" s="304"/>
      <c r="U66" s="43"/>
      <c r="V66" s="43"/>
      <c r="W66" s="43"/>
      <c r="Y66" s="43"/>
      <c r="Z66" s="43"/>
      <c r="AA66" s="43"/>
      <c r="AB66" s="43"/>
      <c r="AC66" s="43"/>
      <c r="AD66" s="43"/>
      <c r="AF66" s="43"/>
      <c r="AG66" s="43"/>
      <c r="AH66" s="43"/>
      <c r="AI66" s="43"/>
      <c r="AJ66" s="43"/>
      <c r="AK66" s="43"/>
      <c r="AM66" s="517"/>
      <c r="AN66" s="517"/>
      <c r="AO66" s="517"/>
      <c r="AP66" s="517"/>
    </row>
    <row r="67" spans="1:42">
      <c r="A67" s="188"/>
      <c r="B67" s="10"/>
      <c r="C67" s="7"/>
      <c r="D67" s="21"/>
      <c r="E67" s="21"/>
      <c r="F67" s="109"/>
      <c r="G67" s="22"/>
      <c r="H67" s="552"/>
      <c r="I67" s="29"/>
      <c r="J67" s="258"/>
      <c r="K67" s="292"/>
      <c r="L67" s="283"/>
      <c r="M67" s="304"/>
      <c r="U67" s="43"/>
      <c r="V67" s="43"/>
      <c r="W67" s="43"/>
      <c r="Y67" s="43"/>
      <c r="Z67" s="43"/>
      <c r="AA67" s="43"/>
      <c r="AB67" s="43"/>
      <c r="AC67" s="43"/>
      <c r="AD67" s="43"/>
      <c r="AF67" s="43"/>
      <c r="AG67" s="43"/>
      <c r="AH67" s="43"/>
      <c r="AI67" s="43"/>
      <c r="AJ67" s="43"/>
      <c r="AK67" s="43"/>
      <c r="AM67" s="517"/>
      <c r="AN67" s="517"/>
      <c r="AO67" s="517"/>
      <c r="AP67" s="517"/>
    </row>
    <row r="68" spans="1:42">
      <c r="E68" s="255"/>
      <c r="F68" s="551"/>
      <c r="G68" s="43"/>
      <c r="H68" s="255"/>
      <c r="I68" s="551"/>
      <c r="J68" s="511"/>
      <c r="K68" s="550"/>
      <c r="L68" s="44"/>
      <c r="U68" s="43"/>
      <c r="V68" s="43"/>
      <c r="W68" s="43"/>
      <c r="Y68" s="43"/>
      <c r="Z68" s="43"/>
      <c r="AA68" s="43"/>
      <c r="AB68" s="43"/>
      <c r="AC68" s="43"/>
      <c r="AD68" s="43"/>
      <c r="AF68" s="43"/>
      <c r="AG68" s="43"/>
      <c r="AH68" s="43"/>
      <c r="AI68" s="43"/>
      <c r="AJ68" s="43"/>
      <c r="AK68" s="43"/>
      <c r="AM68" s="517"/>
      <c r="AN68" s="517"/>
      <c r="AO68" s="517"/>
      <c r="AP68" s="517"/>
    </row>
    <row r="69" spans="1:42">
      <c r="E69" s="255"/>
      <c r="F69" s="551"/>
      <c r="G69" s="43"/>
      <c r="H69" s="255"/>
      <c r="I69" s="551"/>
      <c r="J69" s="511"/>
      <c r="K69" s="550"/>
      <c r="L69" s="44"/>
      <c r="U69" s="43"/>
      <c r="V69" s="43"/>
      <c r="W69" s="43"/>
      <c r="Y69" s="43"/>
      <c r="Z69" s="43"/>
      <c r="AA69" s="43"/>
      <c r="AB69" s="43"/>
      <c r="AC69" s="43"/>
      <c r="AD69" s="43"/>
      <c r="AF69" s="43"/>
      <c r="AG69" s="43"/>
      <c r="AH69" s="43"/>
      <c r="AI69" s="43"/>
      <c r="AJ69" s="43"/>
      <c r="AK69" s="43"/>
      <c r="AM69" s="517"/>
      <c r="AN69" s="517"/>
      <c r="AO69" s="517"/>
      <c r="AP69" s="517"/>
    </row>
    <row r="70" spans="1:42">
      <c r="E70" s="255"/>
      <c r="F70" s="551"/>
      <c r="G70" s="43"/>
      <c r="H70" s="255"/>
      <c r="I70" s="551"/>
      <c r="J70" s="511"/>
      <c r="K70" s="550"/>
      <c r="L70" s="44"/>
      <c r="U70" s="43"/>
      <c r="V70" s="43"/>
      <c r="W70" s="43"/>
      <c r="Y70" s="43"/>
      <c r="Z70" s="43"/>
      <c r="AA70" s="43"/>
      <c r="AB70" s="43"/>
      <c r="AC70" s="43"/>
      <c r="AD70" s="43"/>
      <c r="AF70" s="43"/>
      <c r="AG70" s="43"/>
      <c r="AH70" s="43"/>
      <c r="AI70" s="43"/>
      <c r="AJ70" s="43"/>
      <c r="AK70" s="43"/>
      <c r="AM70" s="517"/>
      <c r="AN70" s="517"/>
      <c r="AO70" s="517"/>
      <c r="AP70" s="517"/>
    </row>
    <row r="71" spans="1:42">
      <c r="E71" s="255"/>
      <c r="F71" s="551"/>
      <c r="G71" s="43"/>
      <c r="H71" s="255"/>
      <c r="I71" s="551"/>
      <c r="J71" s="511"/>
      <c r="K71" s="550"/>
      <c r="L71" s="44"/>
      <c r="U71" s="43"/>
      <c r="V71" s="43"/>
      <c r="W71" s="43"/>
      <c r="Y71" s="43"/>
      <c r="Z71" s="43"/>
      <c r="AA71" s="43"/>
      <c r="AB71" s="43"/>
      <c r="AC71" s="43"/>
      <c r="AD71" s="43"/>
      <c r="AF71" s="43"/>
      <c r="AG71" s="43"/>
      <c r="AH71" s="43"/>
      <c r="AI71" s="43"/>
      <c r="AJ71" s="43"/>
      <c r="AK71" s="43"/>
      <c r="AM71" s="517"/>
      <c r="AN71" s="517"/>
      <c r="AO71" s="517"/>
      <c r="AP71" s="517"/>
    </row>
    <row r="72" spans="1:42">
      <c r="E72" s="255"/>
      <c r="F72" s="551"/>
      <c r="G72" s="43"/>
      <c r="H72" s="255"/>
      <c r="I72" s="551"/>
      <c r="J72" s="511"/>
      <c r="K72" s="550"/>
      <c r="L72" s="44"/>
      <c r="U72" s="43"/>
      <c r="V72" s="43"/>
      <c r="W72" s="43"/>
      <c r="Y72" s="43"/>
      <c r="Z72" s="43"/>
      <c r="AA72" s="43"/>
      <c r="AB72" s="43"/>
      <c r="AC72" s="43"/>
      <c r="AD72" s="43"/>
      <c r="AF72" s="43"/>
      <c r="AG72" s="43"/>
      <c r="AH72" s="43"/>
      <c r="AI72" s="43"/>
      <c r="AJ72" s="43"/>
      <c r="AK72" s="43"/>
      <c r="AM72" s="517"/>
      <c r="AN72" s="517"/>
      <c r="AO72" s="517"/>
      <c r="AP72" s="517"/>
    </row>
    <row r="73" spans="1:42">
      <c r="E73" s="255"/>
      <c r="F73" s="551"/>
      <c r="G73" s="43"/>
      <c r="H73" s="255"/>
      <c r="I73" s="551"/>
      <c r="J73" s="511"/>
      <c r="K73" s="550"/>
      <c r="L73" s="44"/>
      <c r="U73" s="43"/>
      <c r="V73" s="43"/>
      <c r="W73" s="43"/>
      <c r="Y73" s="43"/>
      <c r="Z73" s="43"/>
      <c r="AA73" s="43"/>
      <c r="AB73" s="43"/>
      <c r="AC73" s="43"/>
      <c r="AD73" s="43"/>
      <c r="AF73" s="43"/>
      <c r="AG73" s="43"/>
      <c r="AH73" s="43"/>
      <c r="AI73" s="43"/>
      <c r="AJ73" s="43"/>
      <c r="AK73" s="43"/>
      <c r="AM73" s="517"/>
      <c r="AN73" s="517"/>
      <c r="AO73" s="517"/>
      <c r="AP73" s="517"/>
    </row>
    <row r="74" spans="1:42">
      <c r="E74" s="255"/>
      <c r="F74" s="551"/>
      <c r="G74" s="43"/>
      <c r="H74" s="255"/>
      <c r="I74" s="551"/>
      <c r="J74" s="511"/>
      <c r="K74" s="550"/>
      <c r="L74" s="44"/>
      <c r="U74" s="43"/>
      <c r="V74" s="43"/>
      <c r="W74" s="43"/>
      <c r="Y74" s="43"/>
      <c r="Z74" s="43"/>
      <c r="AA74" s="43"/>
      <c r="AB74" s="43"/>
      <c r="AC74" s="43"/>
      <c r="AD74" s="43"/>
      <c r="AF74" s="43"/>
      <c r="AG74" s="43"/>
      <c r="AH74" s="43"/>
      <c r="AI74" s="43"/>
      <c r="AJ74" s="43"/>
      <c r="AK74" s="43"/>
      <c r="AM74" s="517"/>
      <c r="AN74" s="517"/>
      <c r="AO74" s="517"/>
      <c r="AP74" s="517"/>
    </row>
    <row r="75" spans="1:42">
      <c r="E75" s="255"/>
      <c r="F75" s="551"/>
      <c r="G75" s="43"/>
      <c r="H75" s="255"/>
      <c r="I75" s="551"/>
      <c r="J75" s="511"/>
      <c r="K75" s="550"/>
      <c r="L75" s="44"/>
      <c r="U75" s="43"/>
      <c r="V75" s="43"/>
      <c r="W75" s="43"/>
      <c r="Y75" s="43"/>
      <c r="Z75" s="43"/>
      <c r="AA75" s="43"/>
      <c r="AB75" s="43"/>
      <c r="AC75" s="43"/>
      <c r="AD75" s="43"/>
      <c r="AF75" s="43"/>
      <c r="AG75" s="43"/>
      <c r="AH75" s="43"/>
      <c r="AI75" s="43"/>
      <c r="AJ75" s="43"/>
      <c r="AK75" s="43"/>
      <c r="AM75" s="517"/>
      <c r="AN75" s="517"/>
      <c r="AO75" s="517"/>
      <c r="AP75" s="517"/>
    </row>
    <row r="76" spans="1:42">
      <c r="E76" s="255"/>
      <c r="F76" s="551"/>
      <c r="G76" s="43"/>
      <c r="H76" s="255"/>
      <c r="I76" s="551"/>
      <c r="J76" s="511"/>
      <c r="K76" s="550"/>
      <c r="L76" s="44"/>
      <c r="U76" s="43"/>
      <c r="V76" s="43"/>
      <c r="W76" s="43"/>
      <c r="Y76" s="43"/>
      <c r="Z76" s="43"/>
      <c r="AA76" s="43"/>
      <c r="AB76" s="43"/>
      <c r="AC76" s="43"/>
      <c r="AD76" s="43"/>
      <c r="AF76" s="43"/>
      <c r="AG76" s="43"/>
      <c r="AH76" s="43"/>
      <c r="AI76" s="43"/>
      <c r="AJ76" s="43"/>
      <c r="AK76" s="43"/>
      <c r="AM76" s="517"/>
      <c r="AN76" s="517"/>
      <c r="AO76" s="517"/>
      <c r="AP76" s="517"/>
    </row>
    <row r="77" spans="1:42">
      <c r="F77" s="511"/>
      <c r="G77" s="43"/>
      <c r="I77" s="174"/>
      <c r="J77" s="44"/>
      <c r="L77" s="43"/>
      <c r="U77" s="43"/>
      <c r="V77" s="43"/>
      <c r="W77" s="43"/>
      <c r="Y77" s="43"/>
      <c r="Z77" s="43"/>
      <c r="AA77" s="43"/>
      <c r="AB77" s="43"/>
      <c r="AC77" s="43"/>
      <c r="AD77" s="43"/>
      <c r="AF77" s="43"/>
      <c r="AG77" s="43"/>
      <c r="AH77" s="43"/>
      <c r="AI77" s="43"/>
      <c r="AJ77" s="43"/>
      <c r="AK77" s="43"/>
      <c r="AM77" s="517"/>
      <c r="AN77" s="517"/>
      <c r="AO77" s="517"/>
      <c r="AP77" s="517"/>
    </row>
    <row r="84" spans="1:42" ht="14">
      <c r="E84" s="865" t="s">
        <v>485</v>
      </c>
      <c r="F84" s="865"/>
      <c r="G84" s="865"/>
      <c r="H84" s="865"/>
    </row>
    <row r="85" spans="1:42">
      <c r="E85" s="553"/>
      <c r="F85" s="553"/>
      <c r="G85" s="553"/>
      <c r="H85" s="553"/>
    </row>
    <row r="86" spans="1:42">
      <c r="E86" s="866" t="s">
        <v>486</v>
      </c>
      <c r="F86" s="867"/>
      <c r="G86" s="868" t="s">
        <v>487</v>
      </c>
      <c r="H86" s="869"/>
      <c r="J86" s="43"/>
    </row>
    <row r="87" spans="1:42">
      <c r="E87" s="554"/>
      <c r="F87" s="555"/>
      <c r="G87" s="554"/>
      <c r="H87" s="555"/>
    </row>
    <row r="88" spans="1:42">
      <c r="E88" s="554"/>
      <c r="F88" s="555"/>
      <c r="G88" s="554"/>
      <c r="H88" s="555"/>
    </row>
    <row r="89" spans="1:42">
      <c r="E89" s="554"/>
      <c r="F89" s="555"/>
      <c r="G89" s="554"/>
      <c r="H89" s="556"/>
    </row>
    <row r="90" spans="1:42" s="496" customFormat="1">
      <c r="A90" s="346"/>
      <c r="B90" s="346"/>
      <c r="C90" s="346"/>
      <c r="D90" s="346"/>
      <c r="E90" s="554"/>
      <c r="F90" s="555"/>
      <c r="G90" s="554"/>
      <c r="H90" s="556"/>
      <c r="J90" s="346"/>
      <c r="K90" s="346"/>
      <c r="L90" s="346"/>
      <c r="M90" s="493"/>
      <c r="N90" s="493"/>
      <c r="O90" s="346"/>
      <c r="P90" s="346"/>
      <c r="Q90" s="346"/>
      <c r="R90" s="43"/>
      <c r="S90" s="43"/>
      <c r="T90" s="43"/>
      <c r="U90" s="346"/>
      <c r="V90" s="346"/>
      <c r="W90" s="346"/>
      <c r="X90" s="346"/>
      <c r="Y90" s="346"/>
      <c r="Z90" s="346"/>
      <c r="AA90" s="346"/>
      <c r="AB90" s="346"/>
      <c r="AC90" s="346"/>
      <c r="AD90" s="346"/>
      <c r="AE90" s="346"/>
      <c r="AF90" s="346"/>
      <c r="AG90" s="346"/>
      <c r="AH90" s="346"/>
      <c r="AI90" s="346"/>
      <c r="AJ90" s="346"/>
      <c r="AK90" s="346"/>
      <c r="AL90" s="346"/>
      <c r="AM90" s="346"/>
      <c r="AN90" s="346"/>
      <c r="AO90" s="346"/>
      <c r="AP90" s="346"/>
    </row>
    <row r="91" spans="1:42" s="496" customFormat="1">
      <c r="A91" s="346"/>
      <c r="B91" s="346"/>
      <c r="C91" s="346"/>
      <c r="D91" s="346"/>
      <c r="E91" s="554"/>
      <c r="F91" s="555"/>
      <c r="G91" s="554"/>
      <c r="H91" s="556"/>
      <c r="J91" s="346"/>
      <c r="K91" s="346"/>
      <c r="L91" s="346"/>
      <c r="M91" s="493"/>
      <c r="N91" s="493"/>
      <c r="O91" s="346"/>
      <c r="P91" s="346"/>
      <c r="Q91" s="346"/>
      <c r="R91" s="43"/>
      <c r="S91" s="43"/>
      <c r="T91" s="43"/>
      <c r="U91" s="346"/>
      <c r="V91" s="346"/>
      <c r="W91" s="346"/>
      <c r="X91" s="346"/>
      <c r="Y91" s="346"/>
      <c r="Z91" s="346"/>
      <c r="AA91" s="346"/>
      <c r="AB91" s="346"/>
      <c r="AC91" s="346"/>
      <c r="AD91" s="346"/>
      <c r="AE91" s="346"/>
      <c r="AF91" s="346"/>
      <c r="AG91" s="346"/>
      <c r="AH91" s="346"/>
      <c r="AI91" s="346"/>
      <c r="AJ91" s="346"/>
      <c r="AK91" s="346"/>
      <c r="AL91" s="346"/>
      <c r="AM91" s="346"/>
      <c r="AN91" s="346"/>
      <c r="AO91" s="346"/>
      <c r="AP91" s="346"/>
    </row>
    <row r="92" spans="1:42" s="496" customFormat="1">
      <c r="A92" s="346"/>
      <c r="B92" s="346"/>
      <c r="C92" s="346"/>
      <c r="D92" s="346"/>
      <c r="E92" s="554"/>
      <c r="F92" s="555"/>
      <c r="G92" s="554"/>
      <c r="H92" s="555"/>
      <c r="J92" s="346"/>
      <c r="K92" s="346"/>
      <c r="L92" s="346"/>
      <c r="M92" s="493"/>
      <c r="N92" s="493"/>
      <c r="O92" s="346"/>
      <c r="P92" s="346"/>
      <c r="Q92" s="346"/>
      <c r="R92" s="43"/>
      <c r="S92" s="43"/>
      <c r="T92" s="43"/>
      <c r="U92" s="346"/>
      <c r="V92" s="346"/>
      <c r="W92" s="346"/>
      <c r="X92" s="346"/>
      <c r="Y92" s="346"/>
      <c r="Z92" s="346"/>
      <c r="AA92" s="346"/>
      <c r="AB92" s="346"/>
      <c r="AC92" s="346"/>
      <c r="AD92" s="346"/>
      <c r="AE92" s="346"/>
      <c r="AF92" s="346"/>
      <c r="AG92" s="346"/>
      <c r="AH92" s="346"/>
      <c r="AI92" s="346"/>
      <c r="AJ92" s="346"/>
      <c r="AK92" s="346"/>
      <c r="AL92" s="346"/>
      <c r="AM92" s="346"/>
      <c r="AN92" s="346"/>
      <c r="AO92" s="346"/>
      <c r="AP92" s="346"/>
    </row>
    <row r="93" spans="1:42" s="496" customFormat="1">
      <c r="A93" s="346"/>
      <c r="B93" s="346"/>
      <c r="C93" s="346"/>
      <c r="D93" s="346"/>
      <c r="E93" s="557" t="s">
        <v>170</v>
      </c>
      <c r="F93" s="558">
        <f>SUM(F87:F92)</f>
        <v>0</v>
      </c>
      <c r="G93" s="557"/>
      <c r="H93" s="558">
        <f>SUM(H87:H92)</f>
        <v>0</v>
      </c>
      <c r="J93" s="346"/>
      <c r="K93" s="346"/>
      <c r="L93" s="346"/>
      <c r="M93" s="493"/>
      <c r="N93" s="493"/>
      <c r="O93" s="346"/>
      <c r="P93" s="346"/>
      <c r="Q93" s="346"/>
      <c r="R93" s="43"/>
      <c r="S93" s="43"/>
      <c r="T93" s="43"/>
      <c r="U93" s="346"/>
      <c r="V93" s="346"/>
      <c r="W93" s="346"/>
      <c r="X93" s="346"/>
      <c r="Y93" s="346"/>
      <c r="Z93" s="346"/>
      <c r="AA93" s="346"/>
      <c r="AB93" s="346"/>
      <c r="AC93" s="346"/>
      <c r="AD93" s="346"/>
      <c r="AE93" s="346"/>
      <c r="AF93" s="346"/>
      <c r="AG93" s="346"/>
      <c r="AH93" s="346"/>
      <c r="AI93" s="346"/>
      <c r="AJ93" s="346"/>
      <c r="AK93" s="346"/>
      <c r="AL93" s="346"/>
      <c r="AM93" s="346"/>
      <c r="AN93" s="346"/>
      <c r="AO93" s="346"/>
      <c r="AP93" s="346"/>
    </row>
    <row r="94" spans="1:42" s="496" customFormat="1">
      <c r="A94" s="346"/>
      <c r="B94" s="346"/>
      <c r="C94" s="346"/>
      <c r="D94" s="346"/>
      <c r="E94" s="559"/>
      <c r="F94" s="559"/>
      <c r="G94" s="559"/>
      <c r="H94" s="559"/>
      <c r="J94" s="346"/>
      <c r="K94" s="346"/>
      <c r="L94" s="346"/>
      <c r="M94" s="493"/>
      <c r="N94" s="493"/>
      <c r="O94" s="346"/>
      <c r="P94" s="346"/>
      <c r="Q94" s="346"/>
      <c r="R94" s="43"/>
      <c r="S94" s="43"/>
      <c r="T94" s="43"/>
      <c r="U94" s="346"/>
      <c r="V94" s="346"/>
      <c r="W94" s="346"/>
      <c r="X94" s="346"/>
      <c r="Y94" s="346"/>
      <c r="Z94" s="346"/>
      <c r="AA94" s="346"/>
      <c r="AB94" s="346"/>
      <c r="AC94" s="346"/>
      <c r="AD94" s="346"/>
      <c r="AE94" s="346"/>
      <c r="AF94" s="346"/>
      <c r="AG94" s="346"/>
      <c r="AH94" s="346"/>
      <c r="AI94" s="346"/>
      <c r="AJ94" s="346"/>
      <c r="AK94" s="346"/>
      <c r="AL94" s="346"/>
      <c r="AM94" s="346"/>
      <c r="AN94" s="346"/>
      <c r="AO94" s="346"/>
      <c r="AP94" s="346"/>
    </row>
    <row r="95" spans="1:42" s="496" customFormat="1">
      <c r="A95" s="346"/>
      <c r="B95" s="346"/>
      <c r="C95" s="346"/>
      <c r="D95" s="346"/>
      <c r="E95" s="559" t="s">
        <v>488</v>
      </c>
      <c r="F95" s="560">
        <f>+F93-H93</f>
        <v>0</v>
      </c>
      <c r="G95" s="559"/>
      <c r="H95" s="559"/>
      <c r="J95" s="346"/>
      <c r="K95" s="346"/>
      <c r="L95" s="346"/>
      <c r="M95" s="493"/>
      <c r="N95" s="493"/>
      <c r="O95" s="346"/>
      <c r="P95" s="346"/>
      <c r="Q95" s="346"/>
      <c r="R95" s="43"/>
      <c r="S95" s="43"/>
      <c r="T95" s="43"/>
      <c r="U95" s="346"/>
      <c r="V95" s="346"/>
      <c r="W95" s="346"/>
      <c r="X95" s="346"/>
      <c r="Y95" s="346"/>
      <c r="Z95" s="346"/>
      <c r="AA95" s="346"/>
      <c r="AB95" s="346"/>
      <c r="AC95" s="346"/>
      <c r="AD95" s="346"/>
      <c r="AE95" s="346"/>
      <c r="AF95" s="346"/>
      <c r="AG95" s="346"/>
      <c r="AH95" s="346"/>
      <c r="AI95" s="346"/>
      <c r="AJ95" s="346"/>
      <c r="AK95" s="346"/>
      <c r="AL95" s="346"/>
      <c r="AM95" s="346"/>
      <c r="AN95" s="346"/>
      <c r="AO95" s="346"/>
      <c r="AP95" s="346"/>
    </row>
  </sheetData>
  <mergeCells count="8">
    <mergeCell ref="R30:V30"/>
    <mergeCell ref="Y30:AC30"/>
    <mergeCell ref="AM30:AP30"/>
    <mergeCell ref="E84:H84"/>
    <mergeCell ref="E86:F86"/>
    <mergeCell ref="G86:H86"/>
    <mergeCell ref="A5:C5"/>
    <mergeCell ref="A28:C28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3F30-B988-4C2A-94AB-7E717ED21B22}">
  <dimension ref="A1:I33"/>
  <sheetViews>
    <sheetView zoomScale="115" zoomScaleNormal="115" workbookViewId="0">
      <selection activeCell="A13" sqref="A13"/>
    </sheetView>
  </sheetViews>
  <sheetFormatPr baseColWidth="10" defaultColWidth="8.90625" defaultRowHeight="12.5"/>
  <cols>
    <col min="1" max="1" width="34.453125" customWidth="1"/>
    <col min="2" max="2" width="14" customWidth="1"/>
    <col min="3" max="3" width="16.6328125" customWidth="1"/>
    <col min="4" max="4" width="16" customWidth="1"/>
    <col min="5" max="5" width="14.54296875" bestFit="1" customWidth="1"/>
    <col min="6" max="6" width="31.36328125" customWidth="1"/>
    <col min="7" max="7" width="4.1796875" customWidth="1"/>
    <col min="8" max="8" width="17.08984375" customWidth="1"/>
    <col min="9" max="9" width="12" customWidth="1"/>
  </cols>
  <sheetData>
    <row r="1" spans="1:9" ht="18.5">
      <c r="A1" s="875">
        <v>4</v>
      </c>
      <c r="B1" s="876"/>
      <c r="C1" s="876"/>
      <c r="D1" s="876"/>
      <c r="E1" s="876"/>
      <c r="F1" s="876"/>
      <c r="G1" s="876"/>
      <c r="H1" s="876"/>
    </row>
    <row r="3" spans="1:9" ht="14.5">
      <c r="A3" s="877" t="s">
        <v>652</v>
      </c>
      <c r="B3" s="878"/>
      <c r="C3" s="878"/>
      <c r="D3" s="878"/>
      <c r="E3" s="878"/>
      <c r="F3" s="878"/>
      <c r="G3" s="878"/>
      <c r="H3" s="878"/>
    </row>
    <row r="4" spans="1:9" ht="14.5">
      <c r="A4" s="800" t="s">
        <v>653</v>
      </c>
      <c r="B4" s="800" t="s">
        <v>654</v>
      </c>
      <c r="C4" s="800" t="s">
        <v>655</v>
      </c>
      <c r="D4" s="800" t="s">
        <v>656</v>
      </c>
      <c r="E4" s="800" t="s">
        <v>674</v>
      </c>
      <c r="F4" s="800" t="s">
        <v>657</v>
      </c>
      <c r="G4" s="799"/>
      <c r="H4" s="799"/>
    </row>
    <row r="5" spans="1:9">
      <c r="A5" s="785" t="s">
        <v>658</v>
      </c>
      <c r="B5" s="806" t="e">
        <f>+'ppal B'!G24</f>
        <v>#REF!</v>
      </c>
      <c r="C5" s="807">
        <v>-4690589.3258438893</v>
      </c>
      <c r="D5" s="807">
        <v>-6592029.7390068648</v>
      </c>
      <c r="E5" s="808">
        <v>-8766583.9084322583</v>
      </c>
      <c r="F5" s="785"/>
      <c r="I5" s="786"/>
    </row>
    <row r="6" spans="1:9">
      <c r="A6" s="785" t="s">
        <v>659</v>
      </c>
      <c r="B6" s="807">
        <v>0</v>
      </c>
      <c r="C6" s="809" t="e">
        <f>C5-B5</f>
        <v>#REF!</v>
      </c>
      <c r="D6" s="810" t="e">
        <f>D5-B5</f>
        <v>#REF!</v>
      </c>
      <c r="E6" s="811" t="e">
        <f>E5-B5</f>
        <v>#REF!</v>
      </c>
      <c r="F6" s="785"/>
    </row>
    <row r="7" spans="1:9" ht="33" customHeight="1">
      <c r="A7" s="816" t="s">
        <v>660</v>
      </c>
      <c r="B7" s="812"/>
      <c r="C7" s="812" t="e">
        <f>-(C6)/5</f>
        <v>#REF!</v>
      </c>
      <c r="D7" s="812" t="e">
        <f>-(D6)/10</f>
        <v>#REF!</v>
      </c>
      <c r="E7" s="813" t="e">
        <f>-(E6)/15</f>
        <v>#REF!</v>
      </c>
      <c r="F7" s="785" t="s">
        <v>661</v>
      </c>
    </row>
    <row r="8" spans="1:9" s="799" customFormat="1" ht="17.399999999999999" customHeight="1">
      <c r="A8" s="800" t="s">
        <v>653</v>
      </c>
      <c r="B8" s="800" t="s">
        <v>654</v>
      </c>
      <c r="C8" s="798">
        <v>-0.02</v>
      </c>
      <c r="D8" s="798">
        <v>-0.05</v>
      </c>
      <c r="E8" s="798">
        <v>-0.08</v>
      </c>
      <c r="F8" s="800" t="s">
        <v>657</v>
      </c>
    </row>
    <row r="9" spans="1:9" ht="17.399999999999999" customHeight="1">
      <c r="A9" s="785" t="s">
        <v>658</v>
      </c>
      <c r="B9" s="812" t="e">
        <f>+B5</f>
        <v>#REF!</v>
      </c>
      <c r="C9" s="807">
        <v>-3358066.6501422795</v>
      </c>
      <c r="D9" s="807">
        <v>-3997701.9969203784</v>
      </c>
      <c r="E9" s="808">
        <v>-5082556.9982334459</v>
      </c>
      <c r="F9" s="785"/>
    </row>
    <row r="10" spans="1:9" ht="33" customHeight="1">
      <c r="A10" s="785" t="s">
        <v>659</v>
      </c>
      <c r="B10" s="814"/>
      <c r="C10" s="809" t="e">
        <f>C9-B9</f>
        <v>#REF!</v>
      </c>
      <c r="D10" s="810" t="e">
        <f>D9-B9</f>
        <v>#REF!</v>
      </c>
      <c r="E10" s="811" t="e">
        <f>E9-B9</f>
        <v>#REF!</v>
      </c>
      <c r="F10" s="785"/>
    </row>
    <row r="11" spans="1:9" ht="33" customHeight="1">
      <c r="A11" s="817" t="s">
        <v>675</v>
      </c>
      <c r="B11" s="815"/>
      <c r="C11" s="812" t="e">
        <f>-(C10)/2</f>
        <v>#REF!</v>
      </c>
      <c r="D11" s="812" t="e">
        <f>-(D10)/5</f>
        <v>#REF!</v>
      </c>
      <c r="E11" s="812" t="e">
        <f>-(E10)/8</f>
        <v>#REF!</v>
      </c>
      <c r="F11" s="797"/>
    </row>
    <row r="12" spans="1:9">
      <c r="A12" s="879" t="s">
        <v>662</v>
      </c>
      <c r="B12" s="876"/>
      <c r="C12" s="876"/>
      <c r="D12" s="876"/>
      <c r="E12" s="876"/>
      <c r="F12" s="876"/>
    </row>
    <row r="13" spans="1:9" ht="13">
      <c r="A13" s="801" t="s">
        <v>677</v>
      </c>
      <c r="B13" s="802"/>
      <c r="C13" s="802" t="e">
        <f>+C10+C6</f>
        <v>#REF!</v>
      </c>
      <c r="D13" s="802" t="e">
        <f>+D10+D6</f>
        <v>#REF!</v>
      </c>
      <c r="E13" s="802" t="e">
        <f>+E10+E6</f>
        <v>#REF!</v>
      </c>
      <c r="F13" s="801" t="s">
        <v>663</v>
      </c>
    </row>
    <row r="14" spans="1:9" ht="13">
      <c r="A14" s="795" t="s">
        <v>678</v>
      </c>
      <c r="B14" s="787"/>
      <c r="C14" s="805" t="e">
        <f>+B5</f>
        <v>#REF!</v>
      </c>
      <c r="D14" s="805" t="e">
        <f>+C14</f>
        <v>#REF!</v>
      </c>
      <c r="E14" s="805" t="e">
        <f>+D14</f>
        <v>#REF!</v>
      </c>
    </row>
    <row r="15" spans="1:9" ht="13">
      <c r="A15" s="804" t="s">
        <v>676</v>
      </c>
      <c r="B15" s="787"/>
      <c r="C15" s="803">
        <f>+'ppal B'!C33</f>
        <v>26465.367290615955</v>
      </c>
      <c r="D15" s="803">
        <f>+C15</f>
        <v>26465.367290615955</v>
      </c>
      <c r="E15" s="803">
        <f>+D15</f>
        <v>26465.367290615955</v>
      </c>
    </row>
    <row r="16" spans="1:9" ht="13">
      <c r="A16" s="804"/>
      <c r="B16" s="787"/>
      <c r="C16" s="803"/>
      <c r="D16" s="803"/>
      <c r="E16" s="803"/>
    </row>
    <row r="17" spans="1:9" ht="13">
      <c r="A17" s="804"/>
      <c r="B17" s="787"/>
      <c r="C17" s="803" t="e">
        <f>+C15+C14+C10+C6</f>
        <v>#REF!</v>
      </c>
      <c r="D17" s="803" t="e">
        <f>+D15+D14+D10+D6</f>
        <v>#REF!</v>
      </c>
      <c r="E17" s="803" t="e">
        <f>+E15+E14+E10+E6</f>
        <v>#REF!</v>
      </c>
    </row>
    <row r="18" spans="1:9" ht="14.5">
      <c r="A18" s="880" t="s">
        <v>664</v>
      </c>
      <c r="B18" s="876"/>
      <c r="C18" s="876"/>
      <c r="D18" s="876"/>
      <c r="E18" s="876"/>
      <c r="F18" s="876"/>
      <c r="G18" s="876"/>
      <c r="H18" s="876"/>
    </row>
    <row r="19" spans="1:9" ht="14.5">
      <c r="A19" t="s">
        <v>665</v>
      </c>
      <c r="B19" s="788" t="s">
        <v>656</v>
      </c>
      <c r="G19" s="789"/>
      <c r="H19" s="789"/>
    </row>
    <row r="20" spans="1:9" ht="13">
      <c r="G20" s="789"/>
      <c r="H20" s="789"/>
    </row>
    <row r="21" spans="1:9" ht="39" customHeight="1">
      <c r="A21" s="790" t="s">
        <v>406</v>
      </c>
      <c r="B21" s="790" t="s">
        <v>666</v>
      </c>
      <c r="C21" s="790" t="s">
        <v>667</v>
      </c>
      <c r="D21" s="790" t="s">
        <v>668</v>
      </c>
      <c r="E21" s="790" t="s">
        <v>669</v>
      </c>
      <c r="F21" s="790" t="s">
        <v>670</v>
      </c>
      <c r="G21" s="790" t="s">
        <v>671</v>
      </c>
      <c r="H21" s="790" t="s">
        <v>672</v>
      </c>
      <c r="I21" s="790" t="s">
        <v>673</v>
      </c>
    </row>
    <row r="22" spans="1:9">
      <c r="A22" s="785" t="s">
        <v>698</v>
      </c>
      <c r="B22" s="785" t="s">
        <v>106</v>
      </c>
      <c r="C22" s="785" t="s">
        <v>32</v>
      </c>
      <c r="D22" s="791">
        <v>-48575.750813570921</v>
      </c>
      <c r="E22" s="792">
        <v>0.26304293455431127</v>
      </c>
      <c r="F22" s="787">
        <v>-101947.08531594917</v>
      </c>
      <c r="G22">
        <v>0.29659421816246623</v>
      </c>
      <c r="H22">
        <v>-214170.95318297917</v>
      </c>
      <c r="I22" s="793">
        <v>0.32575980033585911</v>
      </c>
    </row>
    <row r="23" spans="1:9">
      <c r="A23" s="785" t="s">
        <v>699</v>
      </c>
      <c r="B23" s="785" t="s">
        <v>106</v>
      </c>
      <c r="C23" s="785" t="s">
        <v>33</v>
      </c>
      <c r="D23" s="791">
        <v>-35379.32815756723</v>
      </c>
      <c r="E23" s="792">
        <v>0.24728118665054349</v>
      </c>
      <c r="F23" s="787">
        <v>-77176.959078522035</v>
      </c>
      <c r="G23">
        <v>0.30995694851784095</v>
      </c>
      <c r="H23">
        <v>-169630.71240278662</v>
      </c>
      <c r="I23" s="793">
        <v>0.39558021461605614</v>
      </c>
    </row>
    <row r="24" spans="1:9">
      <c r="A24" s="785" t="s">
        <v>700</v>
      </c>
      <c r="B24" s="785" t="s">
        <v>106</v>
      </c>
      <c r="C24" s="785" t="s">
        <v>32</v>
      </c>
      <c r="D24" s="791">
        <v>-44867.123331066039</v>
      </c>
      <c r="E24" s="792">
        <v>0.22502126498278666</v>
      </c>
      <c r="F24" s="787">
        <v>-95945.358036422782</v>
      </c>
      <c r="G24">
        <v>0.26248465267757259</v>
      </c>
      <c r="H24">
        <v>-205946.79073440839</v>
      </c>
      <c r="I24" s="793">
        <v>0.29877917460196007</v>
      </c>
    </row>
    <row r="25" spans="1:9">
      <c r="A25" s="785" t="s">
        <v>701</v>
      </c>
      <c r="B25" s="785" t="s">
        <v>65</v>
      </c>
      <c r="C25" s="785" t="s">
        <v>33</v>
      </c>
      <c r="D25" s="791">
        <v>-27378.602482852981</v>
      </c>
      <c r="E25" s="792">
        <v>0.14037472209473664</v>
      </c>
      <c r="F25" s="787">
        <v>-63433.337375891337</v>
      </c>
      <c r="G25">
        <v>0.19379216640842484</v>
      </c>
      <c r="H25">
        <v>-152894.99473509405</v>
      </c>
      <c r="I25" s="793">
        <v>0.28427258425189378</v>
      </c>
    </row>
    <row r="26" spans="1:9">
      <c r="A26" s="785" t="s">
        <v>702</v>
      </c>
      <c r="B26" s="785" t="s">
        <v>65</v>
      </c>
      <c r="C26" s="785" t="s">
        <v>33</v>
      </c>
      <c r="D26" s="791">
        <v>-19310.323896614078</v>
      </c>
      <c r="E26" s="792">
        <v>0.10085475677145024</v>
      </c>
      <c r="F26" s="787">
        <v>-47000.708197522501</v>
      </c>
      <c r="G26">
        <v>0.14985737651058009</v>
      </c>
      <c r="H26">
        <v>-121065.89817527166</v>
      </c>
      <c r="I26" s="793">
        <v>0.23962794684283339</v>
      </c>
    </row>
    <row r="27" spans="1:9">
      <c r="A27" s="785" t="s">
        <v>703</v>
      </c>
      <c r="B27" s="785" t="s">
        <v>65</v>
      </c>
      <c r="C27" s="785" t="s">
        <v>33</v>
      </c>
      <c r="D27" s="791">
        <v>-12906.930993097305</v>
      </c>
      <c r="E27" s="792">
        <v>6.9651795054253576E-2</v>
      </c>
      <c r="F27" s="787">
        <v>-33251.766956237858</v>
      </c>
      <c r="G27">
        <v>0.11224872990695153</v>
      </c>
      <c r="H27">
        <v>-92574.85586802887</v>
      </c>
      <c r="I27" s="793">
        <v>0.19767333663737455</v>
      </c>
    </row>
    <row r="28" spans="1:9">
      <c r="A28" s="785" t="s">
        <v>704</v>
      </c>
      <c r="B28" s="785" t="s">
        <v>304</v>
      </c>
      <c r="C28" s="785" t="s">
        <v>33</v>
      </c>
      <c r="D28" s="791">
        <v>-34517.688759827724</v>
      </c>
      <c r="E28" s="792">
        <v>0.18351809044270723</v>
      </c>
      <c r="F28" s="787">
        <v>-75832.588505343636</v>
      </c>
      <c r="G28">
        <v>0.23262542145782322</v>
      </c>
      <c r="H28">
        <v>-171827.00896329997</v>
      </c>
      <c r="I28" s="793">
        <v>0.31477783893094236</v>
      </c>
    </row>
    <row r="29" spans="1:9">
      <c r="A29" s="785" t="s">
        <v>705</v>
      </c>
      <c r="B29" s="785" t="s">
        <v>304</v>
      </c>
      <c r="C29" s="785" t="s">
        <v>33</v>
      </c>
      <c r="D29" s="791">
        <v>-26138.831125538611</v>
      </c>
      <c r="E29" s="792">
        <v>0.14015812148162166</v>
      </c>
      <c r="F29" s="787">
        <v>-59358.06101247191</v>
      </c>
      <c r="G29">
        <v>0.18751402779825482</v>
      </c>
      <c r="H29">
        <v>-140921.74261973018</v>
      </c>
      <c r="I29" s="793">
        <v>0.27126578470050106</v>
      </c>
    </row>
    <row r="30" spans="1:9">
      <c r="A30" s="785" t="s">
        <v>706</v>
      </c>
      <c r="B30" s="785" t="s">
        <v>304</v>
      </c>
      <c r="C30" s="785" t="s">
        <v>33</v>
      </c>
      <c r="D30" s="791">
        <v>-18902.87545689015</v>
      </c>
      <c r="E30" s="792">
        <v>0.10354369649625841</v>
      </c>
      <c r="F30" s="787">
        <v>-44615.535040604911</v>
      </c>
      <c r="G30">
        <v>0.147111517936172</v>
      </c>
      <c r="H30">
        <v>-111935.92774207061</v>
      </c>
      <c r="I30" s="793">
        <v>0.22940804228266354</v>
      </c>
    </row>
    <row r="31" spans="1:9">
      <c r="A31" s="785" t="s">
        <v>707</v>
      </c>
      <c r="B31" s="785" t="s">
        <v>275</v>
      </c>
      <c r="C31" s="785" t="s">
        <v>33</v>
      </c>
      <c r="D31" s="791">
        <v>-53832.079720086622</v>
      </c>
      <c r="E31" s="792">
        <v>0.3741864415513832</v>
      </c>
      <c r="F31" s="787">
        <v>-109062.39749548389</v>
      </c>
      <c r="G31">
        <v>0.40278817331355843</v>
      </c>
      <c r="H31">
        <v>-222127.3955479509</v>
      </c>
      <c r="I31" s="793">
        <v>0.45298737924631693</v>
      </c>
    </row>
    <row r="32" spans="1:9">
      <c r="A32" s="785" t="s">
        <v>708</v>
      </c>
      <c r="B32" s="785" t="s">
        <v>275</v>
      </c>
      <c r="C32" s="785" t="s">
        <v>33</v>
      </c>
      <c r="D32" s="791">
        <v>-49467.98229978577</v>
      </c>
      <c r="E32" s="792">
        <v>0.35900303753201557</v>
      </c>
      <c r="F32" s="787">
        <v>-100399.40781056124</v>
      </c>
      <c r="G32">
        <v>0.38771897511740505</v>
      </c>
      <c r="H32">
        <v>-205139.63536962884</v>
      </c>
      <c r="I32" s="793">
        <v>0.43884432152128927</v>
      </c>
    </row>
    <row r="33" spans="1:9">
      <c r="A33" s="785" t="s">
        <v>709</v>
      </c>
      <c r="B33" s="785" t="s">
        <v>275</v>
      </c>
      <c r="C33" s="785" t="s">
        <v>33</v>
      </c>
      <c r="D33" s="791">
        <v>-45197.553667374916</v>
      </c>
      <c r="E33" s="792">
        <v>0.34484293187447745</v>
      </c>
      <c r="F33" s="787">
        <v>-91885.380564363295</v>
      </c>
      <c r="G33">
        <v>0.37351916017240006</v>
      </c>
      <c r="H33">
        <v>-188321.11453280595</v>
      </c>
      <c r="I33" s="793">
        <v>0.42525072712161266</v>
      </c>
    </row>
  </sheetData>
  <mergeCells count="4">
    <mergeCell ref="A1:H1"/>
    <mergeCell ref="A3:H3"/>
    <mergeCell ref="A12:F12"/>
    <mergeCell ref="A18:H1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ppal B</vt:lpstr>
      <vt:lpstr>NDF</vt:lpstr>
      <vt:lpstr>opete</vt:lpstr>
      <vt:lpstr>etf</vt:lpstr>
      <vt:lpstr>Hoja1</vt:lpstr>
      <vt:lpstr>UF</vt:lpstr>
      <vt:lpstr>t10y</vt:lpstr>
      <vt:lpstr>cartera</vt:lpstr>
      <vt:lpstr>Equity</vt:lpstr>
      <vt:lpstr>registro</vt:lpstr>
      <vt:lpstr>registro rf</vt:lpstr>
      <vt:lpstr>JEBPOS</vt:lpstr>
      <vt:lpstr>RIESGO</vt:lpstr>
      <vt:lpstr>etf!Área_de_impresión</vt:lpstr>
      <vt:lpstr>NDF!Área_de_impresión</vt:lpstr>
      <vt:lpstr>opete!Área_de_impresión</vt:lpstr>
      <vt:lpstr>'ppal B'!Área_de_impresión</vt:lpstr>
      <vt:lpstr>t10y!Área_de_impresión</vt:lpstr>
    </vt:vector>
  </TitlesOfParts>
  <Company>Banco monex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Chester N.</dc:creator>
  <cp:lastModifiedBy>Marco Messen</cp:lastModifiedBy>
  <cp:lastPrinted>2024-11-19T16:04:09Z</cp:lastPrinted>
  <dcterms:created xsi:type="dcterms:W3CDTF">2006-12-07T16:12:18Z</dcterms:created>
  <dcterms:modified xsi:type="dcterms:W3CDTF">2026-04-13T17:24:10Z</dcterms:modified>
</cp:coreProperties>
</file>